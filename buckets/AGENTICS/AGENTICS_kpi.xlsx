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ji\Dropbox\Kaissa Consumer\Mosaic\buckets\AGENTICS\"/>
    </mc:Choice>
  </mc:AlternateContent>
  <xr:revisionPtr revIDLastSave="0" documentId="13_ncr:1_{440DBA68-04BB-4376-B5E4-B2FD5ED8EBED}" xr6:coauthVersionLast="47" xr6:coauthVersionMax="47" xr10:uidLastSave="{00000000-0000-0000-0000-000000000000}"/>
  <bookViews>
    <workbookView xWindow="-98" yWindow="-98" windowWidth="21795" windowHeight="12975" firstSheet="1" activeTab="3" xr2:uid="{30DE43AD-F492-43CF-BD64-FB4AD4D1959C}"/>
  </bookViews>
  <sheets>
    <sheet name="AMPL" sheetId="1" r:id="rId1"/>
    <sheet name="AVPT" sheetId="12" r:id="rId2"/>
    <sheet name="BILL" sheetId="13" r:id="rId3"/>
    <sheet name="DOCU" sheetId="14" r:id="rId4"/>
    <sheet name="FIVN" sheetId="15" r:id="rId5"/>
    <sheet name="FRSH" sheetId="16" r:id="rId6"/>
    <sheet name="GDDY" sheetId="17" r:id="rId7"/>
    <sheet name="INTA" sheetId="18" r:id="rId8"/>
    <sheet name="INTU" sheetId="19" r:id="rId9"/>
    <sheet name="LAW" sheetId="20" r:id="rId10"/>
    <sheet name="OTEX" sheetId="21" r:id="rId11"/>
    <sheet name="PAY" sheetId="22" r:id="rId12"/>
    <sheet name="QLYS" sheetId="23" r:id="rId13"/>
    <sheet name="RPD" sheetId="24" r:id="rId14"/>
    <sheet name="SPSC" sheetId="25" r:id="rId15"/>
    <sheet name="TENB" sheetId="26" r:id="rId16"/>
    <sheet name="TYL" sheetId="27" r:id="rId17"/>
    <sheet name="VRNS" sheetId="28" r:id="rId18"/>
    <sheet name="WIX" sheetId="29" r:id="rId19"/>
    <sheet name="WK" sheetId="30" r:id="rId20"/>
    <sheet name="ZIP" sheetId="31" r:id="rId21"/>
  </sheets>
  <definedNames>
    <definedName name="KPI_BLOCK" localSheetId="1">_xlfn.LET(   _xlpm.d, AVPT!$L$5:$O$5,   _xlpm.v, AVPT!$L$7:$O$7,   _xlpm.yy,AVPT!$L$8:$O$8,   _xlpm.qq,AVPT!$L$9:$O$9,   _xlpm.dyy,AVPT!$L$10:$O$10,   _xlpm.dqq,AVPT!$L$11:$O$11,   _xlpm.dd, TRANSPOSE(_xlpm.d),    _xlpm.block, _xlfn.HSTACK(     _xlfn.MAKEARRAY(ROWS(_xlpm.dd),1, _xlfn.LAMBDA(_xlpm.r,_xlpm.c,AVPT!$B$2)),     _xlpm.dd,     _xlfn.MAKEARRAY(ROWS(_xlpm.dd),1, _xlfn.LAMBDA(_xlpm.r,_xlpm.c,AVPT!$A$7)),     _xlfn.MAKEARRAY(ROWS(_xlpm.dd),1, _xlfn.LAMBDA(_xlpm.r,_xlpm.c,AVPT!$B$7)),     TRANSPOSE(_xlpm.v),     TRANSPOSE(_xlpm.yy),     TRANSPOSE(_xlpm.qq),     TRANSPOSE(_xlpm.dyy),     TRANSPOSE(_xlpm.dqq)   ),    _xlfn._xlws.FILTER(_xlpm.block, INDEX(_xlpm.block,,5) &lt;&gt; "") )</definedName>
    <definedName name="KPI_BLOCK" localSheetId="2">_xlfn.LET(   _xlpm.d, BILL!$L$5:$O$5,   _xlpm.v, BILL!$L$7:$O$7,   _xlpm.yy,BILL!$L$8:$O$8,   _xlpm.qq,BILL!$L$9:$O$9,   _xlpm.dyy,BILL!$L$10:$O$10,   _xlpm.dqq,BILL!$L$11:$O$11,   _xlpm.dd, TRANSPOSE(_xlpm.d),    _xlpm.block, _xlfn.HSTACK(     _xlfn.MAKEARRAY(ROWS(_xlpm.dd),1, _xlfn.LAMBDA(_xlpm.r,_xlpm.c,BILL!$B$2)),     _xlpm.dd,     _xlfn.MAKEARRAY(ROWS(_xlpm.dd),1, _xlfn.LAMBDA(_xlpm.r,_xlpm.c,BILL!$A$7)),     _xlfn.MAKEARRAY(ROWS(_xlpm.dd),1, _xlfn.LAMBDA(_xlpm.r,_xlpm.c,BILL!$B$7)),     TRANSPOSE(_xlpm.v),     TRANSPOSE(_xlpm.yy),     TRANSPOSE(_xlpm.qq),     TRANSPOSE(_xlpm.dyy),     TRANSPOSE(_xlpm.dqq)   ),    _xlfn._xlws.FILTER(_xlpm.block, INDEX(_xlpm.block,,5) &lt;&gt; "") )</definedName>
    <definedName name="KPI_BLOCK" localSheetId="3">_xlfn.LET(   _xlpm.d, DOCU!$L$5:$O$5,   _xlpm.v, DOCU!$L$7:$O$7,   _xlpm.yy,DOCU!$L$8:$O$8,   _xlpm.qq,DOCU!$L$9:$O$9,   _xlpm.dyy,DOCU!$L$10:$O$10,   _xlpm.dqq,DOCU!$L$11:$O$11,   _xlpm.dd, TRANSPOSE(_xlpm.d),    _xlpm.block, _xlfn.HSTACK(     _xlfn.MAKEARRAY(ROWS(_xlpm.dd),1, _xlfn.LAMBDA(_xlpm.r,_xlpm.c,DOCU!$B$2)),     _xlpm.dd,     _xlfn.MAKEARRAY(ROWS(_xlpm.dd),1, _xlfn.LAMBDA(_xlpm.r,_xlpm.c,DOCU!$A$7)),     _xlfn.MAKEARRAY(ROWS(_xlpm.dd),1, _xlfn.LAMBDA(_xlpm.r,_xlpm.c,DOCU!$B$7)),     TRANSPOSE(_xlpm.v),     TRANSPOSE(_xlpm.yy),     TRANSPOSE(_xlpm.qq),     TRANSPOSE(_xlpm.dyy),     TRANSPOSE(_xlpm.dqq)   ),    _xlfn._xlws.FILTER(_xlpm.block, INDEX(_xlpm.block,,5) &lt;&gt; "") )</definedName>
    <definedName name="KPI_BLOCK" localSheetId="4">_xlfn.LET(   _xlpm.d, FIVN!$L$5:$O$5,   _xlpm.v, FIVN!$L$7:$O$7,   _xlpm.yy,FIVN!$L$8:$O$8,   _xlpm.qq,FIVN!$L$9:$O$9,   _xlpm.dyy,FIVN!$L$10:$O$10,   _xlpm.dqq,FIVN!$L$11:$O$11,   _xlpm.dd, TRANSPOSE(_xlpm.d),    _xlpm.block, _xlfn.HSTACK(     _xlfn.MAKEARRAY(ROWS(_xlpm.dd),1, _xlfn.LAMBDA(_xlpm.r,_xlpm.c,FIVN!$B$2)),     _xlpm.dd,     _xlfn.MAKEARRAY(ROWS(_xlpm.dd),1, _xlfn.LAMBDA(_xlpm.r,_xlpm.c,FIVN!$A$7)),     _xlfn.MAKEARRAY(ROWS(_xlpm.dd),1, _xlfn.LAMBDA(_xlpm.r,_xlpm.c,FIVN!$B$7)),     TRANSPOSE(_xlpm.v),     TRANSPOSE(_xlpm.yy),     TRANSPOSE(_xlpm.qq),     TRANSPOSE(_xlpm.dyy),     TRANSPOSE(_xlpm.dqq)   ),    _xlfn._xlws.FILTER(_xlpm.block, INDEX(_xlpm.block,,5) &lt;&gt; "") )</definedName>
    <definedName name="KPI_BLOCK" localSheetId="5">_xlfn.LET(   _xlpm.d, FRSH!$L$5:$O$5,   _xlpm.v, FRSH!$L$7:$O$7,   _xlpm.yy,FRSH!$L$8:$O$8,   _xlpm.qq,FRSH!$L$9:$O$9,   _xlpm.dyy,FRSH!$L$10:$O$10,   _xlpm.dqq,FRSH!$L$11:$O$11,   _xlpm.dd, TRANSPOSE(_xlpm.d),    _xlpm.block, _xlfn.HSTACK(     _xlfn.MAKEARRAY(ROWS(_xlpm.dd),1, _xlfn.LAMBDA(_xlpm.r,_xlpm.c,FRSH!$B$2)),     _xlpm.dd,     _xlfn.MAKEARRAY(ROWS(_xlpm.dd),1, _xlfn.LAMBDA(_xlpm.r,_xlpm.c,FRSH!$A$7)),     _xlfn.MAKEARRAY(ROWS(_xlpm.dd),1, _xlfn.LAMBDA(_xlpm.r,_xlpm.c,FRSH!$B$7)),     TRANSPOSE(_xlpm.v),     TRANSPOSE(_xlpm.yy),     TRANSPOSE(_xlpm.qq),     TRANSPOSE(_xlpm.dyy),     TRANSPOSE(_xlpm.dqq)   ),    _xlfn._xlws.FILTER(_xlpm.block, INDEX(_xlpm.block,,5) &lt;&gt; "") )</definedName>
    <definedName name="KPI_BLOCK" localSheetId="6">_xlfn.LET(   _xlpm.d, GDDY!$L$5:$O$5,   _xlpm.v, GDDY!$L$7:$O$7,   _xlpm.yy,GDDY!$L$8:$O$8,   _xlpm.qq,GDDY!$L$9:$O$9,   _xlpm.dyy,GDDY!$L$10:$O$10,   _xlpm.dqq,GDDY!$L$11:$O$11,   _xlpm.dd, TRANSPOSE(_xlpm.d),    _xlpm.block, _xlfn.HSTACK(     _xlfn.MAKEARRAY(ROWS(_xlpm.dd),1, _xlfn.LAMBDA(_xlpm.r,_xlpm.c,GDDY!$B$2)),     _xlpm.dd,     _xlfn.MAKEARRAY(ROWS(_xlpm.dd),1, _xlfn.LAMBDA(_xlpm.r,_xlpm.c,GDDY!$A$7)),     _xlfn.MAKEARRAY(ROWS(_xlpm.dd),1, _xlfn.LAMBDA(_xlpm.r,_xlpm.c,GDDY!$B$7)),     TRANSPOSE(_xlpm.v),     TRANSPOSE(_xlpm.yy),     TRANSPOSE(_xlpm.qq),     TRANSPOSE(_xlpm.dyy),     TRANSPOSE(_xlpm.dqq)   ),    _xlfn._xlws.FILTER(_xlpm.block, INDEX(_xlpm.block,,5) &lt;&gt; "") )</definedName>
    <definedName name="KPI_BLOCK" localSheetId="7">_xlfn.LET(   _xlpm.d, INTA!$L$5:$O$5,   _xlpm.v, INTA!$L$7:$O$7,   _xlpm.yy,INTA!$L$8:$O$8,   _xlpm.qq,INTA!$L$9:$O$9,   _xlpm.dyy,INTA!$L$10:$O$10,   _xlpm.dqq,INTA!$L$11:$O$11,   _xlpm.dd, TRANSPOSE(_xlpm.d),    _xlpm.block, _xlfn.HSTACK(     _xlfn.MAKEARRAY(ROWS(_xlpm.dd),1, _xlfn.LAMBDA(_xlpm.r,_xlpm.c,INTA!$B$2)),     _xlpm.dd,     _xlfn.MAKEARRAY(ROWS(_xlpm.dd),1, _xlfn.LAMBDA(_xlpm.r,_xlpm.c,INTA!$A$7)),     _xlfn.MAKEARRAY(ROWS(_xlpm.dd),1, _xlfn.LAMBDA(_xlpm.r,_xlpm.c,INTA!$B$7)),     TRANSPOSE(_xlpm.v),     TRANSPOSE(_xlpm.yy),     TRANSPOSE(_xlpm.qq),     TRANSPOSE(_xlpm.dyy),     TRANSPOSE(_xlpm.dqq)   ),    _xlfn._xlws.FILTER(_xlpm.block, INDEX(_xlpm.block,,5) &lt;&gt; "") )</definedName>
    <definedName name="KPI_BLOCK" localSheetId="8">_xlfn.LET(   _xlpm.d, INTU!$L$5:$O$5,   _xlpm.v, INTU!$L$7:$O$7,   _xlpm.yy,INTU!$L$8:$O$8,   _xlpm.qq,INTU!$L$9:$O$9,   _xlpm.dyy,INTU!$L$10:$O$10,   _xlpm.dqq,INTU!$L$11:$O$11,   _xlpm.dd, TRANSPOSE(_xlpm.d),    _xlpm.block, _xlfn.HSTACK(     _xlfn.MAKEARRAY(ROWS(_xlpm.dd),1, _xlfn.LAMBDA(_xlpm.r,_xlpm.c,INTU!$B$2)),     _xlpm.dd,     _xlfn.MAKEARRAY(ROWS(_xlpm.dd),1, _xlfn.LAMBDA(_xlpm.r,_xlpm.c,INTU!$A$7)),     _xlfn.MAKEARRAY(ROWS(_xlpm.dd),1, _xlfn.LAMBDA(_xlpm.r,_xlpm.c,INTU!$B$7)),     TRANSPOSE(_xlpm.v),     TRANSPOSE(_xlpm.yy),     TRANSPOSE(_xlpm.qq),     TRANSPOSE(_xlpm.dyy),     TRANSPOSE(_xlpm.dqq)   ),    _xlfn._xlws.FILTER(_xlpm.block, INDEX(_xlpm.block,,5) &lt;&gt; "") )</definedName>
    <definedName name="KPI_BLOCK" localSheetId="9">_xlfn.LET(   _xlpm.d, LAW!$L$5:$O$5,   _xlpm.v, LAW!$L$7:$O$7,   _xlpm.yy,LAW!$L$8:$O$8,   _xlpm.qq,LAW!$L$9:$O$9,   _xlpm.dyy,LAW!$L$10:$O$10,   _xlpm.dqq,LAW!$L$11:$O$11,   _xlpm.dd, TRANSPOSE(_xlpm.d),    _xlpm.block, _xlfn.HSTACK(     _xlfn.MAKEARRAY(ROWS(_xlpm.dd),1, _xlfn.LAMBDA(_xlpm.r,_xlpm.c,LAW!$B$2)),     _xlpm.dd,     _xlfn.MAKEARRAY(ROWS(_xlpm.dd),1, _xlfn.LAMBDA(_xlpm.r,_xlpm.c,LAW!$A$7)),     _xlfn.MAKEARRAY(ROWS(_xlpm.dd),1, _xlfn.LAMBDA(_xlpm.r,_xlpm.c,LAW!$B$7)),     TRANSPOSE(_xlpm.v),     TRANSPOSE(_xlpm.yy),     TRANSPOSE(_xlpm.qq),     TRANSPOSE(_xlpm.dyy),     TRANSPOSE(_xlpm.dqq)   ),    _xlfn._xlws.FILTER(_xlpm.block, INDEX(_xlpm.block,,5) &lt;&gt; "") )</definedName>
    <definedName name="KPI_BLOCK" localSheetId="10">_xlfn.LET(   _xlpm.d, OTEX!$L$5:$O$5,   _xlpm.v, OTEX!$L$7:$O$7,   _xlpm.yy,OTEX!$L$8:$O$8,   _xlpm.qq,OTEX!$L$9:$O$9,   _xlpm.dyy,OTEX!$L$10:$O$10,   _xlpm.dqq,OTEX!$L$11:$O$11,   _xlpm.dd, TRANSPOSE(_xlpm.d),    _xlpm.block, _xlfn.HSTACK(     _xlfn.MAKEARRAY(ROWS(_xlpm.dd),1, _xlfn.LAMBDA(_xlpm.r,_xlpm.c,OTEX!$B$2)),     _xlpm.dd,     _xlfn.MAKEARRAY(ROWS(_xlpm.dd),1, _xlfn.LAMBDA(_xlpm.r,_xlpm.c,OTEX!$A$7)),     _xlfn.MAKEARRAY(ROWS(_xlpm.dd),1, _xlfn.LAMBDA(_xlpm.r,_xlpm.c,OTEX!$B$7)),     TRANSPOSE(_xlpm.v),     TRANSPOSE(_xlpm.yy),     TRANSPOSE(_xlpm.qq),     TRANSPOSE(_xlpm.dyy),     TRANSPOSE(_xlpm.dqq)   ),    _xlfn._xlws.FILTER(_xlpm.block, INDEX(_xlpm.block,,5) &lt;&gt; "") )</definedName>
    <definedName name="KPI_BLOCK" localSheetId="11">_xlfn.LET(   _xlpm.d, PAY!$L$5:$O$5,   _xlpm.v, PAY!$L$7:$O$7,   _xlpm.yy,PAY!$L$8:$O$8,   _xlpm.qq,PAY!$L$9:$O$9,   _xlpm.dyy,PAY!$L$10:$O$10,   _xlpm.dqq,PAY!$L$11:$O$11,   _xlpm.dd, TRANSPOSE(_xlpm.d),    _xlpm.block, _xlfn.HSTACK(     _xlfn.MAKEARRAY(ROWS(_xlpm.dd),1, _xlfn.LAMBDA(_xlpm.r,_xlpm.c,PAY!$B$2)),     _xlpm.dd,     _xlfn.MAKEARRAY(ROWS(_xlpm.dd),1, _xlfn.LAMBDA(_xlpm.r,_xlpm.c,PAY!$A$7)),     _xlfn.MAKEARRAY(ROWS(_xlpm.dd),1, _xlfn.LAMBDA(_xlpm.r,_xlpm.c,PAY!$B$7)),     TRANSPOSE(_xlpm.v),     TRANSPOSE(_xlpm.yy),     TRANSPOSE(_xlpm.qq),     TRANSPOSE(_xlpm.dyy),     TRANSPOSE(_xlpm.dqq)   ),    _xlfn._xlws.FILTER(_xlpm.block, INDEX(_xlpm.block,,5) &lt;&gt; "") )</definedName>
    <definedName name="KPI_BLOCK" localSheetId="12">_xlfn.LET(   _xlpm.d, QLYS!$L$5:$O$5,   _xlpm.v, QLYS!$L$7:$O$7,   _xlpm.yy,QLYS!$L$8:$O$8,   _xlpm.qq,QLYS!$L$9:$O$9,   _xlpm.dyy,QLYS!$L$10:$O$10,   _xlpm.dqq,QLYS!$L$11:$O$11,   _xlpm.dd, TRANSPOSE(_xlpm.d),    _xlpm.block, _xlfn.HSTACK(     _xlfn.MAKEARRAY(ROWS(_xlpm.dd),1, _xlfn.LAMBDA(_xlpm.r,_xlpm.c,QLYS!$B$2)),     _xlpm.dd,     _xlfn.MAKEARRAY(ROWS(_xlpm.dd),1, _xlfn.LAMBDA(_xlpm.r,_xlpm.c,QLYS!$A$7)),     _xlfn.MAKEARRAY(ROWS(_xlpm.dd),1, _xlfn.LAMBDA(_xlpm.r,_xlpm.c,QLYS!$B$7)),     TRANSPOSE(_xlpm.v),     TRANSPOSE(_xlpm.yy),     TRANSPOSE(_xlpm.qq),     TRANSPOSE(_xlpm.dyy),     TRANSPOSE(_xlpm.dqq)   ),    _xlfn._xlws.FILTER(_xlpm.block, INDEX(_xlpm.block,,5) &lt;&gt; "") )</definedName>
    <definedName name="KPI_BLOCK" localSheetId="13">_xlfn.LET(   _xlpm.d, RPD!$L$5:$O$5,   _xlpm.v, RPD!$L$7:$O$7,   _xlpm.yy,RPD!$L$8:$O$8,   _xlpm.qq,RPD!$L$9:$O$9,   _xlpm.dyy,RPD!$L$10:$O$10,   _xlpm.dqq,RPD!$L$11:$O$11,   _xlpm.dd, TRANSPOSE(_xlpm.d),    _xlpm.block, _xlfn.HSTACK(     _xlfn.MAKEARRAY(ROWS(_xlpm.dd),1, _xlfn.LAMBDA(_xlpm.r,_xlpm.c,RPD!$B$2)),     _xlpm.dd,     _xlfn.MAKEARRAY(ROWS(_xlpm.dd),1, _xlfn.LAMBDA(_xlpm.r,_xlpm.c,RPD!$A$7)),     _xlfn.MAKEARRAY(ROWS(_xlpm.dd),1, _xlfn.LAMBDA(_xlpm.r,_xlpm.c,RPD!$B$7)),     TRANSPOSE(_xlpm.v),     TRANSPOSE(_xlpm.yy),     TRANSPOSE(_xlpm.qq),     TRANSPOSE(_xlpm.dyy),     TRANSPOSE(_xlpm.dqq)   ),    _xlfn._xlws.FILTER(_xlpm.block, INDEX(_xlpm.block,,5) &lt;&gt; "") )</definedName>
    <definedName name="KPI_BLOCK" localSheetId="14">_xlfn.LET(   _xlpm.d, SPSC!$L$5:$O$5,   _xlpm.v, SPSC!$L$7:$O$7,   _xlpm.yy,SPSC!$L$8:$O$8,   _xlpm.qq,SPSC!$L$9:$O$9,   _xlpm.dyy,SPSC!$L$10:$O$10,   _xlpm.dqq,SPSC!$L$11:$O$11,   _xlpm.dd, TRANSPOSE(_xlpm.d),    _xlpm.block, _xlfn.HSTACK(     _xlfn.MAKEARRAY(ROWS(_xlpm.dd),1, _xlfn.LAMBDA(_xlpm.r,_xlpm.c,SPSC!$B$2)),     _xlpm.dd,     _xlfn.MAKEARRAY(ROWS(_xlpm.dd),1, _xlfn.LAMBDA(_xlpm.r,_xlpm.c,SPSC!$A$7)),     _xlfn.MAKEARRAY(ROWS(_xlpm.dd),1, _xlfn.LAMBDA(_xlpm.r,_xlpm.c,SPSC!$B$7)),     TRANSPOSE(_xlpm.v),     TRANSPOSE(_xlpm.yy),     TRANSPOSE(_xlpm.qq),     TRANSPOSE(_xlpm.dyy),     TRANSPOSE(_xlpm.dqq)   ),    _xlfn._xlws.FILTER(_xlpm.block, INDEX(_xlpm.block,,5) &lt;&gt; "") )</definedName>
    <definedName name="KPI_BLOCK" localSheetId="15">_xlfn.LET(   _xlpm.d, TENB!$L$5:$O$5,   _xlpm.v, TENB!$L$7:$O$7,   _xlpm.yy,TENB!$L$8:$O$8,   _xlpm.qq,TENB!$L$9:$O$9,   _xlpm.dyy,TENB!$L$10:$O$10,   _xlpm.dqq,TENB!$L$11:$O$11,   _xlpm.dd, TRANSPOSE(_xlpm.d),    _xlpm.block, _xlfn.HSTACK(     _xlfn.MAKEARRAY(ROWS(_xlpm.dd),1, _xlfn.LAMBDA(_xlpm.r,_xlpm.c,TENB!$B$2)),     _xlpm.dd,     _xlfn.MAKEARRAY(ROWS(_xlpm.dd),1, _xlfn.LAMBDA(_xlpm.r,_xlpm.c,TENB!$A$7)),     _xlfn.MAKEARRAY(ROWS(_xlpm.dd),1, _xlfn.LAMBDA(_xlpm.r,_xlpm.c,TENB!$B$7)),     TRANSPOSE(_xlpm.v),     TRANSPOSE(_xlpm.yy),     TRANSPOSE(_xlpm.qq),     TRANSPOSE(_xlpm.dyy),     TRANSPOSE(_xlpm.dqq)   ),    _xlfn._xlws.FILTER(_xlpm.block, INDEX(_xlpm.block,,5) &lt;&gt; "") )</definedName>
    <definedName name="KPI_BLOCK" localSheetId="16">_xlfn.LET(   _xlpm.d, TYL!$L$5:$O$5,   _xlpm.v, TYL!$L$7:$O$7,   _xlpm.yy,TYL!$L$8:$O$8,   _xlpm.qq,TYL!$L$9:$O$9,   _xlpm.dyy,TYL!$L$10:$O$10,   _xlpm.dqq,TYL!$L$11:$O$11,   _xlpm.dd, TRANSPOSE(_xlpm.d),    _xlpm.block, _xlfn.HSTACK(     _xlfn.MAKEARRAY(ROWS(_xlpm.dd),1, _xlfn.LAMBDA(_xlpm.r,_xlpm.c,TYL!$B$2)),     _xlpm.dd,     _xlfn.MAKEARRAY(ROWS(_xlpm.dd),1, _xlfn.LAMBDA(_xlpm.r,_xlpm.c,TYL!$A$7)),     _xlfn.MAKEARRAY(ROWS(_xlpm.dd),1, _xlfn.LAMBDA(_xlpm.r,_xlpm.c,TYL!$B$7)),     TRANSPOSE(_xlpm.v),     TRANSPOSE(_xlpm.yy),     TRANSPOSE(_xlpm.qq),     TRANSPOSE(_xlpm.dyy),     TRANSPOSE(_xlpm.dqq)   ),    _xlfn._xlws.FILTER(_xlpm.block, INDEX(_xlpm.block,,5) &lt;&gt; "") )</definedName>
    <definedName name="KPI_BLOCK" localSheetId="17">_xlfn.LET(   _xlpm.d, VRNS!$L$5:$O$5,   _xlpm.v, VRNS!$L$7:$O$7,   _xlpm.yy,VRNS!$L$8:$O$8,   _xlpm.qq,VRNS!$L$9:$O$9,   _xlpm.dyy,VRNS!$L$10:$O$10,   _xlpm.dqq,VRNS!$L$11:$O$11,   _xlpm.dd, TRANSPOSE(_xlpm.d),    _xlpm.block, _xlfn.HSTACK(     _xlfn.MAKEARRAY(ROWS(_xlpm.dd),1, _xlfn.LAMBDA(_xlpm.r,_xlpm.c,VRNS!$B$2)),     _xlpm.dd,     _xlfn.MAKEARRAY(ROWS(_xlpm.dd),1, _xlfn.LAMBDA(_xlpm.r,_xlpm.c,VRNS!$A$7)),     _xlfn.MAKEARRAY(ROWS(_xlpm.dd),1, _xlfn.LAMBDA(_xlpm.r,_xlpm.c,VRNS!$B$7)),     TRANSPOSE(_xlpm.v),     TRANSPOSE(_xlpm.yy),     TRANSPOSE(_xlpm.qq),     TRANSPOSE(_xlpm.dyy),     TRANSPOSE(_xlpm.dqq)   ),    _xlfn._xlws.FILTER(_xlpm.block, INDEX(_xlpm.block,,5) &lt;&gt; "") )</definedName>
    <definedName name="KPI_BLOCK" localSheetId="18">_xlfn.LET(   _xlpm.d, WIX!$L$5:$O$5,   _xlpm.v, WIX!$L$7:$O$7,   _xlpm.yy,WIX!$L$8:$O$8,   _xlpm.qq,WIX!$L$9:$O$9,   _xlpm.dyy,WIX!$L$10:$O$10,   _xlpm.dqq,WIX!$L$11:$O$11,   _xlpm.dd, TRANSPOSE(_xlpm.d),    _xlpm.block, _xlfn.HSTACK(     _xlfn.MAKEARRAY(ROWS(_xlpm.dd),1, _xlfn.LAMBDA(_xlpm.r,_xlpm.c,WIX!$B$2)),     _xlpm.dd,     _xlfn.MAKEARRAY(ROWS(_xlpm.dd),1, _xlfn.LAMBDA(_xlpm.r,_xlpm.c,WIX!$A$7)),     _xlfn.MAKEARRAY(ROWS(_xlpm.dd),1, _xlfn.LAMBDA(_xlpm.r,_xlpm.c,WIX!$B$7)),     TRANSPOSE(_xlpm.v),     TRANSPOSE(_xlpm.yy),     TRANSPOSE(_xlpm.qq),     TRANSPOSE(_xlpm.dyy),     TRANSPOSE(_xlpm.dqq)   ),    _xlfn._xlws.FILTER(_xlpm.block, INDEX(_xlpm.block,,5) &lt;&gt; "") )</definedName>
    <definedName name="KPI_BLOCK" localSheetId="19">_xlfn.LET(   _xlpm.d, WK!$L$5:$O$5,   _xlpm.v, WK!$L$7:$O$7,   _xlpm.yy,WK!$L$8:$O$8,   _xlpm.qq,WK!$L$9:$O$9,   _xlpm.dyy,WK!$L$10:$O$10,   _xlpm.dqq,WK!$L$11:$O$11,   _xlpm.dd, TRANSPOSE(_xlpm.d),    _xlpm.block, _xlfn.HSTACK(     _xlfn.MAKEARRAY(ROWS(_xlpm.dd),1, _xlfn.LAMBDA(_xlpm.r,_xlpm.c,WK!$B$2)),     _xlpm.dd,     _xlfn.MAKEARRAY(ROWS(_xlpm.dd),1, _xlfn.LAMBDA(_xlpm.r,_xlpm.c,WK!$A$7)),     _xlfn.MAKEARRAY(ROWS(_xlpm.dd),1, _xlfn.LAMBDA(_xlpm.r,_xlpm.c,WK!$B$7)),     TRANSPOSE(_xlpm.v),     TRANSPOSE(_xlpm.yy),     TRANSPOSE(_xlpm.qq),     TRANSPOSE(_xlpm.dyy),     TRANSPOSE(_xlpm.dqq)   ),    _xlfn._xlws.FILTER(_xlpm.block, INDEX(_xlpm.block,,5) &lt;&gt; "") )</definedName>
    <definedName name="KPI_BLOCK" localSheetId="20">_xlfn.LET(   _xlpm.d, ZIP!$L$5:$O$5,   _xlpm.v, ZIP!$L$7:$O$7,   _xlpm.yy,ZIP!$L$8:$O$8,   _xlpm.qq,ZIP!$L$9:$O$9,   _xlpm.dyy,ZIP!$L$10:$O$10,   _xlpm.dqq,ZIP!$L$11:$O$11,   _xlpm.dd, TRANSPOSE(_xlpm.d),    _xlpm.block, _xlfn.HSTACK(     _xlfn.MAKEARRAY(ROWS(_xlpm.dd),1, _xlfn.LAMBDA(_xlpm.r,_xlpm.c,ZIP!$B$2)),     _xlpm.dd,     _xlfn.MAKEARRAY(ROWS(_xlpm.dd),1, _xlfn.LAMBDA(_xlpm.r,_xlpm.c,ZIP!$A$7)),     _xlfn.MAKEARRAY(ROWS(_xlpm.dd),1, _xlfn.LAMBDA(_xlpm.r,_xlpm.c,ZIP!$B$7)),     TRANSPOSE(_xlpm.v),     TRANSPOSE(_xlpm.yy),     TRANSPOSE(_xlpm.qq),     TRANSPOSE(_xlpm.dyy),     TRANSPOSE(_xlpm.dqq)   ),    _xlfn._xlws.FILTER(_xlpm.block, INDEX(_xlpm.block,,5) &lt;&gt; "") )</definedName>
    <definedName name="KPI_BLOCK">_xlfn.LET(   _xlpm.d, AMPL!$L$5:$O$5,   _xlpm.v, AMPL!$L$7:$O$7,   _xlpm.yy,AMPL!$L$8:$O$8,   _xlpm.qq,AMPL!$L$9:$O$9,   _xlpm.dyy,AMPL!$L$10:$O$10,   _xlpm.dqq,AMPL!$L$11:$O$11,   _xlpm.dd, TRANSPOSE(_xlpm.d),    _xlpm.block, _xlfn.HSTACK(     _xlfn.MAKEARRAY(ROWS(_xlpm.dd),1, _xlfn.LAMBDA(_xlpm.r,_xlpm.c,AMPL!$B$2)),     _xlpm.dd,     _xlfn.MAKEARRAY(ROWS(_xlpm.dd),1, _xlfn.LAMBDA(_xlpm.r,_xlpm.c,AMPL!$A$7)),     _xlfn.MAKEARRAY(ROWS(_xlpm.dd),1, _xlfn.LAMBDA(_xlpm.r,_xlpm.c,AMPL!$B$7)),     TRANSPOSE(_xlpm.v),     TRANSPOSE(_xlpm.yy),     TRANSPOSE(_xlpm.qq),     TRANSPOSE(_xlpm.dyy),     TRANSPOSE(_xlpm.dqq)   ),    _xlfn._xlws.FILTER(_xlpm.block, INDEX(_xlpm.block,,5) &lt;&gt; "") 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4" l="1"/>
  <c r="F29" i="14"/>
  <c r="G29" i="14"/>
  <c r="H29" i="14"/>
  <c r="I29" i="14"/>
  <c r="J29" i="14"/>
  <c r="K29" i="14"/>
  <c r="L29" i="14"/>
  <c r="M29" i="14"/>
  <c r="N29" i="14"/>
  <c r="O29" i="14"/>
  <c r="I32" i="14"/>
  <c r="J32" i="14"/>
  <c r="K32" i="14"/>
  <c r="O34" i="14" s="1"/>
  <c r="L32" i="14"/>
  <c r="M32" i="14"/>
  <c r="M33" i="14" s="1"/>
  <c r="N32" i="14"/>
  <c r="O32" i="14"/>
  <c r="O33" i="14"/>
  <c r="N34" i="14"/>
  <c r="M35" i="14"/>
  <c r="N35" i="14"/>
  <c r="O35" i="14"/>
  <c r="E37" i="14"/>
  <c r="F37" i="14"/>
  <c r="G37" i="14"/>
  <c r="H37" i="14"/>
  <c r="I37" i="14"/>
  <c r="J37" i="14"/>
  <c r="K37" i="14"/>
  <c r="L37" i="14"/>
  <c r="M37" i="14"/>
  <c r="N37" i="14"/>
  <c r="O37" i="14"/>
  <c r="I40" i="14"/>
  <c r="J40" i="14"/>
  <c r="K40" i="14"/>
  <c r="L40" i="14"/>
  <c r="M40" i="14"/>
  <c r="M42" i="14" s="1"/>
  <c r="N40" i="14"/>
  <c r="N42" i="14" s="1"/>
  <c r="O40" i="14"/>
  <c r="O42" i="14" s="1"/>
  <c r="M41" i="14"/>
  <c r="N41" i="14"/>
  <c r="O41" i="14"/>
  <c r="M43" i="14"/>
  <c r="N43" i="14"/>
  <c r="O43" i="14"/>
  <c r="E45" i="14"/>
  <c r="F45" i="14"/>
  <c r="G45" i="14"/>
  <c r="H45" i="14"/>
  <c r="I45" i="14"/>
  <c r="J45" i="14"/>
  <c r="K45" i="14"/>
  <c r="L45" i="14"/>
  <c r="M45" i="14"/>
  <c r="N45" i="14"/>
  <c r="O45" i="14"/>
  <c r="I48" i="14"/>
  <c r="J48" i="14"/>
  <c r="K48" i="14"/>
  <c r="L48" i="14"/>
  <c r="M48" i="14"/>
  <c r="N48" i="14"/>
  <c r="O48" i="14"/>
  <c r="M51" i="14"/>
  <c r="N51" i="14"/>
  <c r="O51" i="14"/>
  <c r="B4" i="14"/>
  <c r="O51" i="26"/>
  <c r="N51" i="26"/>
  <c r="M51" i="26"/>
  <c r="L51" i="26"/>
  <c r="O48" i="26"/>
  <c r="N48" i="26"/>
  <c r="M48" i="26"/>
  <c r="L48" i="26"/>
  <c r="K48" i="26"/>
  <c r="J48" i="26"/>
  <c r="I48" i="26"/>
  <c r="H48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M34" i="14" l="1"/>
  <c r="N33" i="14"/>
  <c r="L50" i="26"/>
  <c r="M50" i="26"/>
  <c r="N50" i="26"/>
  <c r="O50" i="26"/>
  <c r="L49" i="26"/>
  <c r="M49" i="26"/>
  <c r="N49" i="26"/>
  <c r="O49" i="26"/>
  <c r="N43" i="30" l="1"/>
  <c r="M43" i="30"/>
  <c r="L43" i="30"/>
  <c r="N40" i="30"/>
  <c r="M40" i="30"/>
  <c r="L40" i="30"/>
  <c r="K40" i="30"/>
  <c r="J40" i="30"/>
  <c r="I40" i="30"/>
  <c r="O43" i="26"/>
  <c r="N43" i="26"/>
  <c r="M43" i="26"/>
  <c r="L43" i="26"/>
  <c r="O40" i="26"/>
  <c r="N40" i="26"/>
  <c r="M40" i="26"/>
  <c r="L40" i="26"/>
  <c r="K40" i="26"/>
  <c r="J40" i="26"/>
  <c r="I40" i="26"/>
  <c r="H40" i="26"/>
  <c r="Q30" i="31" a="1"/>
  <c r="Q30" i="31" s="1"/>
  <c r="Q26" i="31" a="1"/>
  <c r="Q26" i="31" s="1"/>
  <c r="B4" i="31"/>
  <c r="B3" i="31" s="1"/>
  <c r="O51" i="30"/>
  <c r="N51" i="30"/>
  <c r="M51" i="30"/>
  <c r="L51" i="30"/>
  <c r="O48" i="30"/>
  <c r="N48" i="30"/>
  <c r="M48" i="30"/>
  <c r="L48" i="30"/>
  <c r="K48" i="30"/>
  <c r="J48" i="30"/>
  <c r="I48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N37" i="30"/>
  <c r="M37" i="30"/>
  <c r="L37" i="30"/>
  <c r="K37" i="30"/>
  <c r="J37" i="30"/>
  <c r="I37" i="30"/>
  <c r="H37" i="30"/>
  <c r="G37" i="30"/>
  <c r="F37" i="30"/>
  <c r="E37" i="30"/>
  <c r="D37" i="30"/>
  <c r="O35" i="30"/>
  <c r="N35" i="30"/>
  <c r="M35" i="30"/>
  <c r="L35" i="30"/>
  <c r="O32" i="30"/>
  <c r="N32" i="30"/>
  <c r="M32" i="30"/>
  <c r="M34" i="30" s="1"/>
  <c r="L32" i="30"/>
  <c r="K32" i="30"/>
  <c r="J32" i="30"/>
  <c r="I32" i="30"/>
  <c r="Q30" i="30" a="1"/>
  <c r="Q30" i="30" s="1"/>
  <c r="O29" i="30"/>
  <c r="N29" i="30"/>
  <c r="M29" i="30"/>
  <c r="L29" i="30"/>
  <c r="K29" i="30"/>
  <c r="J29" i="30"/>
  <c r="I29" i="30"/>
  <c r="H29" i="30"/>
  <c r="G29" i="30"/>
  <c r="F29" i="30"/>
  <c r="E29" i="30"/>
  <c r="D29" i="30"/>
  <c r="Q26" i="30" a="1"/>
  <c r="Q26" i="30" s="1"/>
  <c r="B4" i="30"/>
  <c r="B3" i="30" s="1"/>
  <c r="O43" i="29"/>
  <c r="N43" i="29"/>
  <c r="M43" i="29"/>
  <c r="L43" i="29"/>
  <c r="O40" i="29"/>
  <c r="N40" i="29"/>
  <c r="N41" i="29" s="1"/>
  <c r="M40" i="29"/>
  <c r="L40" i="29"/>
  <c r="K40" i="29"/>
  <c r="J40" i="29"/>
  <c r="I40" i="29"/>
  <c r="H40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D14" i="30" a="1"/>
  <c r="D22" i="30" a="1"/>
  <c r="D6" i="30" a="1"/>
  <c r="D14" i="31" a="1"/>
  <c r="D22" i="31" a="1"/>
  <c r="D6" i="31" a="1"/>
  <c r="D6" i="31" l="1"/>
  <c r="D22" i="31"/>
  <c r="D21" i="31" s="1"/>
  <c r="D14" i="31"/>
  <c r="D13" i="31" s="1"/>
  <c r="D6" i="30"/>
  <c r="D5" i="30" s="1"/>
  <c r="D22" i="30"/>
  <c r="D21" i="30" s="1"/>
  <c r="D14" i="30"/>
  <c r="D5" i="31"/>
  <c r="O16" i="31"/>
  <c r="K13" i="31"/>
  <c r="N16" i="31"/>
  <c r="J13" i="31"/>
  <c r="M16" i="31"/>
  <c r="I13" i="31"/>
  <c r="I16" i="31"/>
  <c r="L16" i="31"/>
  <c r="H13" i="31"/>
  <c r="O13" i="31"/>
  <c r="L19" i="31"/>
  <c r="N13" i="31"/>
  <c r="K16" i="31"/>
  <c r="G13" i="31"/>
  <c r="J16" i="31"/>
  <c r="F13" i="31"/>
  <c r="M13" i="31"/>
  <c r="E13" i="31"/>
  <c r="O19" i="31"/>
  <c r="N19" i="31"/>
  <c r="H16" i="31"/>
  <c r="M19" i="31"/>
  <c r="L13" i="31"/>
  <c r="M21" i="31"/>
  <c r="L21" i="31"/>
  <c r="O24" i="31"/>
  <c r="K21" i="31"/>
  <c r="N27" i="31"/>
  <c r="N24" i="31"/>
  <c r="J21" i="31"/>
  <c r="N21" i="31"/>
  <c r="M24" i="31"/>
  <c r="I21" i="31"/>
  <c r="G21" i="31"/>
  <c r="H24" i="31"/>
  <c r="L24" i="31"/>
  <c r="H21" i="31"/>
  <c r="K24" i="31"/>
  <c r="J24" i="31"/>
  <c r="F21" i="31"/>
  <c r="I24" i="31"/>
  <c r="E21" i="31"/>
  <c r="M27" i="31"/>
  <c r="L27" i="31"/>
  <c r="O27" i="31"/>
  <c r="O21" i="31"/>
  <c r="O5" i="31"/>
  <c r="N5" i="31"/>
  <c r="O8" i="31"/>
  <c r="K5" i="31"/>
  <c r="M8" i="31"/>
  <c r="L8" i="31"/>
  <c r="M11" i="31"/>
  <c r="J8" i="31"/>
  <c r="H8" i="31"/>
  <c r="M5" i="31"/>
  <c r="L11" i="31"/>
  <c r="L5" i="31"/>
  <c r="N11" i="31"/>
  <c r="K8" i="31"/>
  <c r="F5" i="31"/>
  <c r="I8" i="31"/>
  <c r="N8" i="31"/>
  <c r="J5" i="31"/>
  <c r="O11" i="31"/>
  <c r="I5" i="31"/>
  <c r="G5" i="31"/>
  <c r="H5" i="31"/>
  <c r="E5" i="31"/>
  <c r="Q18" i="31" a="1"/>
  <c r="Q18" i="31" s="1"/>
  <c r="Q14" i="31" a="1"/>
  <c r="Q14" i="31" s="1"/>
  <c r="Q22" i="31" a="1"/>
  <c r="Q22" i="31" s="1"/>
  <c r="O50" i="30"/>
  <c r="M49" i="30"/>
  <c r="N50" i="30"/>
  <c r="L49" i="30"/>
  <c r="N49" i="30"/>
  <c r="O49" i="30"/>
  <c r="M50" i="30"/>
  <c r="Q22" i="30" s="1" a="1"/>
  <c r="Q22" i="30" s="1"/>
  <c r="O33" i="30"/>
  <c r="O34" i="30"/>
  <c r="D13" i="30"/>
  <c r="M11" i="30"/>
  <c r="K8" i="30"/>
  <c r="G5" i="30"/>
  <c r="L11" i="30"/>
  <c r="J8" i="30"/>
  <c r="F5" i="30"/>
  <c r="O5" i="30"/>
  <c r="M5" i="30"/>
  <c r="I8" i="30"/>
  <c r="E5" i="30"/>
  <c r="N5" i="30"/>
  <c r="N8" i="30"/>
  <c r="O11" i="30"/>
  <c r="M8" i="30"/>
  <c r="I5" i="30"/>
  <c r="H8" i="30"/>
  <c r="J5" i="30"/>
  <c r="N11" i="30"/>
  <c r="L8" i="30"/>
  <c r="H5" i="30"/>
  <c r="L5" i="30"/>
  <c r="O8" i="30"/>
  <c r="K5" i="30"/>
  <c r="O24" i="30"/>
  <c r="K21" i="30"/>
  <c r="N24" i="30"/>
  <c r="I21" i="30"/>
  <c r="F21" i="30"/>
  <c r="O27" i="30"/>
  <c r="L27" i="30"/>
  <c r="M24" i="30"/>
  <c r="I24" i="30"/>
  <c r="E21" i="30"/>
  <c r="N27" i="30"/>
  <c r="M27" i="30"/>
  <c r="O21" i="30"/>
  <c r="N21" i="30"/>
  <c r="M21" i="30"/>
  <c r="L21" i="30"/>
  <c r="H24" i="30"/>
  <c r="J21" i="30"/>
  <c r="J24" i="30"/>
  <c r="L24" i="30"/>
  <c r="H21" i="30"/>
  <c r="K24" i="30"/>
  <c r="G21" i="30"/>
  <c r="O19" i="30"/>
  <c r="N19" i="30"/>
  <c r="M16" i="30"/>
  <c r="I13" i="30"/>
  <c r="H13" i="30"/>
  <c r="M19" i="30"/>
  <c r="O13" i="30"/>
  <c r="L19" i="30"/>
  <c r="N13" i="30"/>
  <c r="L13" i="30"/>
  <c r="L16" i="30"/>
  <c r="K16" i="30"/>
  <c r="M13" i="30"/>
  <c r="O16" i="30"/>
  <c r="K13" i="30"/>
  <c r="N16" i="30"/>
  <c r="J13" i="30"/>
  <c r="G13" i="30"/>
  <c r="H16" i="30"/>
  <c r="J16" i="30"/>
  <c r="F13" i="30"/>
  <c r="I16" i="30"/>
  <c r="E13" i="30"/>
  <c r="L33" i="30"/>
  <c r="Q14" i="30" s="1" a="1"/>
  <c r="Q14" i="30" s="1"/>
  <c r="Q18" i="30" a="1"/>
  <c r="Q18" i="30" s="1"/>
  <c r="M33" i="30"/>
  <c r="N34" i="30"/>
  <c r="N33" i="30"/>
  <c r="L42" i="29"/>
  <c r="O42" i="29"/>
  <c r="M42" i="29"/>
  <c r="M41" i="29"/>
  <c r="L41" i="29"/>
  <c r="N42" i="29"/>
  <c r="O41" i="29"/>
  <c r="Q2" i="31" l="1" a="1"/>
  <c r="Q2" i="31" s="1"/>
  <c r="Q10" i="31" a="1"/>
  <c r="Q10" i="31" s="1"/>
  <c r="Q6" i="31" a="1"/>
  <c r="Q6" i="31" s="1"/>
  <c r="L10" i="31"/>
  <c r="L9" i="31"/>
  <c r="M10" i="31"/>
  <c r="M9" i="31"/>
  <c r="O9" i="31"/>
  <c r="O10" i="31"/>
  <c r="N9" i="31"/>
  <c r="N10" i="31"/>
  <c r="Q10" i="30" a="1"/>
  <c r="Q10" i="30" s="1"/>
  <c r="N9" i="30"/>
  <c r="N10" i="30"/>
  <c r="M9" i="30"/>
  <c r="M10" i="30"/>
  <c r="O10" i="30"/>
  <c r="O9" i="30"/>
  <c r="Q6" i="30" a="1"/>
  <c r="Q6" i="30" s="1"/>
  <c r="Q2" i="30" a="1"/>
  <c r="Q2" i="30" s="1"/>
  <c r="L10" i="30"/>
  <c r="L9" i="30"/>
  <c r="O35" i="29" l="1"/>
  <c r="N35" i="29"/>
  <c r="M35" i="29"/>
  <c r="L35" i="29"/>
  <c r="O32" i="29"/>
  <c r="N32" i="29"/>
  <c r="M32" i="29"/>
  <c r="L32" i="29"/>
  <c r="K32" i="29"/>
  <c r="J32" i="29"/>
  <c r="I32" i="29"/>
  <c r="H32" i="29"/>
  <c r="Q30" i="29" a="1"/>
  <c r="Q30" i="29" s="1"/>
  <c r="O29" i="29"/>
  <c r="N29" i="29"/>
  <c r="M29" i="29"/>
  <c r="L29" i="29"/>
  <c r="K29" i="29"/>
  <c r="J29" i="29"/>
  <c r="I29" i="29"/>
  <c r="H29" i="29"/>
  <c r="G29" i="29"/>
  <c r="F29" i="29"/>
  <c r="E29" i="29"/>
  <c r="D29" i="29"/>
  <c r="Q26" i="29" a="1"/>
  <c r="Q26" i="29" s="1"/>
  <c r="Q22" i="29" a="1"/>
  <c r="Q22" i="29" s="1"/>
  <c r="Q18" i="29" a="1"/>
  <c r="Q18" i="29" s="1"/>
  <c r="B4" i="29"/>
  <c r="B3" i="29" s="1"/>
  <c r="D6" i="29" a="1"/>
  <c r="D22" i="29" a="1"/>
  <c r="D14" i="29" a="1"/>
  <c r="D14" i="29" l="1"/>
  <c r="D22" i="29"/>
  <c r="D6" i="29"/>
  <c r="N34" i="29"/>
  <c r="O34" i="29"/>
  <c r="L34" i="29"/>
  <c r="M34" i="29"/>
  <c r="D21" i="29"/>
  <c r="D13" i="29"/>
  <c r="D5" i="29"/>
  <c r="M11" i="29"/>
  <c r="K8" i="29"/>
  <c r="G5" i="29"/>
  <c r="L11" i="29"/>
  <c r="J8" i="29"/>
  <c r="F5" i="29"/>
  <c r="I8" i="29"/>
  <c r="E5" i="29"/>
  <c r="H8" i="29"/>
  <c r="O11" i="29"/>
  <c r="O5" i="29"/>
  <c r="M8" i="29"/>
  <c r="N5" i="29"/>
  <c r="M5" i="29"/>
  <c r="L5" i="29"/>
  <c r="O8" i="29"/>
  <c r="K5" i="29"/>
  <c r="I5" i="29"/>
  <c r="N8" i="29"/>
  <c r="J5" i="29"/>
  <c r="N11" i="29"/>
  <c r="L8" i="29"/>
  <c r="H5" i="29"/>
  <c r="O27" i="29"/>
  <c r="N27" i="29"/>
  <c r="M27" i="29"/>
  <c r="O21" i="29"/>
  <c r="L27" i="29"/>
  <c r="N21" i="29"/>
  <c r="M21" i="29"/>
  <c r="E21" i="29"/>
  <c r="L21" i="29"/>
  <c r="O24" i="29"/>
  <c r="K21" i="29"/>
  <c r="N24" i="29"/>
  <c r="J21" i="29"/>
  <c r="M24" i="29"/>
  <c r="I21" i="29"/>
  <c r="L24" i="29"/>
  <c r="H21" i="29"/>
  <c r="I24" i="29"/>
  <c r="K24" i="29"/>
  <c r="G21" i="29"/>
  <c r="J24" i="29"/>
  <c r="F21" i="29"/>
  <c r="H24" i="29"/>
  <c r="O19" i="29"/>
  <c r="N19" i="29"/>
  <c r="M19" i="29"/>
  <c r="O13" i="29"/>
  <c r="L19" i="29"/>
  <c r="N13" i="29"/>
  <c r="M13" i="29"/>
  <c r="L13" i="29"/>
  <c r="O16" i="29"/>
  <c r="K13" i="29"/>
  <c r="N16" i="29"/>
  <c r="J13" i="29"/>
  <c r="M16" i="29"/>
  <c r="I13" i="29"/>
  <c r="L16" i="29"/>
  <c r="H13" i="29"/>
  <c r="K16" i="29"/>
  <c r="G13" i="29"/>
  <c r="J16" i="29"/>
  <c r="F13" i="29"/>
  <c r="I16" i="29"/>
  <c r="E13" i="29"/>
  <c r="H16" i="29"/>
  <c r="L33" i="29"/>
  <c r="Q14" i="29" s="1" a="1"/>
  <c r="Q14" i="29" s="1"/>
  <c r="M33" i="29"/>
  <c r="N33" i="29"/>
  <c r="O33" i="29"/>
  <c r="M10" i="29" l="1"/>
  <c r="M9" i="29"/>
  <c r="Q6" i="29" a="1"/>
  <c r="Q6" i="29" s="1"/>
  <c r="L10" i="29"/>
  <c r="L9" i="29"/>
  <c r="N10" i="29"/>
  <c r="N9" i="29"/>
  <c r="O10" i="29"/>
  <c r="O9" i="29"/>
  <c r="Q10" i="29" l="1" a="1"/>
  <c r="Q10" i="29" s="1"/>
  <c r="Q2" i="29" a="1"/>
  <c r="Q2" i="29" s="1"/>
  <c r="O35" i="28" l="1"/>
  <c r="N35" i="28"/>
  <c r="M35" i="28"/>
  <c r="L35" i="28"/>
  <c r="O32" i="28"/>
  <c r="O33" i="28" s="1"/>
  <c r="N32" i="28"/>
  <c r="M32" i="28"/>
  <c r="L32" i="28"/>
  <c r="L33" i="28" s="1"/>
  <c r="K32" i="28"/>
  <c r="J32" i="28"/>
  <c r="I32" i="28"/>
  <c r="H32" i="28"/>
  <c r="Q30" i="28" a="1"/>
  <c r="Q30" i="28" s="1"/>
  <c r="O29" i="28"/>
  <c r="N29" i="28"/>
  <c r="M29" i="28"/>
  <c r="L29" i="28"/>
  <c r="K29" i="28"/>
  <c r="J29" i="28"/>
  <c r="I29" i="28"/>
  <c r="H29" i="28"/>
  <c r="G29" i="28"/>
  <c r="F29" i="28"/>
  <c r="E29" i="28"/>
  <c r="D29" i="28"/>
  <c r="Q26" i="28" a="1"/>
  <c r="Q26" i="28" s="1"/>
  <c r="Q22" i="28" a="1"/>
  <c r="Q22" i="28" s="1"/>
  <c r="Q18" i="28" a="1"/>
  <c r="Q18" i="28" s="1"/>
  <c r="B4" i="28"/>
  <c r="B3" i="28" s="1"/>
  <c r="D22" i="28" a="1"/>
  <c r="D14" i="28" a="1"/>
  <c r="D6" i="28" a="1"/>
  <c r="D6" i="28" l="1"/>
  <c r="D14" i="28"/>
  <c r="D13" i="28" s="1"/>
  <c r="D22" i="28"/>
  <c r="M33" i="28"/>
  <c r="N34" i="28"/>
  <c r="M11" i="28"/>
  <c r="K8" i="28"/>
  <c r="G5" i="28"/>
  <c r="L11" i="28"/>
  <c r="J8" i="28"/>
  <c r="F5" i="28"/>
  <c r="I8" i="28"/>
  <c r="E5" i="28"/>
  <c r="H8" i="28"/>
  <c r="D5" i="28"/>
  <c r="O5" i="28"/>
  <c r="N5" i="28"/>
  <c r="N8" i="28"/>
  <c r="M8" i="28"/>
  <c r="I5" i="28"/>
  <c r="M5" i="28"/>
  <c r="K5" i="28"/>
  <c r="O11" i="28"/>
  <c r="L5" i="28"/>
  <c r="N11" i="28"/>
  <c r="L8" i="28"/>
  <c r="H5" i="28"/>
  <c r="O8" i="28"/>
  <c r="J5" i="28"/>
  <c r="O27" i="28"/>
  <c r="D21" i="28"/>
  <c r="N27" i="28"/>
  <c r="N21" i="28"/>
  <c r="M21" i="28"/>
  <c r="L21" i="28"/>
  <c r="O24" i="28"/>
  <c r="K21" i="28"/>
  <c r="N24" i="28"/>
  <c r="J21" i="28"/>
  <c r="E21" i="28"/>
  <c r="H24" i="28"/>
  <c r="M27" i="28"/>
  <c r="O21" i="28"/>
  <c r="L27" i="28"/>
  <c r="M24" i="28"/>
  <c r="I21" i="28"/>
  <c r="L24" i="28"/>
  <c r="H21" i="28"/>
  <c r="G21" i="28"/>
  <c r="F21" i="28"/>
  <c r="I24" i="28"/>
  <c r="K24" i="28"/>
  <c r="J24" i="28"/>
  <c r="O19" i="28"/>
  <c r="N19" i="28"/>
  <c r="M19" i="28"/>
  <c r="O13" i="28"/>
  <c r="L19" i="28"/>
  <c r="N13" i="28"/>
  <c r="L13" i="28"/>
  <c r="K13" i="28"/>
  <c r="J13" i="28"/>
  <c r="I13" i="28"/>
  <c r="L16" i="28"/>
  <c r="H13" i="28"/>
  <c r="M13" i="28"/>
  <c r="O16" i="28"/>
  <c r="N16" i="28"/>
  <c r="K16" i="28"/>
  <c r="G13" i="28"/>
  <c r="F13" i="28"/>
  <c r="I16" i="28"/>
  <c r="E13" i="28"/>
  <c r="H16" i="28"/>
  <c r="M16" i="28"/>
  <c r="J16" i="28"/>
  <c r="Q14" i="28" a="1"/>
  <c r="Q14" i="28" s="1"/>
  <c r="N33" i="28"/>
  <c r="L34" i="28"/>
  <c r="M34" i="28"/>
  <c r="O34" i="28"/>
  <c r="Q10" i="28" l="1" a="1"/>
  <c r="Q10" i="28" s="1"/>
  <c r="N10" i="28"/>
  <c r="N9" i="28"/>
  <c r="M10" i="28"/>
  <c r="M9" i="28"/>
  <c r="Q6" i="28" a="1"/>
  <c r="Q6" i="28" s="1"/>
  <c r="O9" i="28"/>
  <c r="O10" i="28"/>
  <c r="L10" i="28"/>
  <c r="L9" i="28"/>
  <c r="Q2" i="28" a="1"/>
  <c r="Q2" i="28" s="1"/>
  <c r="O35" i="27" l="1"/>
  <c r="N35" i="27"/>
  <c r="M35" i="27"/>
  <c r="L35" i="27"/>
  <c r="O32" i="27"/>
  <c r="O34" i="27" s="1"/>
  <c r="N32" i="27"/>
  <c r="N34" i="27" s="1"/>
  <c r="M32" i="27"/>
  <c r="L32" i="27"/>
  <c r="K32" i="27"/>
  <c r="J32" i="27"/>
  <c r="I32" i="27"/>
  <c r="H32" i="27"/>
  <c r="Q30" i="27" a="1"/>
  <c r="Q30" i="27" s="1"/>
  <c r="O29" i="27"/>
  <c r="N29" i="27"/>
  <c r="M29" i="27"/>
  <c r="L29" i="27"/>
  <c r="K29" i="27"/>
  <c r="J29" i="27"/>
  <c r="I29" i="27"/>
  <c r="H29" i="27"/>
  <c r="G29" i="27"/>
  <c r="F29" i="27"/>
  <c r="E29" i="27"/>
  <c r="D29" i="27"/>
  <c r="Q26" i="27" a="1"/>
  <c r="Q26" i="27" s="1"/>
  <c r="Q22" i="27" a="1"/>
  <c r="Q22" i="27" s="1"/>
  <c r="B4" i="27"/>
  <c r="B3" i="27" s="1"/>
  <c r="D6" i="27" a="1"/>
  <c r="D22" i="27" a="1"/>
  <c r="D14" i="27" a="1"/>
  <c r="D14" i="27" l="1"/>
  <c r="D22" i="27"/>
  <c r="D6" i="27"/>
  <c r="L34" i="27"/>
  <c r="M34" i="27"/>
  <c r="M11" i="27"/>
  <c r="K8" i="27"/>
  <c r="G5" i="27"/>
  <c r="L11" i="27"/>
  <c r="J8" i="27"/>
  <c r="F5" i="27"/>
  <c r="H5" i="27"/>
  <c r="I8" i="27"/>
  <c r="E5" i="27"/>
  <c r="H8" i="27"/>
  <c r="D5" i="27"/>
  <c r="M5" i="27"/>
  <c r="O8" i="27"/>
  <c r="K5" i="27"/>
  <c r="O11" i="27"/>
  <c r="O5" i="27"/>
  <c r="N11" i="27"/>
  <c r="N5" i="27"/>
  <c r="M8" i="27"/>
  <c r="L5" i="27"/>
  <c r="I5" i="27"/>
  <c r="N8" i="27"/>
  <c r="J5" i="27"/>
  <c r="L8" i="27"/>
  <c r="O27" i="27"/>
  <c r="D21" i="27"/>
  <c r="N21" i="27"/>
  <c r="N27" i="27"/>
  <c r="M27" i="27"/>
  <c r="O21" i="27"/>
  <c r="L21" i="27"/>
  <c r="G21" i="27"/>
  <c r="L27" i="27"/>
  <c r="M24" i="27"/>
  <c r="I24" i="27"/>
  <c r="E21" i="27"/>
  <c r="M21" i="27"/>
  <c r="O24" i="27"/>
  <c r="K21" i="27"/>
  <c r="N24" i="27"/>
  <c r="J21" i="27"/>
  <c r="I21" i="27"/>
  <c r="K24" i="27"/>
  <c r="H24" i="27"/>
  <c r="L24" i="27"/>
  <c r="H21" i="27"/>
  <c r="J24" i="27"/>
  <c r="F21" i="27"/>
  <c r="O19" i="27"/>
  <c r="D13" i="27"/>
  <c r="N19" i="27"/>
  <c r="M19" i="27"/>
  <c r="O13" i="27"/>
  <c r="L19" i="27"/>
  <c r="N13" i="27"/>
  <c r="M13" i="27"/>
  <c r="J13" i="27"/>
  <c r="G13" i="27"/>
  <c r="L13" i="27"/>
  <c r="I16" i="27"/>
  <c r="O16" i="27"/>
  <c r="K13" i="27"/>
  <c r="N16" i="27"/>
  <c r="M16" i="27"/>
  <c r="I13" i="27"/>
  <c r="L16" i="27"/>
  <c r="H13" i="27"/>
  <c r="K16" i="27"/>
  <c r="E13" i="27"/>
  <c r="J16" i="27"/>
  <c r="F13" i="27"/>
  <c r="H16" i="27"/>
  <c r="L33" i="27"/>
  <c r="Q14" i="27" s="1" a="1"/>
  <c r="Q14" i="27" s="1"/>
  <c r="Q18" i="27" a="1"/>
  <c r="Q18" i="27" s="1"/>
  <c r="M33" i="27"/>
  <c r="N33" i="27"/>
  <c r="O33" i="27"/>
  <c r="O37" i="26"/>
  <c r="O32" i="26"/>
  <c r="O35" i="26"/>
  <c r="O29" i="26"/>
  <c r="N29" i="25"/>
  <c r="Q6" i="27" l="1" a="1"/>
  <c r="Q6" i="27" s="1"/>
  <c r="Q10" i="27" a="1"/>
  <c r="Q10" i="27" s="1"/>
  <c r="O10" i="27"/>
  <c r="O9" i="27"/>
  <c r="L10" i="27"/>
  <c r="L9" i="27"/>
  <c r="N10" i="27"/>
  <c r="N9" i="27"/>
  <c r="Q2" i="27" a="1"/>
  <c r="Q2" i="27" s="1"/>
  <c r="M9" i="27"/>
  <c r="M10" i="27"/>
  <c r="N37" i="26" l="1"/>
  <c r="M37" i="26"/>
  <c r="L37" i="26"/>
  <c r="K37" i="26"/>
  <c r="J37" i="26"/>
  <c r="I37" i="26"/>
  <c r="H37" i="26"/>
  <c r="G37" i="26"/>
  <c r="F37" i="26"/>
  <c r="E37" i="26"/>
  <c r="D37" i="26"/>
  <c r="N35" i="26"/>
  <c r="M35" i="26"/>
  <c r="L35" i="26"/>
  <c r="M34" i="26"/>
  <c r="N32" i="26"/>
  <c r="O33" i="26" s="1"/>
  <c r="M32" i="26"/>
  <c r="M33" i="26" s="1"/>
  <c r="L32" i="26"/>
  <c r="K32" i="26"/>
  <c r="O34" i="26" s="1"/>
  <c r="J32" i="26"/>
  <c r="I32" i="26"/>
  <c r="H32" i="26"/>
  <c r="Q30" i="26" a="1"/>
  <c r="Q30" i="26" s="1"/>
  <c r="N29" i="26"/>
  <c r="M29" i="26"/>
  <c r="L29" i="26"/>
  <c r="K29" i="26"/>
  <c r="J29" i="26"/>
  <c r="I29" i="26"/>
  <c r="H29" i="26"/>
  <c r="G29" i="26"/>
  <c r="F29" i="26"/>
  <c r="E29" i="26"/>
  <c r="D29" i="26"/>
  <c r="Q26" i="26" a="1"/>
  <c r="Q26" i="26" s="1"/>
  <c r="Q22" i="26" a="1"/>
  <c r="Q22" i="26" s="1"/>
  <c r="B4" i="26"/>
  <c r="B3" i="26" s="1"/>
  <c r="N43" i="25"/>
  <c r="M43" i="25"/>
  <c r="L43" i="25"/>
  <c r="N40" i="25"/>
  <c r="N41" i="25" s="1"/>
  <c r="M40" i="25"/>
  <c r="M42" i="25" s="1"/>
  <c r="L40" i="25"/>
  <c r="L42" i="25" s="1"/>
  <c r="K40" i="25"/>
  <c r="J40" i="25"/>
  <c r="I40" i="25"/>
  <c r="H40" i="25"/>
  <c r="D6" i="26" a="1"/>
  <c r="D14" i="26" a="1"/>
  <c r="D22" i="26" a="1"/>
  <c r="D22" i="26" l="1"/>
  <c r="D14" i="26"/>
  <c r="D6" i="26"/>
  <c r="D5" i="26" s="1"/>
  <c r="L34" i="26"/>
  <c r="D21" i="26"/>
  <c r="N33" i="26"/>
  <c r="L33" i="26"/>
  <c r="D13" i="26"/>
  <c r="L41" i="25"/>
  <c r="M41" i="25"/>
  <c r="M5" i="26"/>
  <c r="L5" i="26"/>
  <c r="O8" i="26"/>
  <c r="K5" i="26"/>
  <c r="N8" i="26"/>
  <c r="I5" i="26"/>
  <c r="N11" i="26"/>
  <c r="N5" i="26"/>
  <c r="O11" i="26"/>
  <c r="H5" i="26"/>
  <c r="M8" i="26"/>
  <c r="J5" i="26"/>
  <c r="L8" i="26"/>
  <c r="M11" i="26"/>
  <c r="K8" i="26"/>
  <c r="G5" i="26"/>
  <c r="L11" i="26"/>
  <c r="J8" i="26"/>
  <c r="F5" i="26"/>
  <c r="H8" i="26"/>
  <c r="I8" i="26"/>
  <c r="E5" i="26"/>
  <c r="O5" i="26"/>
  <c r="M24" i="26"/>
  <c r="I21" i="26"/>
  <c r="L24" i="26"/>
  <c r="H21" i="26"/>
  <c r="G21" i="26"/>
  <c r="J24" i="26"/>
  <c r="F21" i="26"/>
  <c r="K24" i="26"/>
  <c r="I24" i="26"/>
  <c r="E21" i="26"/>
  <c r="H24" i="26"/>
  <c r="M27" i="26"/>
  <c r="O21" i="26"/>
  <c r="O27" i="26"/>
  <c r="N27" i="26"/>
  <c r="M21" i="26"/>
  <c r="L21" i="26"/>
  <c r="O24" i="26"/>
  <c r="K21" i="26"/>
  <c r="N24" i="26"/>
  <c r="L27" i="26"/>
  <c r="N21" i="26"/>
  <c r="J21" i="26"/>
  <c r="K16" i="26"/>
  <c r="G13" i="26"/>
  <c r="J16" i="26"/>
  <c r="F13" i="26"/>
  <c r="I16" i="26"/>
  <c r="E13" i="26"/>
  <c r="H16" i="26"/>
  <c r="L16" i="26"/>
  <c r="O19" i="26"/>
  <c r="N19" i="26"/>
  <c r="M13" i="26"/>
  <c r="M19" i="26"/>
  <c r="O13" i="26"/>
  <c r="L19" i="26"/>
  <c r="N13" i="26"/>
  <c r="O16" i="26"/>
  <c r="K13" i="26"/>
  <c r="J13" i="26"/>
  <c r="M16" i="26"/>
  <c r="I13" i="26"/>
  <c r="L13" i="26"/>
  <c r="N16" i="26"/>
  <c r="H13" i="26"/>
  <c r="Q18" i="26" a="1"/>
  <c r="Q18" i="26" s="1"/>
  <c r="Q14" i="26" a="1"/>
  <c r="Q14" i="26" s="1"/>
  <c r="N34" i="26"/>
  <c r="N42" i="25"/>
  <c r="Q10" i="26" l="1" a="1"/>
  <c r="Q10" i="26" s="1"/>
  <c r="L9" i="26"/>
  <c r="L10" i="26"/>
  <c r="M9" i="26"/>
  <c r="M10" i="26"/>
  <c r="Q6" i="26" a="1"/>
  <c r="Q6" i="26" s="1"/>
  <c r="N9" i="26"/>
  <c r="N10" i="26"/>
  <c r="O10" i="26"/>
  <c r="O9" i="26"/>
  <c r="Q2" i="26" a="1"/>
  <c r="Q2" i="26" s="1"/>
  <c r="O43" i="24" l="1"/>
  <c r="N43" i="24"/>
  <c r="M43" i="24"/>
  <c r="L43" i="24"/>
  <c r="O40" i="24"/>
  <c r="O42" i="24" s="1"/>
  <c r="N40" i="24"/>
  <c r="N41" i="24" s="1"/>
  <c r="M40" i="24"/>
  <c r="M42" i="24" s="1"/>
  <c r="L40" i="24"/>
  <c r="L41" i="24" s="1"/>
  <c r="K40" i="24"/>
  <c r="J40" i="24"/>
  <c r="I40" i="24"/>
  <c r="H40" i="24"/>
  <c r="M41" i="24" l="1"/>
  <c r="O41" i="24"/>
  <c r="L42" i="24"/>
  <c r="N42" i="24"/>
  <c r="N37" i="25" l="1"/>
  <c r="M37" i="25"/>
  <c r="L37" i="25"/>
  <c r="Q18" i="25" s="1" a="1"/>
  <c r="Q18" i="25" s="1"/>
  <c r="K37" i="25"/>
  <c r="J37" i="25"/>
  <c r="I37" i="25"/>
  <c r="H37" i="25"/>
  <c r="G37" i="25"/>
  <c r="F37" i="25"/>
  <c r="E37" i="25"/>
  <c r="D37" i="25"/>
  <c r="N35" i="25"/>
  <c r="M35" i="25"/>
  <c r="L35" i="25"/>
  <c r="N32" i="25"/>
  <c r="N33" i="25" s="1"/>
  <c r="M32" i="25"/>
  <c r="L32" i="25"/>
  <c r="K32" i="25"/>
  <c r="J32" i="25"/>
  <c r="N34" i="25" s="1"/>
  <c r="I32" i="25"/>
  <c r="M34" i="25" s="1"/>
  <c r="H32" i="25"/>
  <c r="L34" i="25" s="1"/>
  <c r="Q30" i="25" a="1"/>
  <c r="Q30" i="25" s="1"/>
  <c r="M29" i="25"/>
  <c r="L29" i="25"/>
  <c r="K29" i="25"/>
  <c r="J29" i="25"/>
  <c r="I29" i="25"/>
  <c r="H29" i="25"/>
  <c r="G29" i="25"/>
  <c r="F29" i="25"/>
  <c r="E29" i="25"/>
  <c r="D29" i="25"/>
  <c r="Q26" i="25" a="1"/>
  <c r="Q26" i="25" s="1"/>
  <c r="Q22" i="25" a="1"/>
  <c r="Q22" i="25" s="1"/>
  <c r="B4" i="25"/>
  <c r="B3" i="25" s="1"/>
  <c r="O37" i="24"/>
  <c r="N37" i="24"/>
  <c r="M37" i="24"/>
  <c r="L37" i="24"/>
  <c r="Q18" i="24" s="1" a="1"/>
  <c r="Q18" i="24" s="1"/>
  <c r="K37" i="24"/>
  <c r="J37" i="24"/>
  <c r="I37" i="24"/>
  <c r="H37" i="24"/>
  <c r="G37" i="24"/>
  <c r="F37" i="24"/>
  <c r="E37" i="24"/>
  <c r="D37" i="24"/>
  <c r="O35" i="24"/>
  <c r="N35" i="24"/>
  <c r="M35" i="24"/>
  <c r="L35" i="24"/>
  <c r="O32" i="24"/>
  <c r="O33" i="24" s="1"/>
  <c r="N32" i="24"/>
  <c r="M32" i="24"/>
  <c r="M34" i="24" s="1"/>
  <c r="L32" i="24"/>
  <c r="L34" i="24" s="1"/>
  <c r="K32" i="24"/>
  <c r="J32" i="24"/>
  <c r="I32" i="24"/>
  <c r="H32" i="24"/>
  <c r="Q30" i="24" a="1"/>
  <c r="Q30" i="24" s="1"/>
  <c r="O29" i="24"/>
  <c r="N29" i="24"/>
  <c r="M29" i="24"/>
  <c r="L29" i="24"/>
  <c r="K29" i="24"/>
  <c r="J29" i="24"/>
  <c r="I29" i="24"/>
  <c r="H29" i="24"/>
  <c r="G29" i="24"/>
  <c r="F29" i="24"/>
  <c r="E29" i="24"/>
  <c r="D29" i="24"/>
  <c r="Q26" i="24" a="1"/>
  <c r="Q26" i="24" s="1"/>
  <c r="Q22" i="24" a="1"/>
  <c r="Q22" i="24" s="1"/>
  <c r="B4" i="24"/>
  <c r="B3" i="24" s="1"/>
  <c r="D22" i="25" a="1"/>
  <c r="D14" i="25" a="1"/>
  <c r="D6" i="25" a="1"/>
  <c r="D6" i="24" a="1"/>
  <c r="D14" i="24" a="1"/>
  <c r="D22" i="24" a="1"/>
  <c r="D22" i="24" l="1"/>
  <c r="D14" i="24"/>
  <c r="D6" i="24"/>
  <c r="D6" i="25"/>
  <c r="D14" i="25"/>
  <c r="D22" i="25"/>
  <c r="D13" i="24"/>
  <c r="D21" i="25"/>
  <c r="D13" i="25"/>
  <c r="M33" i="25"/>
  <c r="L33" i="25"/>
  <c r="Q14" i="25" s="1" a="1"/>
  <c r="Q14" i="25" s="1"/>
  <c r="D5" i="24"/>
  <c r="D21" i="24"/>
  <c r="M33" i="24"/>
  <c r="N34" i="24"/>
  <c r="N33" i="24"/>
  <c r="L33" i="24"/>
  <c r="Q14" i="24" a="1"/>
  <c r="Q14" i="24" s="1"/>
  <c r="O34" i="24"/>
  <c r="M16" i="25"/>
  <c r="I13" i="25"/>
  <c r="L16" i="25"/>
  <c r="H13" i="25"/>
  <c r="E13" i="25"/>
  <c r="K13" i="25"/>
  <c r="K16" i="25"/>
  <c r="G13" i="25"/>
  <c r="I16" i="25"/>
  <c r="N13" i="25"/>
  <c r="J16" i="25"/>
  <c r="F13" i="25"/>
  <c r="H16" i="25"/>
  <c r="O16" i="25"/>
  <c r="N16" i="25"/>
  <c r="J13" i="25"/>
  <c r="O19" i="25"/>
  <c r="N19" i="25"/>
  <c r="M13" i="25"/>
  <c r="M19" i="25"/>
  <c r="O13" i="25"/>
  <c r="L19" i="25"/>
  <c r="L13" i="25"/>
  <c r="O5" i="25"/>
  <c r="O8" i="25"/>
  <c r="E5" i="25"/>
  <c r="N5" i="25"/>
  <c r="D5" i="25"/>
  <c r="M5" i="25"/>
  <c r="K5" i="25"/>
  <c r="I8" i="25"/>
  <c r="H8" i="25"/>
  <c r="L5" i="25"/>
  <c r="N8" i="25"/>
  <c r="J5" i="25"/>
  <c r="N11" i="25"/>
  <c r="O11" i="25"/>
  <c r="M8" i="25"/>
  <c r="I5" i="25"/>
  <c r="L8" i="25"/>
  <c r="H5" i="25"/>
  <c r="J8" i="25"/>
  <c r="M11" i="25"/>
  <c r="K8" i="25"/>
  <c r="G5" i="25"/>
  <c r="L11" i="25"/>
  <c r="F5" i="25"/>
  <c r="O24" i="25"/>
  <c r="K21" i="25"/>
  <c r="N24" i="25"/>
  <c r="J21" i="25"/>
  <c r="K24" i="25"/>
  <c r="M21" i="25"/>
  <c r="M24" i="25"/>
  <c r="I21" i="25"/>
  <c r="G21" i="25"/>
  <c r="L24" i="25"/>
  <c r="H21" i="25"/>
  <c r="J24" i="25"/>
  <c r="F21" i="25"/>
  <c r="L21" i="25"/>
  <c r="I24" i="25"/>
  <c r="E21" i="25"/>
  <c r="H24" i="25"/>
  <c r="N27" i="25"/>
  <c r="O21" i="25"/>
  <c r="O27" i="25"/>
  <c r="M27" i="25"/>
  <c r="L27" i="25"/>
  <c r="N21" i="25"/>
  <c r="O24" i="24"/>
  <c r="K21" i="24"/>
  <c r="M24" i="24"/>
  <c r="I21" i="24"/>
  <c r="L24" i="24"/>
  <c r="N24" i="24"/>
  <c r="J21" i="24"/>
  <c r="H21" i="24"/>
  <c r="L27" i="24"/>
  <c r="M21" i="24"/>
  <c r="K24" i="24"/>
  <c r="G21" i="24"/>
  <c r="J24" i="24"/>
  <c r="F21" i="24"/>
  <c r="E21" i="24"/>
  <c r="O21" i="24"/>
  <c r="I24" i="24"/>
  <c r="M27" i="24"/>
  <c r="N21" i="24"/>
  <c r="H24" i="24"/>
  <c r="O27" i="24"/>
  <c r="L21" i="24"/>
  <c r="N27" i="24"/>
  <c r="O5" i="24"/>
  <c r="L5" i="24"/>
  <c r="N5" i="24"/>
  <c r="M5" i="24"/>
  <c r="O8" i="24"/>
  <c r="K5" i="24"/>
  <c r="M8" i="24"/>
  <c r="L8" i="24"/>
  <c r="M11" i="24"/>
  <c r="L11" i="24"/>
  <c r="J8" i="24"/>
  <c r="F5" i="24"/>
  <c r="E5" i="24"/>
  <c r="N8" i="24"/>
  <c r="J5" i="24"/>
  <c r="O11" i="24"/>
  <c r="I5" i="24"/>
  <c r="N11" i="24"/>
  <c r="H5" i="24"/>
  <c r="K8" i="24"/>
  <c r="G5" i="24"/>
  <c r="H8" i="24"/>
  <c r="I8" i="24"/>
  <c r="M16" i="24"/>
  <c r="I13" i="24"/>
  <c r="L16" i="24"/>
  <c r="G13" i="24"/>
  <c r="F13" i="24"/>
  <c r="H13" i="24"/>
  <c r="K16" i="24"/>
  <c r="O16" i="24"/>
  <c r="K13" i="24"/>
  <c r="J16" i="24"/>
  <c r="N16" i="24"/>
  <c r="I16" i="24"/>
  <c r="E13" i="24"/>
  <c r="N19" i="24"/>
  <c r="O13" i="24"/>
  <c r="N13" i="24"/>
  <c r="H16" i="24"/>
  <c r="O19" i="24"/>
  <c r="M13" i="24"/>
  <c r="L19" i="24"/>
  <c r="L13" i="24"/>
  <c r="M19" i="24"/>
  <c r="J13" i="24"/>
  <c r="Q10" i="25" l="1" a="1"/>
  <c r="Q10" i="25" s="1"/>
  <c r="O9" i="25"/>
  <c r="O10" i="25"/>
  <c r="L9" i="25"/>
  <c r="L10" i="25"/>
  <c r="Q6" i="25" a="1"/>
  <c r="Q6" i="25" s="1"/>
  <c r="M10" i="25"/>
  <c r="M9" i="25"/>
  <c r="N9" i="25"/>
  <c r="N10" i="25"/>
  <c r="Q2" i="25" a="1"/>
  <c r="Q2" i="25" s="1"/>
  <c r="M9" i="24"/>
  <c r="M10" i="24"/>
  <c r="Q2" i="24" a="1"/>
  <c r="Q2" i="24" s="1"/>
  <c r="Q10" i="24" a="1"/>
  <c r="Q10" i="24" s="1"/>
  <c r="O9" i="24"/>
  <c r="O10" i="24"/>
  <c r="Q6" i="24" a="1"/>
  <c r="Q6" i="24" s="1"/>
  <c r="N9" i="24"/>
  <c r="N10" i="24"/>
  <c r="L9" i="24"/>
  <c r="L10" i="24"/>
  <c r="O40" i="20" l="1"/>
  <c r="K40" i="20"/>
  <c r="L43" i="23" l="1"/>
  <c r="M43" i="23"/>
  <c r="N43" i="23"/>
  <c r="O43" i="23"/>
  <c r="H40" i="23"/>
  <c r="I40" i="23"/>
  <c r="J40" i="23"/>
  <c r="K40" i="23"/>
  <c r="L40" i="23"/>
  <c r="M40" i="23"/>
  <c r="N40" i="23"/>
  <c r="O40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O35" i="23" l="1"/>
  <c r="N35" i="23"/>
  <c r="M35" i="23"/>
  <c r="L35" i="23"/>
  <c r="O32" i="23"/>
  <c r="N32" i="23"/>
  <c r="M32" i="23"/>
  <c r="L32" i="23"/>
  <c r="K32" i="23"/>
  <c r="J32" i="23"/>
  <c r="I32" i="23"/>
  <c r="H32" i="23"/>
  <c r="Q30" i="23" a="1"/>
  <c r="Q30" i="23" s="1"/>
  <c r="O29" i="23"/>
  <c r="N29" i="23"/>
  <c r="M29" i="23"/>
  <c r="L29" i="23"/>
  <c r="K29" i="23"/>
  <c r="J29" i="23"/>
  <c r="I29" i="23"/>
  <c r="H29" i="23"/>
  <c r="G29" i="23"/>
  <c r="F29" i="23"/>
  <c r="E29" i="23"/>
  <c r="D29" i="23"/>
  <c r="Q26" i="23" a="1"/>
  <c r="Q26" i="23" s="1"/>
  <c r="Q22" i="23" a="1"/>
  <c r="Q22" i="23" s="1"/>
  <c r="Q18" i="23" a="1"/>
  <c r="Q18" i="23" s="1"/>
  <c r="B4" i="23"/>
  <c r="B3" i="23" s="1"/>
  <c r="Q22" i="22" a="1"/>
  <c r="Q22" i="22" s="1"/>
  <c r="Q18" i="22" a="1"/>
  <c r="Q18" i="22" s="1"/>
  <c r="O35" i="22"/>
  <c r="N35" i="22"/>
  <c r="M35" i="22"/>
  <c r="L35" i="22"/>
  <c r="M34" i="22"/>
  <c r="O32" i="22"/>
  <c r="O34" i="22" s="1"/>
  <c r="N32" i="22"/>
  <c r="M32" i="22"/>
  <c r="L32" i="22"/>
  <c r="L34" i="22" s="1"/>
  <c r="K32" i="22"/>
  <c r="J32" i="22"/>
  <c r="I32" i="22"/>
  <c r="H32" i="22"/>
  <c r="Q30" i="22" a="1"/>
  <c r="Q30" i="22" s="1"/>
  <c r="O29" i="22"/>
  <c r="N29" i="22"/>
  <c r="M29" i="22"/>
  <c r="L29" i="22"/>
  <c r="K29" i="22"/>
  <c r="J29" i="22"/>
  <c r="I29" i="22"/>
  <c r="H29" i="22"/>
  <c r="G29" i="22"/>
  <c r="F29" i="22"/>
  <c r="E29" i="22"/>
  <c r="D29" i="22"/>
  <c r="Q26" i="22" a="1"/>
  <c r="Q26" i="22" s="1"/>
  <c r="B4" i="22"/>
  <c r="B3" i="22" s="1"/>
  <c r="M51" i="21"/>
  <c r="N51" i="21"/>
  <c r="O51" i="21"/>
  <c r="L51" i="21"/>
  <c r="H48" i="21"/>
  <c r="I48" i="21"/>
  <c r="J48" i="21"/>
  <c r="K48" i="21"/>
  <c r="L48" i="21"/>
  <c r="M48" i="21"/>
  <c r="N48" i="21"/>
  <c r="O48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O43" i="21"/>
  <c r="N43" i="21"/>
  <c r="M43" i="21"/>
  <c r="L43" i="21"/>
  <c r="L41" i="21"/>
  <c r="O40" i="21"/>
  <c r="O42" i="21" s="1"/>
  <c r="N40" i="21"/>
  <c r="N41" i="21" s="1"/>
  <c r="M40" i="21"/>
  <c r="M42" i="21" s="1"/>
  <c r="L40" i="21"/>
  <c r="L42" i="21" s="1"/>
  <c r="K40" i="21"/>
  <c r="J40" i="21"/>
  <c r="I40" i="21"/>
  <c r="H40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O35" i="21"/>
  <c r="N35" i="21"/>
  <c r="M35" i="21"/>
  <c r="L35" i="21"/>
  <c r="O32" i="21"/>
  <c r="N32" i="21"/>
  <c r="M32" i="21"/>
  <c r="L32" i="21"/>
  <c r="K32" i="21"/>
  <c r="J32" i="21"/>
  <c r="I32" i="21"/>
  <c r="H32" i="21"/>
  <c r="Q30" i="21" a="1"/>
  <c r="Q30" i="21" s="1"/>
  <c r="O29" i="21"/>
  <c r="N29" i="21"/>
  <c r="M29" i="21"/>
  <c r="L29" i="21"/>
  <c r="K29" i="21"/>
  <c r="J29" i="21"/>
  <c r="I29" i="21"/>
  <c r="H29" i="21"/>
  <c r="G29" i="21"/>
  <c r="F29" i="21"/>
  <c r="E29" i="21"/>
  <c r="D29" i="21"/>
  <c r="Q26" i="21" a="1"/>
  <c r="Q26" i="21" s="1"/>
  <c r="Q22" i="21" a="1"/>
  <c r="Q22" i="21" s="1"/>
  <c r="B4" i="21"/>
  <c r="B3" i="21" s="1"/>
  <c r="O35" i="20"/>
  <c r="N35" i="20"/>
  <c r="M35" i="20"/>
  <c r="L35" i="20"/>
  <c r="M34" i="20"/>
  <c r="O32" i="20"/>
  <c r="O34" i="20" s="1"/>
  <c r="N32" i="20"/>
  <c r="N34" i="20" s="1"/>
  <c r="M32" i="20"/>
  <c r="M33" i="20" s="1"/>
  <c r="L32" i="20"/>
  <c r="L34" i="20" s="1"/>
  <c r="K32" i="20"/>
  <c r="J32" i="20"/>
  <c r="I32" i="20"/>
  <c r="H32" i="20"/>
  <c r="D6" i="22" a="1"/>
  <c r="D22" i="22" a="1"/>
  <c r="D14" i="22" a="1"/>
  <c r="D6" i="21" a="1"/>
  <c r="D22" i="21" a="1"/>
  <c r="D14" i="21" a="1"/>
  <c r="D14" i="23" a="1"/>
  <c r="D6" i="23" a="1"/>
  <c r="D22" i="23" a="1"/>
  <c r="D22" i="23" l="1"/>
  <c r="D6" i="23"/>
  <c r="D14" i="23"/>
  <c r="D14" i="21"/>
  <c r="D22" i="21"/>
  <c r="D6" i="21"/>
  <c r="D14" i="22"/>
  <c r="D22" i="22"/>
  <c r="D6" i="22"/>
  <c r="D21" i="23"/>
  <c r="D13" i="23"/>
  <c r="D21" i="21"/>
  <c r="D5" i="21"/>
  <c r="D5" i="23"/>
  <c r="D13" i="22"/>
  <c r="D21" i="22"/>
  <c r="L34" i="23"/>
  <c r="M34" i="23"/>
  <c r="N34" i="23"/>
  <c r="O34" i="23"/>
  <c r="E21" i="23"/>
  <c r="O27" i="23"/>
  <c r="H24" i="23"/>
  <c r="N27" i="23"/>
  <c r="M27" i="23"/>
  <c r="O21" i="23"/>
  <c r="L27" i="23"/>
  <c r="N21" i="23"/>
  <c r="M21" i="23"/>
  <c r="L21" i="23"/>
  <c r="O24" i="23"/>
  <c r="K21" i="23"/>
  <c r="N24" i="23"/>
  <c r="H21" i="23"/>
  <c r="G21" i="23"/>
  <c r="J24" i="23"/>
  <c r="J21" i="23"/>
  <c r="I24" i="23"/>
  <c r="M24" i="23"/>
  <c r="I21" i="23"/>
  <c r="L24" i="23"/>
  <c r="K24" i="23"/>
  <c r="F21" i="23"/>
  <c r="M11" i="23"/>
  <c r="K8" i="23"/>
  <c r="G5" i="23"/>
  <c r="L11" i="23"/>
  <c r="J8" i="23"/>
  <c r="F5" i="23"/>
  <c r="M8" i="23"/>
  <c r="I8" i="23"/>
  <c r="E5" i="23"/>
  <c r="N8" i="23"/>
  <c r="O11" i="23"/>
  <c r="H5" i="23"/>
  <c r="H8" i="23"/>
  <c r="O5" i="23"/>
  <c r="O8" i="23"/>
  <c r="J5" i="23"/>
  <c r="I5" i="23"/>
  <c r="L8" i="23"/>
  <c r="N5" i="23"/>
  <c r="N11" i="23"/>
  <c r="M5" i="23"/>
  <c r="L5" i="23"/>
  <c r="K5" i="23"/>
  <c r="O19" i="23"/>
  <c r="N19" i="23"/>
  <c r="J13" i="23"/>
  <c r="M19" i="23"/>
  <c r="O13" i="23"/>
  <c r="L13" i="23"/>
  <c r="L19" i="23"/>
  <c r="N13" i="23"/>
  <c r="M13" i="23"/>
  <c r="O16" i="23"/>
  <c r="K13" i="23"/>
  <c r="N16" i="23"/>
  <c r="M16" i="23"/>
  <c r="I13" i="23"/>
  <c r="L16" i="23"/>
  <c r="K16" i="23"/>
  <c r="J16" i="23"/>
  <c r="F13" i="23"/>
  <c r="E13" i="23"/>
  <c r="H13" i="23"/>
  <c r="H16" i="23"/>
  <c r="G13" i="23"/>
  <c r="I16" i="23"/>
  <c r="M33" i="23"/>
  <c r="N33" i="23"/>
  <c r="L33" i="23"/>
  <c r="Q14" i="23" s="1" a="1"/>
  <c r="Q14" i="23" s="1"/>
  <c r="O33" i="23"/>
  <c r="O33" i="22"/>
  <c r="N34" i="22"/>
  <c r="N33" i="22"/>
  <c r="M33" i="22"/>
  <c r="L33" i="22"/>
  <c r="Q14" i="22" a="1"/>
  <c r="Q14" i="22" s="1"/>
  <c r="D5" i="22"/>
  <c r="K24" i="22"/>
  <c r="G21" i="22"/>
  <c r="I24" i="22"/>
  <c r="E21" i="22"/>
  <c r="J24" i="22"/>
  <c r="F21" i="22"/>
  <c r="H24" i="22"/>
  <c r="L21" i="22"/>
  <c r="M24" i="22"/>
  <c r="M21" i="22"/>
  <c r="K21" i="22"/>
  <c r="J21" i="22"/>
  <c r="O27" i="22"/>
  <c r="L27" i="22"/>
  <c r="N21" i="22"/>
  <c r="N27" i="22"/>
  <c r="O24" i="22"/>
  <c r="N24" i="22"/>
  <c r="I21" i="22"/>
  <c r="L24" i="22"/>
  <c r="H21" i="22"/>
  <c r="M27" i="22"/>
  <c r="O21" i="22"/>
  <c r="O8" i="22"/>
  <c r="K5" i="22"/>
  <c r="I5" i="22"/>
  <c r="N11" i="22"/>
  <c r="H5" i="22"/>
  <c r="L11" i="22"/>
  <c r="F5" i="22"/>
  <c r="N8" i="22"/>
  <c r="J5" i="22"/>
  <c r="O11" i="22"/>
  <c r="L8" i="22"/>
  <c r="J8" i="22"/>
  <c r="M8" i="22"/>
  <c r="N5" i="22"/>
  <c r="M11" i="22"/>
  <c r="K8" i="22"/>
  <c r="G5" i="22"/>
  <c r="I8" i="22"/>
  <c r="E5" i="22"/>
  <c r="H8" i="22"/>
  <c r="O5" i="22"/>
  <c r="M5" i="22"/>
  <c r="L5" i="22"/>
  <c r="I16" i="22"/>
  <c r="E13" i="22"/>
  <c r="H16" i="22"/>
  <c r="J16" i="22"/>
  <c r="O19" i="22"/>
  <c r="N19" i="22"/>
  <c r="K13" i="22"/>
  <c r="M19" i="22"/>
  <c r="O13" i="22"/>
  <c r="L13" i="22"/>
  <c r="J13" i="22"/>
  <c r="L19" i="22"/>
  <c r="N13" i="22"/>
  <c r="O16" i="22"/>
  <c r="N16" i="22"/>
  <c r="M16" i="22"/>
  <c r="I13" i="22"/>
  <c r="L16" i="22"/>
  <c r="H13" i="22"/>
  <c r="K16" i="22"/>
  <c r="G13" i="22"/>
  <c r="F13" i="22"/>
  <c r="M13" i="22"/>
  <c r="O41" i="21"/>
  <c r="N42" i="21"/>
  <c r="M41" i="21"/>
  <c r="Q18" i="21" a="1"/>
  <c r="Q18" i="21" s="1"/>
  <c r="L34" i="21"/>
  <c r="O34" i="21"/>
  <c r="N34" i="21"/>
  <c r="M34" i="21"/>
  <c r="D13" i="21"/>
  <c r="M19" i="21"/>
  <c r="O13" i="21"/>
  <c r="L19" i="21"/>
  <c r="N13" i="21"/>
  <c r="L13" i="21"/>
  <c r="M13" i="21"/>
  <c r="O16" i="21"/>
  <c r="K13" i="21"/>
  <c r="N16" i="21"/>
  <c r="J13" i="21"/>
  <c r="M16" i="21"/>
  <c r="I13" i="21"/>
  <c r="J16" i="21"/>
  <c r="I16" i="21"/>
  <c r="L16" i="21"/>
  <c r="H13" i="21"/>
  <c r="F13" i="21"/>
  <c r="E13" i="21"/>
  <c r="O19" i="21"/>
  <c r="K16" i="21"/>
  <c r="G13" i="21"/>
  <c r="H16" i="21"/>
  <c r="N19" i="21"/>
  <c r="I8" i="21"/>
  <c r="E5" i="21"/>
  <c r="H8" i="21"/>
  <c r="O5" i="21"/>
  <c r="N5" i="21"/>
  <c r="L5" i="21"/>
  <c r="O8" i="21"/>
  <c r="K5" i="21"/>
  <c r="L8" i="21"/>
  <c r="G5" i="21"/>
  <c r="M5" i="21"/>
  <c r="J5" i="21"/>
  <c r="N8" i="21"/>
  <c r="H5" i="21"/>
  <c r="L11" i="21"/>
  <c r="K8" i="21"/>
  <c r="F5" i="21"/>
  <c r="O11" i="21"/>
  <c r="M8" i="21"/>
  <c r="I5" i="21"/>
  <c r="N11" i="21"/>
  <c r="M11" i="21"/>
  <c r="J8" i="21"/>
  <c r="O27" i="21"/>
  <c r="N21" i="21"/>
  <c r="N27" i="21"/>
  <c r="M27" i="21"/>
  <c r="O21" i="21"/>
  <c r="L27" i="21"/>
  <c r="M21" i="21"/>
  <c r="L21" i="21"/>
  <c r="O24" i="21"/>
  <c r="K21" i="21"/>
  <c r="K24" i="21"/>
  <c r="N24" i="21"/>
  <c r="J21" i="21"/>
  <c r="L24" i="21"/>
  <c r="G21" i="21"/>
  <c r="M24" i="21"/>
  <c r="I21" i="21"/>
  <c r="J24" i="21"/>
  <c r="H21" i="21"/>
  <c r="F21" i="21"/>
  <c r="I24" i="21"/>
  <c r="E21" i="21"/>
  <c r="H24" i="21"/>
  <c r="M33" i="21"/>
  <c r="N33" i="21"/>
  <c r="L33" i="21"/>
  <c r="Q14" i="21" s="1" a="1"/>
  <c r="Q14" i="21" s="1"/>
  <c r="O33" i="21"/>
  <c r="L33" i="20"/>
  <c r="N33" i="20"/>
  <c r="O33" i="20"/>
  <c r="M10" i="23" l="1"/>
  <c r="M9" i="23"/>
  <c r="Q10" i="23" a="1"/>
  <c r="Q10" i="23" s="1"/>
  <c r="O10" i="23"/>
  <c r="O9" i="23"/>
  <c r="Q6" i="23" a="1"/>
  <c r="Q6" i="23" s="1"/>
  <c r="L10" i="23"/>
  <c r="L9" i="23"/>
  <c r="N10" i="23"/>
  <c r="N9" i="23"/>
  <c r="Q6" i="22" a="1"/>
  <c r="Q6" i="22" s="1"/>
  <c r="Q2" i="22" a="1"/>
  <c r="Q2" i="22" s="1"/>
  <c r="N9" i="22"/>
  <c r="N10" i="22"/>
  <c r="O9" i="22"/>
  <c r="O10" i="22"/>
  <c r="Q10" i="22" a="1"/>
  <c r="Q10" i="22" s="1"/>
  <c r="M10" i="22"/>
  <c r="M9" i="22"/>
  <c r="L9" i="22"/>
  <c r="L10" i="22"/>
  <c r="Q6" i="21" a="1"/>
  <c r="Q6" i="21" s="1"/>
  <c r="M10" i="21"/>
  <c r="M9" i="21"/>
  <c r="Q10" i="21" a="1"/>
  <c r="Q10" i="21" s="1"/>
  <c r="O10" i="21"/>
  <c r="O9" i="21"/>
  <c r="N10" i="21"/>
  <c r="N9" i="21"/>
  <c r="L10" i="21"/>
  <c r="L9" i="21"/>
  <c r="Q2" i="21" s="1" a="1"/>
  <c r="Q2" i="21" s="1"/>
  <c r="Q2" i="23" l="1" a="1"/>
  <c r="Q2" i="23" s="1"/>
  <c r="O37" i="20"/>
  <c r="N37" i="20"/>
  <c r="M37" i="20"/>
  <c r="L37" i="20"/>
  <c r="K37" i="20"/>
  <c r="J37" i="20"/>
  <c r="I37" i="20"/>
  <c r="H37" i="20"/>
  <c r="G37" i="20"/>
  <c r="F37" i="20"/>
  <c r="E37" i="20"/>
  <c r="D37" i="20"/>
  <c r="Q30" i="20" a="1"/>
  <c r="Q30" i="20" s="1"/>
  <c r="O29" i="20"/>
  <c r="N29" i="20"/>
  <c r="M29" i="20"/>
  <c r="L29" i="20"/>
  <c r="K29" i="20"/>
  <c r="J29" i="20"/>
  <c r="I29" i="20"/>
  <c r="H29" i="20"/>
  <c r="G29" i="20"/>
  <c r="F29" i="20"/>
  <c r="E29" i="20"/>
  <c r="D29" i="20"/>
  <c r="Q26" i="20" a="1"/>
  <c r="Q26" i="20" s="1"/>
  <c r="Q22" i="20" a="1"/>
  <c r="Q22" i="20" s="1"/>
  <c r="B4" i="20"/>
  <c r="B3" i="20" s="1"/>
  <c r="O35" i="19"/>
  <c r="N35" i="19"/>
  <c r="M35" i="19"/>
  <c r="L35" i="19"/>
  <c r="O32" i="19"/>
  <c r="O34" i="19" s="1"/>
  <c r="N32" i="19"/>
  <c r="N34" i="19" s="1"/>
  <c r="M32" i="19"/>
  <c r="M34" i="19" s="1"/>
  <c r="L32" i="19"/>
  <c r="L34" i="19" s="1"/>
  <c r="K32" i="19"/>
  <c r="J32" i="19"/>
  <c r="I32" i="19"/>
  <c r="H32" i="19"/>
  <c r="D14" i="20" a="1"/>
  <c r="D22" i="20" a="1"/>
  <c r="D6" i="20" a="1"/>
  <c r="D6" i="20" l="1"/>
  <c r="D22" i="20"/>
  <c r="D14" i="20"/>
  <c r="D13" i="20" s="1"/>
  <c r="D5" i="20"/>
  <c r="M11" i="20"/>
  <c r="K8" i="20"/>
  <c r="G5" i="20"/>
  <c r="L11" i="20"/>
  <c r="J8" i="20"/>
  <c r="F5" i="20"/>
  <c r="M5" i="20"/>
  <c r="L8" i="20"/>
  <c r="H5" i="20"/>
  <c r="I8" i="20"/>
  <c r="E5" i="20"/>
  <c r="H8" i="20"/>
  <c r="M8" i="20"/>
  <c r="O5" i="20"/>
  <c r="N5" i="20"/>
  <c r="O11" i="20"/>
  <c r="K5" i="20"/>
  <c r="N8" i="20"/>
  <c r="N11" i="20"/>
  <c r="L5" i="20"/>
  <c r="O8" i="20"/>
  <c r="J5" i="20"/>
  <c r="I5" i="20"/>
  <c r="L24" i="20"/>
  <c r="O27" i="20"/>
  <c r="D21" i="20"/>
  <c r="N27" i="20"/>
  <c r="O21" i="20"/>
  <c r="M27" i="20"/>
  <c r="L27" i="20"/>
  <c r="N21" i="20"/>
  <c r="M21" i="20"/>
  <c r="L21" i="20"/>
  <c r="I21" i="20"/>
  <c r="E21" i="20"/>
  <c r="O24" i="20"/>
  <c r="K21" i="20"/>
  <c r="N24" i="20"/>
  <c r="J21" i="20"/>
  <c r="I24" i="20"/>
  <c r="K24" i="20"/>
  <c r="H24" i="20"/>
  <c r="M24" i="20"/>
  <c r="H21" i="20"/>
  <c r="G21" i="20"/>
  <c r="F21" i="20"/>
  <c r="J24" i="20"/>
  <c r="O19" i="20"/>
  <c r="N19" i="20"/>
  <c r="J16" i="20"/>
  <c r="F13" i="20"/>
  <c r="M19" i="20"/>
  <c r="O13" i="20"/>
  <c r="L19" i="20"/>
  <c r="N13" i="20"/>
  <c r="M13" i="20"/>
  <c r="J13" i="20"/>
  <c r="L13" i="20"/>
  <c r="O16" i="20"/>
  <c r="K13" i="20"/>
  <c r="N16" i="20"/>
  <c r="K16" i="20"/>
  <c r="M16" i="20"/>
  <c r="I13" i="20"/>
  <c r="L16" i="20"/>
  <c r="H13" i="20"/>
  <c r="E13" i="20"/>
  <c r="G13" i="20"/>
  <c r="I16" i="20"/>
  <c r="H16" i="20"/>
  <c r="Q14" i="20" a="1"/>
  <c r="Q14" i="20" s="1"/>
  <c r="Q18" i="20" a="1"/>
  <c r="Q18" i="20" s="1"/>
  <c r="L33" i="19"/>
  <c r="M33" i="19"/>
  <c r="N33" i="19"/>
  <c r="O33" i="19"/>
  <c r="Q6" i="20" l="1" a="1"/>
  <c r="Q6" i="20" s="1"/>
  <c r="M10" i="20"/>
  <c r="M9" i="20"/>
  <c r="L9" i="20"/>
  <c r="L10" i="20"/>
  <c r="O10" i="20"/>
  <c r="O9" i="20"/>
  <c r="Q2" i="20" a="1"/>
  <c r="Q2" i="20" s="1"/>
  <c r="N10" i="20"/>
  <c r="N9" i="20"/>
  <c r="Q10" i="20" a="1"/>
  <c r="Q10" i="20" s="1"/>
  <c r="O43" i="19"/>
  <c r="N43" i="19"/>
  <c r="M43" i="19"/>
  <c r="L43" i="19"/>
  <c r="O40" i="19"/>
  <c r="N40" i="19"/>
  <c r="N41" i="19" s="1"/>
  <c r="M40" i="19"/>
  <c r="L40" i="19"/>
  <c r="K40" i="19"/>
  <c r="J40" i="19"/>
  <c r="I40" i="19"/>
  <c r="H40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Q30" i="19" a="1"/>
  <c r="Q30" i="19" s="1"/>
  <c r="O29" i="19"/>
  <c r="N29" i="19"/>
  <c r="M29" i="19"/>
  <c r="L29" i="19"/>
  <c r="Q14" i="19" s="1" a="1"/>
  <c r="Q14" i="19" s="1"/>
  <c r="K29" i="19"/>
  <c r="J29" i="19"/>
  <c r="I29" i="19"/>
  <c r="H29" i="19"/>
  <c r="G29" i="19"/>
  <c r="F29" i="19"/>
  <c r="E29" i="19"/>
  <c r="D29" i="19"/>
  <c r="Q26" i="19" a="1"/>
  <c r="Q26" i="19" s="1"/>
  <c r="Q22" i="19" a="1"/>
  <c r="Q22" i="19" s="1"/>
  <c r="B4" i="19"/>
  <c r="B3" i="19" s="1"/>
  <c r="K35" i="18"/>
  <c r="O43" i="18"/>
  <c r="N43" i="18"/>
  <c r="M43" i="18"/>
  <c r="L43" i="18"/>
  <c r="O40" i="18"/>
  <c r="N40" i="18"/>
  <c r="M40" i="18"/>
  <c r="M42" i="18" s="1"/>
  <c r="L40" i="18"/>
  <c r="K40" i="18"/>
  <c r="J40" i="18"/>
  <c r="I40" i="18"/>
  <c r="H40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O35" i="18"/>
  <c r="N35" i="18"/>
  <c r="M35" i="18"/>
  <c r="L35" i="18"/>
  <c r="O32" i="18"/>
  <c r="N32" i="18"/>
  <c r="Q30" i="18" a="1"/>
  <c r="Q30" i="18" s="1"/>
  <c r="O29" i="18"/>
  <c r="N29" i="18"/>
  <c r="M29" i="18"/>
  <c r="L29" i="18"/>
  <c r="K29" i="18"/>
  <c r="J29" i="18"/>
  <c r="I29" i="18"/>
  <c r="H29" i="18"/>
  <c r="G29" i="18"/>
  <c r="F29" i="18"/>
  <c r="E29" i="18"/>
  <c r="D29" i="18"/>
  <c r="Q26" i="18" a="1"/>
  <c r="Q26" i="18" s="1"/>
  <c r="Q22" i="18" a="1"/>
  <c r="Q22" i="18" s="1"/>
  <c r="B4" i="18"/>
  <c r="B3" i="18" s="1"/>
  <c r="O35" i="17"/>
  <c r="N35" i="17"/>
  <c r="M35" i="17"/>
  <c r="L35" i="17"/>
  <c r="O32" i="17"/>
  <c r="N32" i="17"/>
  <c r="M32" i="17"/>
  <c r="L32" i="17"/>
  <c r="K32" i="17"/>
  <c r="J32" i="17"/>
  <c r="I32" i="17"/>
  <c r="H32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O43" i="17"/>
  <c r="N43" i="17"/>
  <c r="M43" i="17"/>
  <c r="L43" i="17"/>
  <c r="O40" i="17"/>
  <c r="N40" i="17"/>
  <c r="M40" i="17"/>
  <c r="L40" i="17"/>
  <c r="K40" i="17"/>
  <c r="J40" i="17"/>
  <c r="I40" i="17"/>
  <c r="H40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Q30" i="17" a="1"/>
  <c r="Q30" i="17" s="1"/>
  <c r="Q26" i="17" a="1"/>
  <c r="Q26" i="17" s="1"/>
  <c r="Q22" i="17" a="1"/>
  <c r="Q22" i="17" s="1"/>
  <c r="B4" i="17"/>
  <c r="B3" i="17" s="1"/>
  <c r="D6" i="18" a="1"/>
  <c r="D14" i="18" a="1"/>
  <c r="D22" i="18" a="1"/>
  <c r="D6" i="19" a="1"/>
  <c r="D22" i="19" a="1"/>
  <c r="D14" i="19" a="1"/>
  <c r="D6" i="17" a="1"/>
  <c r="D14" i="17" a="1"/>
  <c r="D22" i="17" a="1"/>
  <c r="D22" i="17" l="1"/>
  <c r="D14" i="17"/>
  <c r="D6" i="17"/>
  <c r="D14" i="19"/>
  <c r="D22" i="19"/>
  <c r="D6" i="19"/>
  <c r="D5" i="19" s="1"/>
  <c r="D22" i="18"/>
  <c r="D21" i="18" s="1"/>
  <c r="D14" i="18"/>
  <c r="D13" i="18" s="1"/>
  <c r="D6" i="18"/>
  <c r="D5" i="18" s="1"/>
  <c r="D5" i="17"/>
  <c r="D13" i="17"/>
  <c r="D21" i="19"/>
  <c r="D13" i="19"/>
  <c r="D21" i="17"/>
  <c r="O42" i="19"/>
  <c r="L41" i="19"/>
  <c r="M42" i="19"/>
  <c r="O19" i="19"/>
  <c r="E13" i="19"/>
  <c r="N19" i="19"/>
  <c r="M19" i="19"/>
  <c r="L19" i="19"/>
  <c r="M16" i="19"/>
  <c r="L16" i="19"/>
  <c r="J16" i="19"/>
  <c r="I16" i="19"/>
  <c r="J13" i="19"/>
  <c r="I13" i="19"/>
  <c r="F13" i="19"/>
  <c r="H13" i="19"/>
  <c r="N16" i="19"/>
  <c r="K16" i="19"/>
  <c r="H16" i="19"/>
  <c r="O13" i="19"/>
  <c r="M13" i="19"/>
  <c r="O16" i="19"/>
  <c r="N13" i="19"/>
  <c r="G13" i="19"/>
  <c r="K13" i="19"/>
  <c r="L13" i="19"/>
  <c r="O5" i="19"/>
  <c r="N5" i="19"/>
  <c r="O11" i="19"/>
  <c r="M5" i="19"/>
  <c r="N11" i="19"/>
  <c r="L5" i="19"/>
  <c r="G5" i="19"/>
  <c r="F5" i="19"/>
  <c r="O8" i="19"/>
  <c r="M8" i="19"/>
  <c r="L8" i="19"/>
  <c r="J8" i="19"/>
  <c r="H8" i="19"/>
  <c r="M11" i="19"/>
  <c r="K5" i="19"/>
  <c r="L11" i="19"/>
  <c r="J5" i="19"/>
  <c r="H5" i="19"/>
  <c r="E5" i="19"/>
  <c r="N8" i="19"/>
  <c r="I5" i="19"/>
  <c r="K8" i="19"/>
  <c r="I8" i="19"/>
  <c r="M27" i="19"/>
  <c r="L27" i="19"/>
  <c r="L24" i="19"/>
  <c r="H21" i="19"/>
  <c r="G21" i="19"/>
  <c r="I24" i="19"/>
  <c r="N27" i="19"/>
  <c r="O24" i="19"/>
  <c r="N24" i="19"/>
  <c r="K24" i="19"/>
  <c r="J24" i="19"/>
  <c r="J21" i="19"/>
  <c r="M24" i="19"/>
  <c r="H24" i="19"/>
  <c r="F21" i="19"/>
  <c r="O21" i="19"/>
  <c r="N21" i="19"/>
  <c r="K21" i="19"/>
  <c r="O27" i="19"/>
  <c r="E21" i="19"/>
  <c r="L21" i="19"/>
  <c r="M21" i="19"/>
  <c r="I21" i="19"/>
  <c r="M41" i="19"/>
  <c r="L42" i="19"/>
  <c r="N42" i="19"/>
  <c r="Q18" i="19" s="1" a="1"/>
  <c r="Q18" i="19" s="1"/>
  <c r="O41" i="19"/>
  <c r="N41" i="18"/>
  <c r="L42" i="18"/>
  <c r="O42" i="18"/>
  <c r="O8" i="18"/>
  <c r="N8" i="18"/>
  <c r="M8" i="18"/>
  <c r="J8" i="18"/>
  <c r="H8" i="18"/>
  <c r="M5" i="18"/>
  <c r="L8" i="18"/>
  <c r="K8" i="18"/>
  <c r="I8" i="18"/>
  <c r="O5" i="18"/>
  <c r="N11" i="18"/>
  <c r="M11" i="18"/>
  <c r="I5" i="18"/>
  <c r="E5" i="18"/>
  <c r="O11" i="18"/>
  <c r="L11" i="18"/>
  <c r="N5" i="18"/>
  <c r="L5" i="18"/>
  <c r="K5" i="18"/>
  <c r="G5" i="18"/>
  <c r="J5" i="18"/>
  <c r="H5" i="18"/>
  <c r="F5" i="18"/>
  <c r="O21" i="18"/>
  <c r="M21" i="18"/>
  <c r="J21" i="18"/>
  <c r="H21" i="18"/>
  <c r="F21" i="18"/>
  <c r="L27" i="18"/>
  <c r="N21" i="18"/>
  <c r="L21" i="18"/>
  <c r="K21" i="18"/>
  <c r="I21" i="18"/>
  <c r="G21" i="18"/>
  <c r="N27" i="18"/>
  <c r="M27" i="18"/>
  <c r="E21" i="18"/>
  <c r="O24" i="18"/>
  <c r="N24" i="18"/>
  <c r="L24" i="18"/>
  <c r="K24" i="18"/>
  <c r="I24" i="18"/>
  <c r="H24" i="18"/>
  <c r="M24" i="18"/>
  <c r="O27" i="18"/>
  <c r="J24" i="18"/>
  <c r="O13" i="18"/>
  <c r="M13" i="18"/>
  <c r="J13" i="18"/>
  <c r="H13" i="18"/>
  <c r="N19" i="18"/>
  <c r="N13" i="18"/>
  <c r="L13" i="18"/>
  <c r="K13" i="18"/>
  <c r="I13" i="18"/>
  <c r="F13" i="18"/>
  <c r="O19" i="18"/>
  <c r="M19" i="18"/>
  <c r="H16" i="18"/>
  <c r="E13" i="18"/>
  <c r="L19" i="18"/>
  <c r="N16" i="18"/>
  <c r="L16" i="18"/>
  <c r="I16" i="18"/>
  <c r="O16" i="18"/>
  <c r="K16" i="18"/>
  <c r="G13" i="18"/>
  <c r="M16" i="18"/>
  <c r="J16" i="18"/>
  <c r="M41" i="18"/>
  <c r="O41" i="18"/>
  <c r="N42" i="18"/>
  <c r="Q14" i="18" a="1"/>
  <c r="Q14" i="18" s="1"/>
  <c r="L41" i="18"/>
  <c r="Q18" i="18" s="1" a="1"/>
  <c r="Q18" i="18" s="1"/>
  <c r="O33" i="18"/>
  <c r="M42" i="17"/>
  <c r="L42" i="17"/>
  <c r="N42" i="17"/>
  <c r="O42" i="17"/>
  <c r="N33" i="17"/>
  <c r="M33" i="17"/>
  <c r="L33" i="17"/>
  <c r="O34" i="17"/>
  <c r="O33" i="17"/>
  <c r="L34" i="17"/>
  <c r="M34" i="17"/>
  <c r="Q14" i="17" s="1" a="1"/>
  <c r="Q14" i="17" s="1"/>
  <c r="N34" i="17"/>
  <c r="M16" i="17"/>
  <c r="I13" i="17"/>
  <c r="G13" i="17"/>
  <c r="H16" i="17"/>
  <c r="M19" i="17"/>
  <c r="N13" i="17"/>
  <c r="M13" i="17"/>
  <c r="L16" i="17"/>
  <c r="H13" i="17"/>
  <c r="K16" i="17"/>
  <c r="L19" i="17"/>
  <c r="L13" i="17"/>
  <c r="J16" i="17"/>
  <c r="F13" i="17"/>
  <c r="E13" i="17"/>
  <c r="I16" i="17"/>
  <c r="O13" i="17"/>
  <c r="N16" i="17"/>
  <c r="O19" i="17"/>
  <c r="N19" i="17"/>
  <c r="J13" i="17"/>
  <c r="O16" i="17"/>
  <c r="K13" i="17"/>
  <c r="O24" i="17"/>
  <c r="K21" i="17"/>
  <c r="I21" i="17"/>
  <c r="M27" i="17"/>
  <c r="L27" i="17"/>
  <c r="N21" i="17"/>
  <c r="N24" i="17"/>
  <c r="J21" i="17"/>
  <c r="M24" i="17"/>
  <c r="L24" i="17"/>
  <c r="H21" i="17"/>
  <c r="G21" i="17"/>
  <c r="J24" i="17"/>
  <c r="F21" i="17"/>
  <c r="L21" i="17"/>
  <c r="K24" i="17"/>
  <c r="N27" i="17"/>
  <c r="I24" i="17"/>
  <c r="E21" i="17"/>
  <c r="H24" i="17"/>
  <c r="O27" i="17"/>
  <c r="O21" i="17"/>
  <c r="M21" i="17"/>
  <c r="O5" i="17"/>
  <c r="M5" i="17"/>
  <c r="N8" i="17"/>
  <c r="L8" i="17"/>
  <c r="L11" i="17"/>
  <c r="E5" i="17"/>
  <c r="N5" i="17"/>
  <c r="K5" i="17"/>
  <c r="L5" i="17"/>
  <c r="O8" i="17"/>
  <c r="H5" i="17"/>
  <c r="F5" i="17"/>
  <c r="J5" i="17"/>
  <c r="J8" i="17"/>
  <c r="H8" i="17"/>
  <c r="O11" i="17"/>
  <c r="M8" i="17"/>
  <c r="I5" i="17"/>
  <c r="N11" i="17"/>
  <c r="I8" i="17"/>
  <c r="M11" i="17"/>
  <c r="K8" i="17"/>
  <c r="G5" i="17"/>
  <c r="L41" i="17"/>
  <c r="Q18" i="17" s="1" a="1"/>
  <c r="Q18" i="17" s="1"/>
  <c r="M41" i="17"/>
  <c r="N41" i="17"/>
  <c r="O41" i="17"/>
  <c r="Q6" i="19" l="1" a="1"/>
  <c r="Q6" i="19" s="1"/>
  <c r="Q10" i="19" a="1"/>
  <c r="Q10" i="19" s="1"/>
  <c r="L10" i="19"/>
  <c r="L9" i="19"/>
  <c r="M10" i="19"/>
  <c r="M9" i="19"/>
  <c r="N10" i="19"/>
  <c r="N9" i="19"/>
  <c r="O10" i="19"/>
  <c r="O9" i="19"/>
  <c r="Q2" i="19" a="1"/>
  <c r="Q2" i="19" s="1"/>
  <c r="Q10" i="18" a="1"/>
  <c r="Q10" i="18" s="1"/>
  <c r="Q6" i="18" a="1"/>
  <c r="Q6" i="18" s="1"/>
  <c r="L9" i="18"/>
  <c r="L10" i="18"/>
  <c r="M9" i="18"/>
  <c r="M10" i="18"/>
  <c r="N10" i="18"/>
  <c r="N9" i="18"/>
  <c r="O10" i="18"/>
  <c r="O9" i="18"/>
  <c r="Q6" i="17" a="1"/>
  <c r="Q6" i="17" s="1"/>
  <c r="O9" i="17"/>
  <c r="O10" i="17"/>
  <c r="Q10" i="17" a="1"/>
  <c r="Q10" i="17" s="1"/>
  <c r="N9" i="17"/>
  <c r="N10" i="17"/>
  <c r="L9" i="17"/>
  <c r="L10" i="17"/>
  <c r="M9" i="17"/>
  <c r="M10" i="17"/>
  <c r="Q2" i="18" l="1" a="1"/>
  <c r="Q2" i="18" s="1"/>
  <c r="Q2" i="17" a="1"/>
  <c r="Q2" i="17" s="1"/>
  <c r="O37" i="16"/>
  <c r="N37" i="16"/>
  <c r="M37" i="16"/>
  <c r="L37" i="16"/>
  <c r="K37" i="16"/>
  <c r="J37" i="16"/>
  <c r="I37" i="16"/>
  <c r="H37" i="16"/>
  <c r="G37" i="16"/>
  <c r="F37" i="16"/>
  <c r="E37" i="16"/>
  <c r="D37" i="16"/>
  <c r="O43" i="16"/>
  <c r="N43" i="16"/>
  <c r="M43" i="16"/>
  <c r="L43" i="16"/>
  <c r="O40" i="16"/>
  <c r="O41" i="16" s="1"/>
  <c r="N40" i="16"/>
  <c r="M40" i="16"/>
  <c r="L40" i="16"/>
  <c r="K40" i="16"/>
  <c r="J40" i="16"/>
  <c r="I40" i="16"/>
  <c r="H40" i="16"/>
  <c r="O35" i="16"/>
  <c r="N35" i="16"/>
  <c r="M35" i="16"/>
  <c r="L35" i="16"/>
  <c r="O32" i="16"/>
  <c r="N32" i="16"/>
  <c r="M32" i="16"/>
  <c r="L32" i="16"/>
  <c r="K32" i="16"/>
  <c r="J32" i="16"/>
  <c r="I32" i="16"/>
  <c r="H32" i="16"/>
  <c r="O29" i="16"/>
  <c r="N29" i="16"/>
  <c r="M29" i="16"/>
  <c r="L29" i="16"/>
  <c r="Q14" i="16" s="1" a="1"/>
  <c r="Q14" i="16" s="1"/>
  <c r="K29" i="16"/>
  <c r="J29" i="16"/>
  <c r="I29" i="16"/>
  <c r="H29" i="16"/>
  <c r="G29" i="16"/>
  <c r="F29" i="16"/>
  <c r="E29" i="16"/>
  <c r="D29" i="16"/>
  <c r="Q22" i="16" a="1"/>
  <c r="Q22" i="16" s="1"/>
  <c r="Q30" i="16" a="1"/>
  <c r="Q30" i="16" s="1"/>
  <c r="Q26" i="16" a="1"/>
  <c r="Q26" i="16" s="1"/>
  <c r="B4" i="16"/>
  <c r="B3" i="16" s="1"/>
  <c r="O48" i="15"/>
  <c r="O51" i="15"/>
  <c r="O45" i="15"/>
  <c r="D6" i="16" a="1"/>
  <c r="D22" i="16" a="1"/>
  <c r="D14" i="16" a="1"/>
  <c r="D14" i="16" l="1"/>
  <c r="D22" i="16"/>
  <c r="D6" i="16"/>
  <c r="D13" i="16"/>
  <c r="D5" i="16"/>
  <c r="D21" i="16"/>
  <c r="L42" i="16"/>
  <c r="N42" i="16"/>
  <c r="M42" i="16"/>
  <c r="L41" i="16"/>
  <c r="Q18" i="16" s="1" a="1"/>
  <c r="Q18" i="16" s="1"/>
  <c r="O42" i="16"/>
  <c r="N41" i="16"/>
  <c r="M41" i="16"/>
  <c r="O24" i="16"/>
  <c r="K21" i="16"/>
  <c r="K24" i="16"/>
  <c r="G21" i="16"/>
  <c r="N24" i="16"/>
  <c r="J21" i="16"/>
  <c r="M24" i="16"/>
  <c r="J24" i="16"/>
  <c r="F21" i="16"/>
  <c r="I21" i="16"/>
  <c r="L24" i="16"/>
  <c r="H21" i="16"/>
  <c r="O21" i="16"/>
  <c r="L27" i="16"/>
  <c r="L21" i="16"/>
  <c r="M27" i="16"/>
  <c r="I24" i="16"/>
  <c r="E21" i="16"/>
  <c r="H24" i="16"/>
  <c r="O27" i="16"/>
  <c r="N21" i="16"/>
  <c r="N27" i="16"/>
  <c r="M21" i="16"/>
  <c r="M16" i="16"/>
  <c r="I13" i="16"/>
  <c r="I16" i="16"/>
  <c r="E13" i="16"/>
  <c r="L16" i="16"/>
  <c r="H13" i="16"/>
  <c r="K16" i="16"/>
  <c r="G13" i="16"/>
  <c r="H16" i="16"/>
  <c r="N16" i="16"/>
  <c r="J16" i="16"/>
  <c r="F13" i="16"/>
  <c r="N13" i="16"/>
  <c r="L13" i="16"/>
  <c r="J13" i="16"/>
  <c r="O19" i="16"/>
  <c r="N19" i="16"/>
  <c r="M19" i="16"/>
  <c r="O13" i="16"/>
  <c r="M13" i="16"/>
  <c r="L19" i="16"/>
  <c r="O16" i="16"/>
  <c r="K13" i="16"/>
  <c r="O5" i="16"/>
  <c r="N5" i="16"/>
  <c r="L5" i="16"/>
  <c r="O8" i="16"/>
  <c r="K5" i="16"/>
  <c r="M5" i="16"/>
  <c r="N8" i="16"/>
  <c r="J5" i="16"/>
  <c r="O11" i="16"/>
  <c r="M8" i="16"/>
  <c r="I5" i="16"/>
  <c r="N11" i="16"/>
  <c r="L8" i="16"/>
  <c r="H5" i="16"/>
  <c r="M11" i="16"/>
  <c r="K8" i="16"/>
  <c r="G5" i="16"/>
  <c r="L11" i="16"/>
  <c r="J8" i="16"/>
  <c r="F5" i="16"/>
  <c r="I8" i="16"/>
  <c r="E5" i="16"/>
  <c r="H8" i="16"/>
  <c r="N51" i="15"/>
  <c r="M51" i="15"/>
  <c r="L51" i="15"/>
  <c r="N48" i="15"/>
  <c r="M48" i="15"/>
  <c r="L48" i="15"/>
  <c r="K48" i="15"/>
  <c r="J48" i="15"/>
  <c r="I48" i="15"/>
  <c r="H48" i="15"/>
  <c r="N45" i="15"/>
  <c r="M45" i="15"/>
  <c r="Q22" i="15" s="1" a="1"/>
  <c r="Q22" i="15" s="1"/>
  <c r="L45" i="15"/>
  <c r="K45" i="15"/>
  <c r="J45" i="15"/>
  <c r="I45" i="15"/>
  <c r="H45" i="15"/>
  <c r="G45" i="15"/>
  <c r="F45" i="15"/>
  <c r="E45" i="15"/>
  <c r="D45" i="15"/>
  <c r="Q30" i="15" a="1"/>
  <c r="Q30" i="15" s="1"/>
  <c r="Q26" i="15" a="1"/>
  <c r="Q26" i="15" s="1"/>
  <c r="B4" i="15"/>
  <c r="B3" i="15" s="1"/>
  <c r="D22" i="15" a="1"/>
  <c r="D6" i="15" a="1"/>
  <c r="D14" i="15" a="1"/>
  <c r="D14" i="15" l="1"/>
  <c r="D6" i="15"/>
  <c r="D22" i="15"/>
  <c r="D21" i="15" s="1"/>
  <c r="D13" i="15"/>
  <c r="D5" i="15"/>
  <c r="Q10" i="16" a="1"/>
  <c r="Q10" i="16" s="1"/>
  <c r="O9" i="16"/>
  <c r="O10" i="16"/>
  <c r="L9" i="16"/>
  <c r="L10" i="16"/>
  <c r="M9" i="16"/>
  <c r="M10" i="16"/>
  <c r="N9" i="16"/>
  <c r="N10" i="16"/>
  <c r="Q6" i="16" a="1"/>
  <c r="Q6" i="16" s="1"/>
  <c r="O5" i="15"/>
  <c r="O21" i="15"/>
  <c r="O13" i="15"/>
  <c r="M16" i="15"/>
  <c r="I13" i="15"/>
  <c r="M19" i="15"/>
  <c r="K13" i="15"/>
  <c r="J13" i="15"/>
  <c r="L16" i="15"/>
  <c r="H13" i="15"/>
  <c r="J16" i="15"/>
  <c r="O19" i="15"/>
  <c r="K16" i="15"/>
  <c r="G13" i="15"/>
  <c r="F13" i="15"/>
  <c r="H16" i="15"/>
  <c r="N19" i="15"/>
  <c r="L19" i="15"/>
  <c r="N13" i="15"/>
  <c r="L13" i="15"/>
  <c r="I16" i="15"/>
  <c r="E13" i="15"/>
  <c r="M13" i="15"/>
  <c r="O16" i="15"/>
  <c r="N16" i="15"/>
  <c r="N8" i="15"/>
  <c r="J5" i="15"/>
  <c r="N11" i="15"/>
  <c r="L8" i="15"/>
  <c r="J8" i="15"/>
  <c r="N5" i="15"/>
  <c r="L5" i="15"/>
  <c r="K8" i="15"/>
  <c r="L11" i="15"/>
  <c r="F5" i="15"/>
  <c r="I8" i="15"/>
  <c r="H8" i="15"/>
  <c r="M5" i="15"/>
  <c r="M8" i="15"/>
  <c r="M11" i="15"/>
  <c r="G5" i="15"/>
  <c r="E5" i="15"/>
  <c r="H5" i="15"/>
  <c r="O8" i="15"/>
  <c r="K5" i="15"/>
  <c r="O11" i="15"/>
  <c r="I5" i="15"/>
  <c r="L27" i="15"/>
  <c r="N21" i="15"/>
  <c r="O24" i="15"/>
  <c r="K21" i="15"/>
  <c r="H24" i="15"/>
  <c r="O27" i="15"/>
  <c r="N27" i="15"/>
  <c r="M27" i="15"/>
  <c r="M21" i="15"/>
  <c r="L21" i="15"/>
  <c r="N24" i="15"/>
  <c r="J21" i="15"/>
  <c r="L24" i="15"/>
  <c r="M24" i="15"/>
  <c r="I21" i="15"/>
  <c r="H21" i="15"/>
  <c r="J24" i="15"/>
  <c r="F21" i="15"/>
  <c r="I24" i="15"/>
  <c r="K24" i="15"/>
  <c r="G21" i="15"/>
  <c r="E21" i="15"/>
  <c r="Q18" i="15" a="1"/>
  <c r="Q18" i="15" s="1"/>
  <c r="Q14" i="15" a="1"/>
  <c r="Q14" i="15" s="1"/>
  <c r="Q2" i="16" l="1" a="1"/>
  <c r="Q2" i="16" s="1"/>
  <c r="L9" i="15"/>
  <c r="L10" i="15"/>
  <c r="N9" i="15"/>
  <c r="N10" i="15"/>
  <c r="Q6" i="15" a="1"/>
  <c r="Q6" i="15" s="1"/>
  <c r="M9" i="15"/>
  <c r="M10" i="15"/>
  <c r="O9" i="15"/>
  <c r="O10" i="15"/>
  <c r="Q10" i="15" a="1"/>
  <c r="Q10" i="15" s="1"/>
  <c r="Q2" i="15" l="1" a="1"/>
  <c r="Q2" i="15" s="1"/>
  <c r="D45" i="14"/>
  <c r="D37" i="14"/>
  <c r="Q30" i="14" a="1"/>
  <c r="Q30" i="14" s="1"/>
  <c r="D29" i="14"/>
  <c r="Q26" i="14" a="1"/>
  <c r="Q26" i="14" s="1"/>
  <c r="B3" i="14"/>
  <c r="O51" i="13"/>
  <c r="N51" i="13"/>
  <c r="M51" i="13"/>
  <c r="L51" i="13"/>
  <c r="O48" i="13"/>
  <c r="N48" i="13"/>
  <c r="M48" i="13"/>
  <c r="L48" i="13"/>
  <c r="K48" i="13"/>
  <c r="J48" i="13"/>
  <c r="I48" i="13"/>
  <c r="H48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O43" i="13"/>
  <c r="N43" i="13"/>
  <c r="M43" i="13"/>
  <c r="L43" i="13"/>
  <c r="O40" i="13"/>
  <c r="N40" i="13"/>
  <c r="M40" i="13"/>
  <c r="L40" i="13"/>
  <c r="K40" i="13"/>
  <c r="J40" i="13"/>
  <c r="I40" i="13"/>
  <c r="H40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O35" i="13"/>
  <c r="N35" i="13"/>
  <c r="M35" i="13"/>
  <c r="L35" i="13"/>
  <c r="O32" i="13"/>
  <c r="O34" i="13" s="1"/>
  <c r="N32" i="13"/>
  <c r="N34" i="13" s="1"/>
  <c r="M32" i="13"/>
  <c r="M34" i="13" s="1"/>
  <c r="L32" i="13"/>
  <c r="L33" i="13" s="1"/>
  <c r="K32" i="13"/>
  <c r="J32" i="13"/>
  <c r="I32" i="13"/>
  <c r="H32" i="13"/>
  <c r="Q30" i="13" a="1"/>
  <c r="Q30" i="13" s="1"/>
  <c r="O29" i="13"/>
  <c r="N29" i="13"/>
  <c r="M29" i="13"/>
  <c r="L29" i="13"/>
  <c r="K29" i="13"/>
  <c r="J29" i="13"/>
  <c r="I29" i="13"/>
  <c r="H29" i="13"/>
  <c r="G29" i="13"/>
  <c r="F29" i="13"/>
  <c r="E29" i="13"/>
  <c r="D29" i="13"/>
  <c r="Q26" i="13" a="1"/>
  <c r="Q26" i="13" s="1"/>
  <c r="B4" i="13"/>
  <c r="B3" i="13" s="1"/>
  <c r="D6" i="14" a="1"/>
  <c r="D14" i="14" a="1"/>
  <c r="D22" i="14" a="1"/>
  <c r="D22" i="13" a="1"/>
  <c r="D14" i="13" a="1"/>
  <c r="D6" i="13" a="1"/>
  <c r="D22" i="14" l="1"/>
  <c r="D14" i="14"/>
  <c r="D6" i="14"/>
  <c r="D6" i="13"/>
  <c r="D14" i="13"/>
  <c r="D22" i="13"/>
  <c r="D13" i="14"/>
  <c r="D21" i="14"/>
  <c r="D21" i="13"/>
  <c r="D13" i="13"/>
  <c r="D5" i="13"/>
  <c r="D5" i="14"/>
  <c r="M11" i="14"/>
  <c r="K8" i="14"/>
  <c r="G5" i="14"/>
  <c r="L11" i="14"/>
  <c r="J8" i="14"/>
  <c r="F5" i="14"/>
  <c r="I8" i="14"/>
  <c r="E5" i="14"/>
  <c r="H8" i="14"/>
  <c r="M8" i="14"/>
  <c r="N11" i="14"/>
  <c r="H5" i="14"/>
  <c r="O5" i="14"/>
  <c r="N5" i="14"/>
  <c r="M5" i="14"/>
  <c r="L5" i="14"/>
  <c r="O8" i="14"/>
  <c r="K5" i="14"/>
  <c r="L8" i="14"/>
  <c r="N8" i="14"/>
  <c r="J5" i="14"/>
  <c r="O11" i="14"/>
  <c r="I5" i="14"/>
  <c r="O27" i="14"/>
  <c r="M27" i="14"/>
  <c r="O21" i="14"/>
  <c r="L27" i="14"/>
  <c r="N21" i="14"/>
  <c r="N27" i="14"/>
  <c r="E21" i="14"/>
  <c r="M21" i="14"/>
  <c r="L21" i="14"/>
  <c r="H24" i="14"/>
  <c r="O24" i="14"/>
  <c r="K21" i="14"/>
  <c r="N24" i="14"/>
  <c r="J21" i="14"/>
  <c r="M24" i="14"/>
  <c r="I21" i="14"/>
  <c r="L24" i="14"/>
  <c r="H21" i="14"/>
  <c r="K24" i="14"/>
  <c r="G21" i="14"/>
  <c r="J24" i="14"/>
  <c r="F21" i="14"/>
  <c r="I24" i="14"/>
  <c r="O19" i="14"/>
  <c r="N19" i="14"/>
  <c r="M19" i="14"/>
  <c r="O13" i="14"/>
  <c r="M13" i="14"/>
  <c r="L13" i="14"/>
  <c r="L19" i="14"/>
  <c r="N13" i="14"/>
  <c r="N16" i="14"/>
  <c r="O16" i="14"/>
  <c r="K13" i="14"/>
  <c r="J13" i="14"/>
  <c r="M16" i="14"/>
  <c r="I13" i="14"/>
  <c r="L16" i="14"/>
  <c r="H13" i="14"/>
  <c r="K16" i="14"/>
  <c r="G13" i="14"/>
  <c r="J16" i="14"/>
  <c r="F13" i="14"/>
  <c r="I16" i="14"/>
  <c r="E13" i="14"/>
  <c r="H16" i="14"/>
  <c r="Q18" i="14" a="1"/>
  <c r="Q18" i="14" s="1"/>
  <c r="Q22" i="14" a="1"/>
  <c r="Q22" i="14" s="1"/>
  <c r="N50" i="13"/>
  <c r="O50" i="13"/>
  <c r="L50" i="13"/>
  <c r="M50" i="13"/>
  <c r="L49" i="13"/>
  <c r="Q22" i="13" s="1" a="1"/>
  <c r="Q22" i="13" s="1"/>
  <c r="M49" i="13"/>
  <c r="N49" i="13"/>
  <c r="O49" i="13"/>
  <c r="N42" i="13"/>
  <c r="O42" i="13"/>
  <c r="L42" i="13"/>
  <c r="M42" i="13"/>
  <c r="M13" i="13"/>
  <c r="K13" i="13"/>
  <c r="K16" i="13"/>
  <c r="L13" i="13"/>
  <c r="G13" i="13"/>
  <c r="M16" i="13"/>
  <c r="J16" i="13"/>
  <c r="O16" i="13"/>
  <c r="N16" i="13"/>
  <c r="J13" i="13"/>
  <c r="H13" i="13"/>
  <c r="F13" i="13"/>
  <c r="M19" i="13"/>
  <c r="I13" i="13"/>
  <c r="O19" i="13"/>
  <c r="O13" i="13"/>
  <c r="E13" i="13"/>
  <c r="N19" i="13"/>
  <c r="L19" i="13"/>
  <c r="L16" i="13"/>
  <c r="I16" i="13"/>
  <c r="H16" i="13"/>
  <c r="N13" i="13"/>
  <c r="K21" i="13"/>
  <c r="I21" i="13"/>
  <c r="N24" i="13"/>
  <c r="M24" i="13"/>
  <c r="I24" i="13"/>
  <c r="J21" i="13"/>
  <c r="O27" i="13"/>
  <c r="L24" i="13"/>
  <c r="K24" i="13"/>
  <c r="J24" i="13"/>
  <c r="H24" i="13"/>
  <c r="H21" i="13"/>
  <c r="F21" i="13"/>
  <c r="N27" i="13"/>
  <c r="M27" i="13"/>
  <c r="L27" i="13"/>
  <c r="G21" i="13"/>
  <c r="E21" i="13"/>
  <c r="M21" i="13"/>
  <c r="O24" i="13"/>
  <c r="O21" i="13"/>
  <c r="N21" i="13"/>
  <c r="L21" i="13"/>
  <c r="K8" i="13"/>
  <c r="I8" i="13"/>
  <c r="N11" i="13"/>
  <c r="I5" i="13"/>
  <c r="G5" i="13"/>
  <c r="E5" i="13"/>
  <c r="J8" i="13"/>
  <c r="L11" i="13"/>
  <c r="J5" i="13"/>
  <c r="H5" i="13"/>
  <c r="F5" i="13"/>
  <c r="H8" i="13"/>
  <c r="O5" i="13"/>
  <c r="M5" i="13"/>
  <c r="M8" i="13"/>
  <c r="N5" i="13"/>
  <c r="O11" i="13"/>
  <c r="L5" i="13"/>
  <c r="M11" i="13"/>
  <c r="K5" i="13"/>
  <c r="O8" i="13"/>
  <c r="N8" i="13"/>
  <c r="L8" i="13"/>
  <c r="Q18" i="13" a="1"/>
  <c r="Q18" i="13" s="1"/>
  <c r="O33" i="13"/>
  <c r="L41" i="13"/>
  <c r="M41" i="13"/>
  <c r="N41" i="13"/>
  <c r="O41" i="13"/>
  <c r="M33" i="13"/>
  <c r="N33" i="13"/>
  <c r="L34" i="13"/>
  <c r="Q14" i="13" s="1" a="1"/>
  <c r="Q14" i="13" s="1"/>
  <c r="M10" i="14" l="1"/>
  <c r="M9" i="14"/>
  <c r="Q14" i="14" a="1"/>
  <c r="Q14" i="14" s="1"/>
  <c r="Q6" i="14" a="1"/>
  <c r="Q6" i="14" s="1"/>
  <c r="N10" i="14"/>
  <c r="N9" i="14"/>
  <c r="L10" i="14"/>
  <c r="L9" i="14"/>
  <c r="Q10" i="14" a="1"/>
  <c r="Q10" i="14" s="1"/>
  <c r="O10" i="14"/>
  <c r="O9" i="14"/>
  <c r="Q2" i="14" a="1"/>
  <c r="Q2" i="14" s="1"/>
  <c r="M10" i="13"/>
  <c r="M9" i="13"/>
  <c r="Q6" i="13" a="1"/>
  <c r="Q6" i="13" s="1"/>
  <c r="Q10" i="13" a="1"/>
  <c r="Q10" i="13" s="1"/>
  <c r="L10" i="13"/>
  <c r="L9" i="13"/>
  <c r="N10" i="13"/>
  <c r="N9" i="13"/>
  <c r="O9" i="13"/>
  <c r="O10" i="13"/>
  <c r="Q2" i="13" l="1" a="1"/>
  <c r="Q2" i="13" s="1"/>
  <c r="O51" i="12" l="1"/>
  <c r="N51" i="12"/>
  <c r="M51" i="12"/>
  <c r="L51" i="12"/>
  <c r="O48" i="12"/>
  <c r="N48" i="12"/>
  <c r="M48" i="12"/>
  <c r="L48" i="12"/>
  <c r="K48" i="12"/>
  <c r="J48" i="12"/>
  <c r="I48" i="12"/>
  <c r="H48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O43" i="12"/>
  <c r="N43" i="12"/>
  <c r="M43" i="12"/>
  <c r="L43" i="12"/>
  <c r="O42" i="12"/>
  <c r="N42" i="12"/>
  <c r="M42" i="12"/>
  <c r="L42" i="12"/>
  <c r="M41" i="12"/>
  <c r="O40" i="12"/>
  <c r="O41" i="12" s="1"/>
  <c r="N40" i="12"/>
  <c r="N41" i="12" s="1"/>
  <c r="M40" i="12"/>
  <c r="L40" i="12"/>
  <c r="K40" i="12"/>
  <c r="L41" i="12" s="1"/>
  <c r="J40" i="12"/>
  <c r="I40" i="12"/>
  <c r="H40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O35" i="12"/>
  <c r="N35" i="12"/>
  <c r="M35" i="12"/>
  <c r="L35" i="12"/>
  <c r="N34" i="12"/>
  <c r="M34" i="12"/>
  <c r="O33" i="12"/>
  <c r="N33" i="12"/>
  <c r="O32" i="12"/>
  <c r="O34" i="12" s="1"/>
  <c r="N32" i="12"/>
  <c r="M32" i="12"/>
  <c r="M33" i="12" s="1"/>
  <c r="L32" i="12"/>
  <c r="L34" i="12" s="1"/>
  <c r="K32" i="12"/>
  <c r="J32" i="12"/>
  <c r="I32" i="12"/>
  <c r="H32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L33" i="12" l="1"/>
  <c r="Q30" i="12" l="1" a="1"/>
  <c r="Q30" i="12" s="1"/>
  <c r="Q26" i="12" a="1"/>
  <c r="Q26" i="12" s="1"/>
  <c r="B4" i="12"/>
  <c r="B3" i="12" s="1"/>
  <c r="L59" i="1"/>
  <c r="M59" i="1"/>
  <c r="N59" i="1"/>
  <c r="O59" i="1"/>
  <c r="H56" i="1"/>
  <c r="I56" i="1"/>
  <c r="J56" i="1"/>
  <c r="K56" i="1"/>
  <c r="L56" i="1"/>
  <c r="M56" i="1"/>
  <c r="N56" i="1"/>
  <c r="O56" i="1"/>
  <c r="O51" i="1"/>
  <c r="N51" i="1"/>
  <c r="M51" i="1"/>
  <c r="L51" i="1"/>
  <c r="O48" i="1"/>
  <c r="O50" i="1" s="1"/>
  <c r="N48" i="1"/>
  <c r="N50" i="1" s="1"/>
  <c r="M48" i="1"/>
  <c r="M50" i="1" s="1"/>
  <c r="L48" i="1"/>
  <c r="L49" i="1" s="1"/>
  <c r="K48" i="1"/>
  <c r="J48" i="1"/>
  <c r="I48" i="1"/>
  <c r="H48" i="1"/>
  <c r="O43" i="1"/>
  <c r="N43" i="1"/>
  <c r="M43" i="1"/>
  <c r="L43" i="1"/>
  <c r="O40" i="1"/>
  <c r="O42" i="1" s="1"/>
  <c r="N40" i="1"/>
  <c r="N42" i="1" s="1"/>
  <c r="M40" i="1"/>
  <c r="M41" i="1" s="1"/>
  <c r="L40" i="1"/>
  <c r="L42" i="1" s="1"/>
  <c r="K40" i="1"/>
  <c r="J40" i="1"/>
  <c r="I40" i="1"/>
  <c r="H40" i="1"/>
  <c r="O35" i="1"/>
  <c r="N35" i="1"/>
  <c r="M35" i="1"/>
  <c r="L35" i="1"/>
  <c r="M33" i="1"/>
  <c r="O32" i="1"/>
  <c r="O34" i="1" s="1"/>
  <c r="N32" i="1"/>
  <c r="N34" i="1" s="1"/>
  <c r="M32" i="1"/>
  <c r="M34" i="1" s="1"/>
  <c r="L32" i="1"/>
  <c r="L34" i="1" s="1"/>
  <c r="K32" i="1"/>
  <c r="J32" i="1"/>
  <c r="I32" i="1"/>
  <c r="H32" i="1"/>
  <c r="O45" i="1"/>
  <c r="N45" i="1"/>
  <c r="M45" i="1"/>
  <c r="L45" i="1"/>
  <c r="K45" i="1"/>
  <c r="J45" i="1"/>
  <c r="I45" i="1"/>
  <c r="H45" i="1"/>
  <c r="G45" i="1"/>
  <c r="F45" i="1"/>
  <c r="E45" i="1"/>
  <c r="D45" i="1"/>
  <c r="O37" i="1"/>
  <c r="N37" i="1"/>
  <c r="M37" i="1"/>
  <c r="L37" i="1"/>
  <c r="K37" i="1"/>
  <c r="J37" i="1"/>
  <c r="I37" i="1"/>
  <c r="H37" i="1"/>
  <c r="G37" i="1"/>
  <c r="F37" i="1"/>
  <c r="E37" i="1"/>
  <c r="D37" i="1"/>
  <c r="D22" i="12" a="1"/>
  <c r="D14" i="12" a="1"/>
  <c r="D6" i="12" a="1"/>
  <c r="D6" i="12" l="1"/>
  <c r="D14" i="12"/>
  <c r="D22" i="12"/>
  <c r="D13" i="12"/>
  <c r="D21" i="12"/>
  <c r="D5" i="12"/>
  <c r="O21" i="12"/>
  <c r="N21" i="12"/>
  <c r="K24" i="12"/>
  <c r="M21" i="12"/>
  <c r="I21" i="12"/>
  <c r="G21" i="12"/>
  <c r="E21" i="12"/>
  <c r="M27" i="12"/>
  <c r="O24" i="12"/>
  <c r="L24" i="12"/>
  <c r="J24" i="12"/>
  <c r="H24" i="12"/>
  <c r="L21" i="12"/>
  <c r="H21" i="12"/>
  <c r="F21" i="12"/>
  <c r="M24" i="12"/>
  <c r="K21" i="12"/>
  <c r="J21" i="12"/>
  <c r="O27" i="12"/>
  <c r="L27" i="12"/>
  <c r="N24" i="12"/>
  <c r="N27" i="12"/>
  <c r="I24" i="12"/>
  <c r="O8" i="12"/>
  <c r="N8" i="12"/>
  <c r="O11" i="12"/>
  <c r="E5" i="12"/>
  <c r="M8" i="12"/>
  <c r="J8" i="12"/>
  <c r="I8" i="12"/>
  <c r="O5" i="12"/>
  <c r="M5" i="12"/>
  <c r="M11" i="12"/>
  <c r="I5" i="12"/>
  <c r="G5" i="12"/>
  <c r="L8" i="12"/>
  <c r="L11" i="12"/>
  <c r="J5" i="12"/>
  <c r="K8" i="12"/>
  <c r="H8" i="12"/>
  <c r="N5" i="12"/>
  <c r="N11" i="12"/>
  <c r="K5" i="12"/>
  <c r="L5" i="12"/>
  <c r="H5" i="12"/>
  <c r="F5" i="12"/>
  <c r="O13" i="12"/>
  <c r="G13" i="12"/>
  <c r="N19" i="12"/>
  <c r="M19" i="12"/>
  <c r="N13" i="12"/>
  <c r="L13" i="12"/>
  <c r="K13" i="12"/>
  <c r="H13" i="12"/>
  <c r="E13" i="12"/>
  <c r="L19" i="12"/>
  <c r="O16" i="12"/>
  <c r="M16" i="12"/>
  <c r="I16" i="12"/>
  <c r="H16" i="12"/>
  <c r="M13" i="12"/>
  <c r="J13" i="12"/>
  <c r="I13" i="12"/>
  <c r="F13" i="12"/>
  <c r="L16" i="12"/>
  <c r="J16" i="12"/>
  <c r="O19" i="12"/>
  <c r="N16" i="12"/>
  <c r="K16" i="12"/>
  <c r="Q18" i="12" a="1"/>
  <c r="Q18" i="12" s="1"/>
  <c r="Q22" i="12" a="1"/>
  <c r="Q22" i="12" s="1"/>
  <c r="Q14" i="12" a="1"/>
  <c r="Q14" i="12" s="1"/>
  <c r="L50" i="1"/>
  <c r="M49" i="1"/>
  <c r="N49" i="1"/>
  <c r="O49" i="1"/>
  <c r="M42" i="1"/>
  <c r="L41" i="1"/>
  <c r="N41" i="1"/>
  <c r="O41" i="1"/>
  <c r="L33" i="1"/>
  <c r="O33" i="1"/>
  <c r="N33" i="1"/>
  <c r="Q6" i="12" l="1" a="1"/>
  <c r="Q6" i="12" s="1"/>
  <c r="N10" i="12"/>
  <c r="N9" i="12"/>
  <c r="L9" i="12"/>
  <c r="L10" i="12"/>
  <c r="O9" i="12"/>
  <c r="O10" i="12"/>
  <c r="Q10" i="12" a="1"/>
  <c r="Q10" i="12" s="1"/>
  <c r="M9" i="12"/>
  <c r="M10" i="12"/>
  <c r="O29" i="1"/>
  <c r="Q2" i="12" l="1" a="1"/>
  <c r="Q2" i="12" s="1"/>
  <c r="F29" i="1"/>
  <c r="E29" i="1"/>
  <c r="D29" i="1"/>
  <c r="J29" i="1"/>
  <c r="I29" i="1"/>
  <c r="H29" i="1"/>
  <c r="G29" i="1"/>
  <c r="L29" i="1"/>
  <c r="K29" i="1"/>
  <c r="N29" i="1"/>
  <c r="M29" i="1"/>
  <c r="Q30" i="1" l="1" a="1"/>
  <c r="Q30" i="1" s="1"/>
  <c r="Q22" i="1" a="1"/>
  <c r="Q22" i="1" s="1"/>
  <c r="Q18" i="1" a="1"/>
  <c r="Q18" i="1" s="1"/>
  <c r="Q14" i="1" l="1" a="1"/>
  <c r="Q14" i="1" s="1"/>
  <c r="B4" i="1" l="1"/>
  <c r="B3" i="1" s="1"/>
  <c r="D22" i="1" a="1"/>
  <c r="D6" i="1" a="1"/>
  <c r="D14" i="1" a="1"/>
  <c r="D14" i="1" l="1"/>
  <c r="D6" i="1"/>
  <c r="D22" i="1"/>
  <c r="D21" i="1" s="1"/>
  <c r="D13" i="1"/>
  <c r="M53" i="1"/>
  <c r="H53" i="1"/>
  <c r="L53" i="1"/>
  <c r="K53" i="1"/>
  <c r="I53" i="1"/>
  <c r="G53" i="1"/>
  <c r="E53" i="1"/>
  <c r="D53" i="1"/>
  <c r="O53" i="1"/>
  <c r="J53" i="1"/>
  <c r="F53" i="1"/>
  <c r="N53" i="1"/>
  <c r="N27" i="1"/>
  <c r="M27" i="1"/>
  <c r="L27" i="1"/>
  <c r="O27" i="1"/>
  <c r="O19" i="1"/>
  <c r="L19" i="1"/>
  <c r="N19" i="1"/>
  <c r="M19" i="1"/>
  <c r="O24" i="1"/>
  <c r="O21" i="1"/>
  <c r="O16" i="1"/>
  <c r="O13" i="1"/>
  <c r="O8" i="1"/>
  <c r="O11" i="1"/>
  <c r="O5" i="1"/>
  <c r="G21" i="1"/>
  <c r="H21" i="1"/>
  <c r="I21" i="1"/>
  <c r="J21" i="1"/>
  <c r="K21" i="1"/>
  <c r="K24" i="1"/>
  <c r="J24" i="1"/>
  <c r="I24" i="1"/>
  <c r="H24" i="1"/>
  <c r="M24" i="1"/>
  <c r="N24" i="1"/>
  <c r="L24" i="1"/>
  <c r="J16" i="1"/>
  <c r="I16" i="1"/>
  <c r="H16" i="1"/>
  <c r="K16" i="1"/>
  <c r="N16" i="1"/>
  <c r="M16" i="1"/>
  <c r="L16" i="1"/>
  <c r="G13" i="1"/>
  <c r="H13" i="1"/>
  <c r="I13" i="1"/>
  <c r="J13" i="1"/>
  <c r="K13" i="1"/>
  <c r="N11" i="1"/>
  <c r="M11" i="1"/>
  <c r="L11" i="1"/>
  <c r="N8" i="1"/>
  <c r="M8" i="1"/>
  <c r="L8" i="1"/>
  <c r="K8" i="1"/>
  <c r="J8" i="1"/>
  <c r="I8" i="1"/>
  <c r="H8" i="1"/>
  <c r="G5" i="1"/>
  <c r="H5" i="1"/>
  <c r="I5" i="1"/>
  <c r="J5" i="1"/>
  <c r="K5" i="1"/>
  <c r="M21" i="1"/>
  <c r="F21" i="1"/>
  <c r="E21" i="1"/>
  <c r="N21" i="1"/>
  <c r="L21" i="1"/>
  <c r="N13" i="1"/>
  <c r="M13" i="1"/>
  <c r="L13" i="1"/>
  <c r="F13" i="1"/>
  <c r="E13" i="1"/>
  <c r="L5" i="1"/>
  <c r="M5" i="1"/>
  <c r="N5" i="1"/>
  <c r="F5" i="1"/>
  <c r="E5" i="1"/>
  <c r="Q26" i="1" l="1" a="1"/>
  <c r="Q26" i="1" s="1"/>
  <c r="O10" i="1"/>
  <c r="O9" i="1"/>
  <c r="N10" i="1"/>
  <c r="M10" i="1"/>
  <c r="L10" i="1"/>
  <c r="L9" i="1"/>
  <c r="D5" i="1"/>
  <c r="M9" i="1"/>
  <c r="N9" i="1"/>
  <c r="Q2" i="1" l="1" a="1"/>
  <c r="Q2" i="1" s="1"/>
  <c r="Q6" i="1" a="1"/>
  <c r="Q6" i="1" s="1"/>
  <c r="Q10" i="1" a="1"/>
  <c r="Q1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<sst xmlns="http://schemas.openxmlformats.org/spreadsheetml/2006/main" count="1395" uniqueCount="107">
  <si>
    <t>IS_COMP_SALES</t>
  </si>
  <si>
    <t>Stock:</t>
  </si>
  <si>
    <t>End Day</t>
  </si>
  <si>
    <t>Beg. Day</t>
  </si>
  <si>
    <t>Y/Y</t>
  </si>
  <si>
    <t>Q/Q</t>
  </si>
  <si>
    <t>GROSS_MARGIN</t>
  </si>
  <si>
    <t>OPER_MARGIN</t>
  </si>
  <si>
    <t>revenue</t>
  </si>
  <si>
    <t>canonical</t>
  </si>
  <si>
    <t>value</t>
  </si>
  <si>
    <t>calendar_quarter</t>
  </si>
  <si>
    <t>Calendar Quarter</t>
  </si>
  <si>
    <t>company</t>
  </si>
  <si>
    <t>gross_margin_gaap</t>
  </si>
  <si>
    <t>operating_margin_gaap</t>
  </si>
  <si>
    <t>yoy</t>
  </si>
  <si>
    <t>kpi</t>
  </si>
  <si>
    <t>type</t>
  </si>
  <si>
    <t>Y/Y vs last Q</t>
  </si>
  <si>
    <t>yoy_vs_last_q</t>
  </si>
  <si>
    <t>custom</t>
  </si>
  <si>
    <t>ignore</t>
  </si>
  <si>
    <t>Y/Y vs last Y</t>
  </si>
  <si>
    <t>yoy_vs_last_y</t>
  </si>
  <si>
    <t>Qoq</t>
  </si>
  <si>
    <t>AMPL US EQUITY</t>
  </si>
  <si>
    <t>ARR</t>
  </si>
  <si>
    <t>cRPO</t>
  </si>
  <si>
    <t>Paying Customers &gt; 100K</t>
  </si>
  <si>
    <t>paying_customers_100k</t>
  </si>
  <si>
    <t>arr_in_k</t>
  </si>
  <si>
    <t>crpo_in_k</t>
  </si>
  <si>
    <t>Net retention rate</t>
  </si>
  <si>
    <t>AVPT US EQUITY</t>
  </si>
  <si>
    <t>arr_in_m</t>
  </si>
  <si>
    <t>ARR in millions</t>
  </si>
  <si>
    <t>BILL US EQUITY</t>
  </si>
  <si>
    <t>customers</t>
  </si>
  <si>
    <t>Customers</t>
  </si>
  <si>
    <t>payment_volume_in_b</t>
  </si>
  <si>
    <t>Payment Volume in B</t>
  </si>
  <si>
    <t>subscription_revenue</t>
  </si>
  <si>
    <t>Subscription Revenue</t>
  </si>
  <si>
    <t>DOCU US EQUITY</t>
  </si>
  <si>
    <t>billings_in_k</t>
  </si>
  <si>
    <t>Billings</t>
  </si>
  <si>
    <t>Net Dollar Retention</t>
  </si>
  <si>
    <t>FIVN US EQUITY</t>
  </si>
  <si>
    <t>FRSH US EQUITY</t>
  </si>
  <si>
    <t>GDDY US EQUITY</t>
  </si>
  <si>
    <t>application_commerce_bookings</t>
  </si>
  <si>
    <t>core_platform_bookings</t>
  </si>
  <si>
    <t>Core Platform Bookings</t>
  </si>
  <si>
    <t>Application and Commerce Bookings</t>
  </si>
  <si>
    <t>INTA US EQUITY</t>
  </si>
  <si>
    <t>saas_revenue</t>
  </si>
  <si>
    <t>SaaS Revenue</t>
  </si>
  <si>
    <t>arr</t>
  </si>
  <si>
    <t>INTU US EQUITY</t>
  </si>
  <si>
    <t>quickbooks_revenue</t>
  </si>
  <si>
    <t>turbotax_revenue</t>
  </si>
  <si>
    <t>Turbotax Revenue</t>
  </si>
  <si>
    <t>Quickbooks Revenue</t>
  </si>
  <si>
    <t>LAW US EQUITY</t>
  </si>
  <si>
    <t>crpo</t>
  </si>
  <si>
    <t>Current Remaining Performance Obligations</t>
  </si>
  <si>
    <t>Net Retention Rate Pct</t>
  </si>
  <si>
    <t>net_retention_pct</t>
  </si>
  <si>
    <t>OTEX US EQUITY</t>
  </si>
  <si>
    <t>enterprise_cloud_bookings</t>
  </si>
  <si>
    <t>Enterprise Cloud Blookings</t>
  </si>
  <si>
    <t>cloud_net_renewal_rate_pct</t>
  </si>
  <si>
    <t>Cloud Net Renewal Rate Percent</t>
  </si>
  <si>
    <t>PAY US EQUITY</t>
  </si>
  <si>
    <t>transactions</t>
  </si>
  <si>
    <t>Transactions</t>
  </si>
  <si>
    <t>QLYS US EQUITY</t>
  </si>
  <si>
    <t>current_billings_in_k</t>
  </si>
  <si>
    <t>Current Billings In Thousands</t>
  </si>
  <si>
    <t>dollar_based_net_retention_percent</t>
  </si>
  <si>
    <t>DBNR %</t>
  </si>
  <si>
    <t>RPD US EQUITY</t>
  </si>
  <si>
    <t>SPSC US EQUITY</t>
  </si>
  <si>
    <t>analytics_recurring_revenue_in_k</t>
  </si>
  <si>
    <t>Analytics Recurring Revenue</t>
  </si>
  <si>
    <t>TENB US EQUITY</t>
  </si>
  <si>
    <t>billings</t>
  </si>
  <si>
    <t>dollar based net expansion rate</t>
  </si>
  <si>
    <t>dbner_pct</t>
  </si>
  <si>
    <t>TYL US EQUITY</t>
  </si>
  <si>
    <t>saas_revenue_in_k</t>
  </si>
  <si>
    <t>VRNS US EQUITY</t>
  </si>
  <si>
    <t>nrr_pct</t>
  </si>
  <si>
    <t>WIX US EQUITY</t>
  </si>
  <si>
    <t>bookings</t>
  </si>
  <si>
    <t>Bookings</t>
  </si>
  <si>
    <t>creative_bookings</t>
  </si>
  <si>
    <t>Creative Bookings</t>
  </si>
  <si>
    <t>WK US EQUITY</t>
  </si>
  <si>
    <t>net revenue retention</t>
  </si>
  <si>
    <t>CRPO</t>
  </si>
  <si>
    <t>ZIP US EQUITY</t>
  </si>
  <si>
    <t>current_billings</t>
  </si>
  <si>
    <t>Current Billings</t>
  </si>
  <si>
    <t>customers_100K</t>
  </si>
  <si>
    <t>Customers over 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</si>
</sst>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164" formatCode="0&quot; bps&quot;"/>
    <numFmt numFmtId="165" formatCode="0.0%"/>
    <numFmt numFmtId="166" formatCode="_(&quot;$&quot;* #,##0.0_);_(&quot;$&quot;* \(#,##0.0\);_(&quot;$&quot;* &quot;-&quot;?_);_(@_)"/>
    <numFmt numFmtId="167" formatCode="0.0"/>
    <numFmt numFmtId="168" formatCode="_(* #,##0.0_);_(* \(#,##0.0\);_(* &quot;-&quot;?_);_(@_)"/>
  </numFmts>
  <fonts count="10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3F3F76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</borders>
  <cellStyleXfs count="6">
    <xf numFmtId="0" fontId="0" fillId="0" borderId="0"/>
    <xf numFmtId="0" fontId="1" fillId="2" borderId="1" applyNumberFormat="0" applyAlignment="0" applyProtection="0"/>
    <xf numFmtId="0" fontId="5" fillId="3" borderId="2" applyNumberFormat="0" applyAlignment="0" applyProtection="0"/>
    <xf numFmtId="0" fontId="6" fillId="3" borderId="1" applyNumberFormat="0" applyAlignment="0" applyProtection="0"/>
    <xf numFmtId="0" fontId="7" fillId="0" borderId="0" applyNumberFormat="0" applyFill="0" applyBorder="0" applyAlignment="0" applyProtection="0"/>
    <xf numFmtId="0" fontId="4" fillId="4" borderId="3" applyNumberFormat="0" applyFont="0" applyAlignment="0" applyProtection="0"/>
  </cellStyleXfs>
  <cellXfs count="40">
    <xf numFmtId="0" fontId="0" fillId="0" borderId="0" xfId="0"/>
    <xf numFmtId="14" fontId="0" fillId="0" borderId="0" xfId="0" applyNumberFormat="1"/>
    <xf numFmtId="14" fontId="1" fillId="2" borderId="1" xfId="1" applyNumberFormat="1"/>
    <xf numFmtId="4" fontId="0" fillId="0" borderId="0" xfId="0" applyNumberFormat="1"/>
    <xf numFmtId="0" fontId="2" fillId="0" borderId="0" xfId="0" applyFont="1"/>
    <xf numFmtId="14" fontId="2" fillId="0" borderId="0" xfId="0" applyNumberFormat="1" applyFont="1"/>
    <xf numFmtId="9" fontId="2" fillId="0" borderId="0" xfId="0" applyNumberFormat="1" applyFont="1"/>
    <xf numFmtId="164" fontId="2" fillId="0" borderId="0" xfId="0" applyNumberFormat="1" applyFont="1"/>
    <xf numFmtId="10" fontId="3" fillId="2" borderId="1" xfId="1" applyNumberFormat="1" applyFont="1"/>
    <xf numFmtId="14" fontId="3" fillId="2" borderId="1" xfId="1" applyNumberFormat="1" applyFont="1"/>
    <xf numFmtId="42" fontId="1" fillId="2" borderId="1" xfId="1" applyNumberFormat="1"/>
    <xf numFmtId="166" fontId="0" fillId="0" borderId="0" xfId="0" applyNumberFormat="1"/>
    <xf numFmtId="165" fontId="2" fillId="0" borderId="0" xfId="0" applyNumberFormat="1" applyFont="1"/>
    <xf numFmtId="14" fontId="5" fillId="3" borderId="2" xfId="2" applyNumberFormat="1"/>
    <xf numFmtId="14" fontId="8" fillId="0" borderId="0" xfId="0" applyNumberFormat="1" applyFont="1"/>
    <xf numFmtId="14" fontId="6" fillId="3" borderId="1" xfId="3" applyNumberFormat="1"/>
    <xf numFmtId="0" fontId="8" fillId="4" borderId="3" xfId="5" applyFont="1"/>
    <xf numFmtId="0" fontId="0" fillId="0" borderId="4" xfId="0" applyBorder="1"/>
    <xf numFmtId="0" fontId="0" fillId="0" borderId="5" xfId="0" applyBorder="1"/>
    <xf numFmtId="14" fontId="0" fillId="0" borderId="6" xfId="0" applyNumberFormat="1" applyBorder="1"/>
    <xf numFmtId="0" fontId="0" fillId="0" borderId="7" xfId="0" applyBorder="1"/>
    <xf numFmtId="14" fontId="1" fillId="2" borderId="8" xfId="1" applyNumberFormat="1" applyBorder="1"/>
    <xf numFmtId="0" fontId="7" fillId="0" borderId="0" xfId="0" applyFont="1"/>
    <xf numFmtId="0" fontId="7" fillId="0" borderId="0" xfId="4"/>
    <xf numFmtId="14" fontId="7" fillId="0" borderId="0" xfId="4" applyNumberFormat="1"/>
    <xf numFmtId="49" fontId="7" fillId="0" borderId="0" xfId="4" applyNumberFormat="1"/>
    <xf numFmtId="166" fontId="7" fillId="0" borderId="0" xfId="4" applyNumberFormat="1"/>
    <xf numFmtId="166" fontId="7" fillId="0" borderId="0" xfId="0" applyNumberFormat="1" applyFont="1"/>
    <xf numFmtId="165" fontId="9" fillId="0" borderId="0" xfId="0" applyNumberFormat="1" applyFont="1"/>
    <xf numFmtId="10" fontId="7" fillId="0" borderId="0" xfId="4" applyNumberFormat="1"/>
    <xf numFmtId="167" fontId="7" fillId="0" borderId="0" xfId="4" applyNumberFormat="1"/>
    <xf numFmtId="0" fontId="1" fillId="2" borderId="1" xfId="1"/>
    <xf numFmtId="41" fontId="1" fillId="2" borderId="1" xfId="1" applyNumberFormat="1"/>
    <xf numFmtId="41" fontId="3" fillId="2" borderId="1" xfId="1" applyNumberFormat="1" applyFont="1"/>
    <xf numFmtId="9" fontId="1" fillId="2" borderId="1" xfId="1" applyNumberFormat="1"/>
    <xf numFmtId="9" fontId="3" fillId="2" borderId="1" xfId="1" applyNumberFormat="1" applyFont="1"/>
    <xf numFmtId="42" fontId="3" fillId="2" borderId="1" xfId="1" applyNumberFormat="1" applyFont="1"/>
    <xf numFmtId="168" fontId="1" fillId="2" borderId="1" xfId="1" applyNumberFormat="1"/>
    <xf numFmtId="4" fontId="1" fillId="2" borderId="1" xfId="1" applyNumberFormat="1"/>
    <xf numFmtId="10" fontId="1" fillId="2" borderId="1" xfId="1" applyNumberFormat="1"/>
  </cellXfs>
  <cellStyles count="6">
    <cellStyle name="Calculation" xfId="3" builtinId="22"/>
    <cellStyle name="Input" xfId="1" builtinId="20"/>
    <cellStyle name="Normal" xfId="0" builtinId="0"/>
    <cellStyle name="Note" xfId="5" builtinId="10"/>
    <cellStyle name="Output" xfId="2" builtinId="21"/>
    <cellStyle name="Warning Text" xfId="4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b">
        <v>0</v>
        <stp/>
        <stp>BDH|12529135129218294329</stp>
        <tr r="D6" s="24"/>
      </tp>
      <tp t="b">
        <v>0</v>
        <stp/>
        <stp>BDH|15406429591636720555</stp>
        <tr r="D22" s="26"/>
      </tp>
      <tp t="b">
        <v>0</v>
        <stp/>
        <stp>BDH|18433109036173311154</stp>
        <tr r="D6" s="23"/>
      </tp>
      <tp t="b">
        <v>0</v>
        <stp/>
        <stp>BDH|10212805940866246356</stp>
        <tr r="D6" s="28"/>
      </tp>
      <tp t="b">
        <v>0</v>
        <stp/>
        <stp>BDH|17484513860548165250</stp>
        <tr r="D6" s="20"/>
      </tp>
      <tp t="b">
        <v>0</v>
        <stp/>
        <stp>BDH|15767390880668415975</stp>
        <tr r="D22" s="22"/>
      </tp>
      <tp t="b">
        <v>0</v>
        <stp/>
        <stp>BDH|12451485368455768926</stp>
        <tr r="D6" s="26"/>
      </tp>
      <tp t="b">
        <v>0</v>
        <stp/>
        <stp>BDH|16001975927985558463</stp>
        <tr r="D6" s="31"/>
      </tp>
      <tp t="b">
        <v>0</v>
        <stp/>
        <stp>BDH|18272133232346958090</stp>
        <tr r="D22" s="29"/>
      </tp>
      <tp t="b">
        <v>0</v>
        <stp/>
        <stp>BDH|13625631881333180202</stp>
        <tr r="D22" s="16"/>
      </tp>
      <tp t="b">
        <v>0</v>
        <stp/>
        <stp>BDH|15613526140199038001</stp>
        <tr r="D22" s="27"/>
      </tp>
      <tp t="b">
        <v>0</v>
        <stp/>
        <stp>BDH|14102619180861575626</stp>
        <tr r="D22" s="28"/>
      </tp>
      <tp t="b">
        <v>0</v>
        <stp/>
        <stp>BDH|10670748272476575441</stp>
        <tr r="D22" s="17"/>
      </tp>
      <tp t="b">
        <v>0</v>
        <stp/>
        <stp>BDH|17192617862431352411</stp>
        <tr r="D14" s="27"/>
      </tp>
      <tp t="b">
        <v>0</v>
        <stp/>
        <stp>BDH|18413576794225824349</stp>
        <tr r="D14" s="30"/>
      </tp>
      <tp t="b">
        <v>0</v>
        <stp/>
        <stp>BDH|12509671308604553230</stp>
        <tr r="D6" s="16"/>
      </tp>
      <tp t="b">
        <v>0</v>
        <stp/>
        <stp>BDH|13286196518523512372</stp>
        <tr r="D22" s="1"/>
      </tp>
      <tp t="b">
        <v>0</v>
        <stp/>
        <stp>BDH|18331697641503995907</stp>
        <tr r="D6" s="19"/>
      </tp>
      <tp t="b">
        <v>0</v>
        <stp/>
        <stp>BDH|10758917436993211941</stp>
        <tr r="D6" s="18"/>
      </tp>
      <tp t="b">
        <v>0</v>
        <stp/>
        <stp>BDH|13650635600086600387</stp>
        <tr r="D14" s="16"/>
      </tp>
      <tp t="b">
        <v>0</v>
        <stp/>
        <stp>BDH|11564703113327179617</stp>
        <tr r="D14" s="13"/>
      </tp>
      <tp t="b">
        <v>0</v>
        <stp/>
        <stp>BDH|12636504934154005432</stp>
        <tr r="D22" s="18"/>
      </tp>
      <tp t="b">
        <v>0</v>
        <stp/>
        <stp>BDH|12293564011302273030</stp>
        <tr r="D14" s="28"/>
      </tp>
    </main>
    <main first="bofaddin.rtdserver">
      <tp t="b">
        <v>0</v>
        <stp/>
        <stp>BDH|4291291161496344</stp>
        <tr r="D22" s="15"/>
      </tp>
      <tp t="b">
        <v>0</v>
        <stp/>
        <stp>BDH|9942362272290667191</stp>
        <tr r="D22" s="12"/>
      </tp>
      <tp t="b">
        <v>0</v>
        <stp/>
        <stp>BDH|9466289754670412305</stp>
        <tr r="D6" s="27"/>
      </tp>
      <tp t="b">
        <v>0</v>
        <stp/>
        <stp>BDH|1696869858850916281</stp>
        <tr r="D22" s="20"/>
      </tp>
      <tp t="b">
        <v>0</v>
        <stp/>
        <stp>BDH|5936247185515601546</stp>
        <tr r="D22" s="21"/>
      </tp>
      <tp t="b">
        <v>0</v>
        <stp/>
        <stp>BDH|3526241099624185331</stp>
        <tr r="D22" s="13"/>
      </tp>
      <tp t="b">
        <v>0</v>
        <stp/>
        <stp>BDH|3768268729519934541</stp>
        <tr r="D22" s="19"/>
      </tp>
      <tp t="b">
        <v>0</v>
        <stp/>
        <stp>BDH|7522908735050711511</stp>
        <tr r="D6" s="17"/>
      </tp>
      <tp t="b">
        <v>0</v>
        <stp/>
        <stp>BDH|8486167803424383567</stp>
        <tr r="D14" s="29"/>
      </tp>
      <tp t="s">
        <v>#N/A N/A</v>
        <stp/>
        <stp>BDH|3172783099180324495</stp>
        <tr r="D22" s="14"/>
      </tp>
      <tp t="b">
        <v>0</v>
        <stp/>
        <stp>BDH|5675622183925954722</stp>
        <tr r="D22" s="25"/>
      </tp>
      <tp t="s">
        <v>#N/A N/A</v>
        <stp/>
        <stp>BDH|2950305233149398296</stp>
        <tr r="D6" s="14"/>
      </tp>
      <tp t="b">
        <v>0</v>
        <stp/>
        <stp>BDH|2085858345706904217</stp>
        <tr r="D14" s="22"/>
      </tp>
      <tp t="b">
        <v>0</v>
        <stp/>
        <stp>BDH|3815460190660616462</stp>
        <tr r="D6" s="29"/>
      </tp>
      <tp t="b">
        <v>0</v>
        <stp/>
        <stp>BDH|8969688811353158767</stp>
        <tr r="D14" s="17"/>
      </tp>
      <tp t="b">
        <v>0</v>
        <stp/>
        <stp>BDH|5740279431558215918</stp>
        <tr r="D22" s="23"/>
      </tp>
      <tp t="b">
        <v>0</v>
        <stp/>
        <stp>BDH|2222124165792423234</stp>
        <tr r="D6" s="25"/>
      </tp>
      <tp t="b">
        <v>0</v>
        <stp/>
        <stp>BDH|6884994060868337426</stp>
        <tr r="D6" s="30"/>
      </tp>
      <tp t="b">
        <v>0</v>
        <stp/>
        <stp>BDH|5128517037331913471</stp>
        <tr r="D22" s="30"/>
      </tp>
      <tp t="b">
        <v>0</v>
        <stp/>
        <stp>BDH|5201871191457006552</stp>
        <tr r="D14" s="12"/>
      </tp>
      <tp t="b">
        <v>0</v>
        <stp/>
        <stp>BDH|7421561825334153216</stp>
        <tr r="D6" s="21"/>
      </tp>
      <tp t="b">
        <v>0</v>
        <stp/>
        <stp>BDH|8964345093944480130</stp>
        <tr r="D14" s="15"/>
      </tp>
      <tp t="b">
        <v>0</v>
        <stp/>
        <stp>BDH|9087447578419699473</stp>
        <tr r="D14" s="19"/>
      </tp>
      <tp t="b">
        <v>0</v>
        <stp/>
        <stp>BDH|2241573700396694610</stp>
        <tr r="D6" s="12"/>
      </tp>
      <tp t="b">
        <v>0</v>
        <stp/>
        <stp>BDH|4304280348791654462</stp>
        <tr r="D6" s="22"/>
      </tp>
      <tp t="b">
        <v>0</v>
        <stp/>
        <stp>BDH|6770258442571723669</stp>
        <tr r="D6" s="13"/>
      </tp>
      <tp t="b">
        <v>0</v>
        <stp/>
        <stp>BDH|7050461194049651424</stp>
        <tr r="D22" s="24"/>
      </tp>
      <tp t="b">
        <v>0</v>
        <stp/>
        <stp>BDH|2339838798161272233</stp>
        <tr r="D6" s="15"/>
      </tp>
      <tp t="b">
        <v>0</v>
        <stp/>
        <stp>BDH|8653791644453527825</stp>
        <tr r="D14" s="1"/>
      </tp>
      <tp t="b">
        <v>0</v>
        <stp/>
        <stp>BDH|9323829596008204089</stp>
        <tr r="D14" s="21"/>
      </tp>
      <tp t="b">
        <v>0</v>
        <stp/>
        <stp>BDH|8473008631539963302</stp>
        <tr r="D14" s="31"/>
      </tp>
      <tp t="b">
        <v>0</v>
        <stp/>
        <stp>BDH|6105729101808582850</stp>
        <tr r="D14" s="23"/>
      </tp>
      <tp t="b">
        <v>0</v>
        <stp/>
        <stp>BDH|1001307624787447639</stp>
        <tr r="D22" s="31"/>
      </tp>
      <tp t="s">
        <v>#N/A N/A</v>
        <stp/>
        <stp>BDH|4711754925476636525</stp>
        <tr r="D14" s="14"/>
      </tp>
      <tp t="b">
        <v>0</v>
        <stp/>
        <stp>BDH|6099924523627877992</stp>
        <tr r="D14" s="20"/>
      </tp>
      <tp t="b">
        <v>0</v>
        <stp/>
        <stp>BDH|8619432814666725823</stp>
        <tr r="D6" s="1"/>
      </tp>
      <tp t="b">
        <v>0</v>
        <stp/>
        <stp>BDH|1217778651747553750</stp>
        <tr r="D14" s="24"/>
      </tp>
      <tp t="b">
        <v>0</v>
        <stp/>
        <stp>BDH|6424279092268653631</stp>
        <tr r="D14" s="26"/>
      </tp>
      <tp t="b">
        <v>0</v>
        <stp/>
        <stp>BDH|411173180309600465</stp>
        <tr r="D14" s="18"/>
      </tp>
    </main>
    <main first="bofaddin.rtdserver">
      <tp t="b">
        <v>0</v>
        <stp/>
        <stp>BDH|371687599637540237</stp>
        <tr r="D14" s="2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7270-31E4-4E68-AE45-8CC1C1FAF7FB}">
  <dimension ref="A1:Y67"/>
  <sheetViews>
    <sheetView topLeftCell="A24" zoomScale="85" zoomScaleNormal="85" workbookViewId="0">
      <selection activeCell="B55" sqref="B55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15" width="10.1328125" bestFit="1" customWidth="1"/>
    <col min="16" max="16" width="9" customWidth="1"/>
    <col min="17" max="17" width="12.3984375" bestFit="1" customWidth="1"/>
    <col min="18" max="18" width="14.3984375" bestFit="1" customWidth="1"/>
    <col min="19" max="19" width="8.59765625" bestFit="1" customWidth="1"/>
    <col min="20" max="20" width="20.265625" bestFit="1" customWidth="1"/>
    <col min="21" max="21" width="7.3984375" bestFit="1" customWidth="1"/>
    <col min="22" max="22" width="10.73046875" bestFit="1" customWidth="1"/>
    <col min="23" max="23" width="9.1328125" bestFit="1" customWidth="1"/>
    <col min="24" max="24" width="10.3984375" bestFit="1" customWidth="1"/>
    <col min="25" max="25" width="9.1328125" bestFit="1" customWidth="1"/>
  </cols>
  <sheetData>
    <row r="1" spans="1:25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45">
      <c r="A2" s="17" t="s">
        <v>1</v>
      </c>
      <c r="B2" s="31" t="s">
        <v>26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AMPL US EQUITY</v>
      </c>
      <c r="R2" s="24">
        <f ca="1"/>
        <v>45747</v>
      </c>
      <c r="S2" s="25" t="str">
        <f ca="1"/>
        <v>canonical</v>
      </c>
      <c r="T2" s="26" t="str">
        <f ca="1"/>
        <v>revenue</v>
      </c>
      <c r="U2" s="27" t="str">
        <f ca="1"/>
        <v>79.953</v>
      </c>
      <c r="V2" s="28" t="str">
        <f ca="1"/>
        <v>0.100917052214144</v>
      </c>
      <c r="W2" s="29" t="str">
        <f ca="1"/>
        <v>66.9131940179746</v>
      </c>
      <c r="X2" s="28" t="str">
        <f ca="1"/>
        <v>84.4898055026055</v>
      </c>
      <c r="Y2" s="29" t="str">
        <f ca="1"/>
        <v>0.0233198090386659</v>
      </c>
    </row>
    <row r="3" spans="1:25" x14ac:dyDescent="0.45">
      <c r="A3" s="18" t="s">
        <v>3</v>
      </c>
      <c r="B3" s="19">
        <f ca="1">+B4-365*3</f>
        <v>45001</v>
      </c>
      <c r="Q3" s="24" t="str">
        <f ca="1"/>
        <v>AMPL US EQUITY</v>
      </c>
      <c r="R3" s="24">
        <f ca="1"/>
        <v>45838</v>
      </c>
      <c r="S3" s="25" t="str">
        <f ca="1"/>
        <v>canonical</v>
      </c>
      <c r="T3" s="26" t="str">
        <f ca="1"/>
        <v>revenue</v>
      </c>
      <c r="U3" s="27" t="str">
        <f ca="1"/>
        <v>83.27</v>
      </c>
      <c r="V3" s="28" t="str">
        <f ca="1"/>
        <v>0.136016371077763</v>
      </c>
      <c r="W3" s="29" t="str">
        <f ca="1"/>
        <v>350.993188636184</v>
      </c>
      <c r="X3" s="29" t="str">
        <f ca="1"/>
        <v>543.689615716609</v>
      </c>
      <c r="Y3" s="29" t="str">
        <f ca="1"/>
        <v>0.0414868735382037</v>
      </c>
    </row>
    <row r="4" spans="1:25" x14ac:dyDescent="0.45">
      <c r="A4" s="20" t="s">
        <v>2</v>
      </c>
      <c r="B4" s="21">
        <f ca="1">TODAY()</f>
        <v>46096</v>
      </c>
      <c r="Q4" s="24" t="str">
        <f ca="1"/>
        <v>AMPL US EQUITY</v>
      </c>
      <c r="R4" s="24">
        <f ca="1"/>
        <v>45930</v>
      </c>
      <c r="S4" s="25" t="str">
        <f ca="1"/>
        <v>canonical</v>
      </c>
      <c r="T4" s="26" t="str">
        <f ca="1"/>
        <v>revenue</v>
      </c>
      <c r="U4" s="27" t="str">
        <f ca="1"/>
        <v>88.564</v>
      </c>
      <c r="V4" s="28" t="str">
        <f ca="1"/>
        <v>0.177446587872422</v>
      </c>
      <c r="W4" s="29" t="str">
        <f ca="1"/>
        <v>414.302167946596</v>
      </c>
      <c r="X4" s="29" t="str">
        <f ca="1"/>
        <v>1126.08047164295</v>
      </c>
      <c r="Y4" s="29" t="str">
        <f ca="1"/>
        <v>0.0635763180016813</v>
      </c>
    </row>
    <row r="5" spans="1:25" x14ac:dyDescent="0.45">
      <c r="C5" s="13" t="s">
        <v>12</v>
      </c>
      <c r="D5" s="14">
        <f t="shared" ref="D5:O5" ca="1" si="0">EOMONTH(DATE(YEAR(D6),ROUNDUP(MONTH(D6)/3,0)*3,1),0)</f>
        <v>45016</v>
      </c>
      <c r="E5" s="14">
        <f t="shared" ca="1" si="0"/>
        <v>45107</v>
      </c>
      <c r="F5" s="14">
        <f t="shared" ca="1" si="0"/>
        <v>45199</v>
      </c>
      <c r="G5" s="14">
        <f t="shared" ca="1" si="0"/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t="shared" ca="1" si="0"/>
        <v>45747</v>
      </c>
      <c r="M5" s="14">
        <f t="shared" ca="1" si="0"/>
        <v>45838</v>
      </c>
      <c r="N5" s="14">
        <f t="shared" ca="1" si="0"/>
        <v>45930</v>
      </c>
      <c r="O5" s="14">
        <f t="shared" ca="1" si="0"/>
        <v>46022</v>
      </c>
      <c r="Q5" s="24" t="str">
        <f ca="1"/>
        <v>AMPL US EQUITY</v>
      </c>
      <c r="R5" s="24">
        <f ca="1"/>
        <v>46022</v>
      </c>
      <c r="S5" s="25" t="str">
        <f ca="1"/>
        <v>canonical</v>
      </c>
      <c r="T5" s="26" t="str">
        <f ca="1"/>
        <v>revenue</v>
      </c>
      <c r="U5" s="27" t="str">
        <f ca="1"/>
        <v>91.427</v>
      </c>
      <c r="V5" s="28" t="str">
        <f ca="1"/>
        <v>0.170175730503897</v>
      </c>
      <c r="W5" s="29" t="str">
        <f ca="1"/>
        <v>-72.7085736852495</v>
      </c>
      <c r="X5" s="29" t="str">
        <f ca="1"/>
        <v>759.499976915505</v>
      </c>
      <c r="Y5" s="29" t="str">
        <f ca="1"/>
        <v>0.0323269048371801</v>
      </c>
    </row>
    <row r="6" spans="1:25" x14ac:dyDescent="0.45">
      <c r="D6" s="15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AMPL US EQUITY</v>
      </c>
      <c r="R6" s="24">
        <f ca="1"/>
        <v>45747</v>
      </c>
      <c r="S6" s="25" t="str">
        <f ca="1"/>
        <v>canonical</v>
      </c>
      <c r="T6" s="26" t="str">
        <f ca="1"/>
        <v>gross_margin_gaap</v>
      </c>
      <c r="U6" s="30" t="str">
        <f ca="1"/>
        <v>74.7302</v>
      </c>
      <c r="V6" s="29" t="str">
        <f ca="1"/>
        <v>73.9499999999992</v>
      </c>
      <c r="W6" s="29" t="str">
        <f ca="1"/>
        <v/>
      </c>
      <c r="X6" s="29" t="str">
        <f ca="1"/>
        <v/>
      </c>
      <c r="Y6" s="29" t="str">
        <f ca="1"/>
        <v>7.9899999999995</v>
      </c>
    </row>
    <row r="7" spans="1:25" x14ac:dyDescent="0.45">
      <c r="A7" s="16" t="s">
        <v>9</v>
      </c>
      <c r="B7" s="16" t="s">
        <v>8</v>
      </c>
      <c r="C7" s="9" t="s">
        <v>0</v>
      </c>
      <c r="D7" s="11">
        <f ca="1"/>
        <v>66.477000000000004</v>
      </c>
      <c r="E7" s="11">
        <f ca="1"/>
        <v>67.766999999999996</v>
      </c>
      <c r="F7" s="11">
        <f ca="1"/>
        <v>70.637</v>
      </c>
      <c r="G7" s="11">
        <f ca="1"/>
        <v>71.403000000000006</v>
      </c>
      <c r="H7" s="11">
        <f ca="1"/>
        <v>72.623999999999995</v>
      </c>
      <c r="I7" s="11">
        <f ca="1"/>
        <v>73.3</v>
      </c>
      <c r="J7" s="11">
        <f ca="1"/>
        <v>75.216999999999999</v>
      </c>
      <c r="K7" s="11">
        <f ca="1"/>
        <v>78.131</v>
      </c>
      <c r="L7" s="11">
        <f ca="1"/>
        <v>79.953000000000003</v>
      </c>
      <c r="M7" s="11">
        <f ca="1"/>
        <v>83.27</v>
      </c>
      <c r="N7" s="11">
        <f ca="1"/>
        <v>88.563999999999993</v>
      </c>
      <c r="O7" s="3">
        <f ca="1"/>
        <v>91.427000000000007</v>
      </c>
      <c r="P7" s="1"/>
      <c r="Q7" s="24" t="str">
        <f ca="1"/>
        <v>AMPL US EQUITY</v>
      </c>
      <c r="R7" s="24">
        <f ca="1"/>
        <v>45838</v>
      </c>
      <c r="S7" s="25" t="str">
        <f ca="1"/>
        <v>canonical</v>
      </c>
      <c r="T7" s="26" t="str">
        <f ca="1"/>
        <v>gross_margin_gaap</v>
      </c>
      <c r="U7" s="30" t="str">
        <f ca="1"/>
        <v>72.6048</v>
      </c>
      <c r="V7" s="29" t="str">
        <f ca="1"/>
        <v>-81.2700000000007</v>
      </c>
      <c r="W7" s="29" t="str">
        <f ca="1"/>
        <v/>
      </c>
      <c r="X7" s="29" t="str">
        <f ca="1"/>
        <v/>
      </c>
      <c r="Y7" s="29" t="str">
        <f ca="1"/>
        <v>-212.54</v>
      </c>
    </row>
    <row r="8" spans="1:25" x14ac:dyDescent="0.45">
      <c r="C8" s="4" t="s">
        <v>4</v>
      </c>
      <c r="D8" s="5"/>
      <c r="E8" s="4"/>
      <c r="F8" s="4"/>
      <c r="G8" s="12"/>
      <c r="H8" s="12">
        <f t="shared" ref="H8:O8" ca="1" si="1">+H7/D7-1</f>
        <v>9.2468071663883711E-2</v>
      </c>
      <c r="I8" s="12">
        <f t="shared" ca="1" si="1"/>
        <v>8.164740950610172E-2</v>
      </c>
      <c r="J8" s="12">
        <f t="shared" ca="1" si="1"/>
        <v>6.4838540708127335E-2</v>
      </c>
      <c r="K8" s="12">
        <f t="shared" ca="1" si="1"/>
        <v>9.4225732812346807E-2</v>
      </c>
      <c r="L8" s="12">
        <f t="shared" ca="1" si="1"/>
        <v>0.10091705221414426</v>
      </c>
      <c r="M8" s="12">
        <f t="shared" ca="1" si="1"/>
        <v>0.13601637107776265</v>
      </c>
      <c r="N8" s="12">
        <f t="shared" ca="1" si="1"/>
        <v>0.17744658787242229</v>
      </c>
      <c r="O8" s="12">
        <f t="shared" ca="1" si="1"/>
        <v>0.17017573050389734</v>
      </c>
      <c r="P8" s="3"/>
      <c r="Q8" s="24" t="str">
        <f ca="1"/>
        <v>AMPL US EQUITY</v>
      </c>
      <c r="R8" s="24">
        <f ca="1"/>
        <v>45930</v>
      </c>
      <c r="S8" s="25" t="str">
        <f ca="1"/>
        <v>canonical</v>
      </c>
      <c r="T8" s="26" t="str">
        <f ca="1"/>
        <v>gross_margin_gaap</v>
      </c>
      <c r="U8" s="30" t="str">
        <f ca="1"/>
        <v>73.9465</v>
      </c>
      <c r="V8" s="29" t="str">
        <f ca="1"/>
        <v>-113.36</v>
      </c>
      <c r="W8" s="29" t="str">
        <f ca="1"/>
        <v/>
      </c>
      <c r="X8" s="29" t="str">
        <f ca="1"/>
        <v/>
      </c>
      <c r="Y8" s="29" t="str">
        <f ca="1"/>
        <v>134.17</v>
      </c>
    </row>
    <row r="9" spans="1:25" x14ac:dyDescent="0.45">
      <c r="C9" s="4" t="s">
        <v>19</v>
      </c>
      <c r="D9" s="1"/>
      <c r="L9" s="7">
        <f ca="1">(L8-K8)*10000</f>
        <v>66.913194017974575</v>
      </c>
      <c r="M9" s="7">
        <f ca="1">(M8-L8)*10000</f>
        <v>350.9931886361839</v>
      </c>
      <c r="N9" s="7">
        <f ca="1">(N8-M8)*10000</f>
        <v>414.30216794659634</v>
      </c>
      <c r="O9" s="7">
        <f ca="1">(O8-N8)*10000</f>
        <v>-72.708573685249519</v>
      </c>
      <c r="Q9" s="22" t="str">
        <f ca="1"/>
        <v>AMPL US EQUITY</v>
      </c>
      <c r="R9" s="24">
        <f ca="1"/>
        <v>46022</v>
      </c>
      <c r="S9" s="25" t="str">
        <f ca="1"/>
        <v>canonical</v>
      </c>
      <c r="T9" s="26" t="str">
        <f ca="1"/>
        <v>gross_margin_gaap</v>
      </c>
      <c r="U9" s="30" t="str">
        <f ca="1"/>
        <v>74.6289</v>
      </c>
      <c r="V9" s="29" t="str">
        <f ca="1"/>
        <v>-2.13999999999999</v>
      </c>
      <c r="W9" s="29" t="str">
        <f ca="1"/>
        <v/>
      </c>
      <c r="X9" s="29" t="str">
        <f ca="1"/>
        <v/>
      </c>
      <c r="Y9" s="29" t="str">
        <f ca="1"/>
        <v>68.2400000000001</v>
      </c>
    </row>
    <row r="10" spans="1:25" x14ac:dyDescent="0.4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84.489805502605549</v>
      </c>
      <c r="M10" s="7">
        <f ca="1">(M8-I8)*10000</f>
        <v>543.6896157166093</v>
      </c>
      <c r="N10" s="7">
        <f ca="1">(N8-J8)*10000</f>
        <v>1126.0804716429495</v>
      </c>
      <c r="O10" s="7">
        <f ca="1">(O8-K8)*10000</f>
        <v>759.49997691550527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AMPL US EQUITY</v>
      </c>
      <c r="R10" s="24">
        <f ca="1"/>
        <v>45747</v>
      </c>
      <c r="S10" s="25" t="str">
        <f ca="1"/>
        <v>canonical</v>
      </c>
      <c r="T10" s="26" t="str">
        <f ca="1"/>
        <v>operating_margin_gaap</v>
      </c>
      <c r="U10" s="30" t="str">
        <f ca="1"/>
        <v>-30.2653</v>
      </c>
      <c r="V10" s="29" t="str">
        <f ca="1"/>
        <v>375.24</v>
      </c>
      <c r="W10" s="29" t="str">
        <f ca="1"/>
        <v/>
      </c>
      <c r="X10" s="29" t="str">
        <f ca="1"/>
        <v/>
      </c>
      <c r="Y10" s="29" t="str">
        <f ca="1"/>
        <v>1517.76</v>
      </c>
    </row>
    <row r="11" spans="1:25" x14ac:dyDescent="0.45">
      <c r="C11" s="4" t="s">
        <v>5</v>
      </c>
      <c r="D11" s="1"/>
      <c r="L11" s="12">
        <f ca="1">L7/K7-1</f>
        <v>2.3319809038665928E-2</v>
      </c>
      <c r="M11" s="12">
        <f ca="1">M7/L7-1</f>
        <v>4.1486873538203684E-2</v>
      </c>
      <c r="N11" s="12">
        <f ca="1">N7/M7-1</f>
        <v>6.3576318001681287E-2</v>
      </c>
      <c r="O11" s="12">
        <f ca="1">O7/N7-1</f>
        <v>3.2326904837180148E-2</v>
      </c>
      <c r="Q11" s="24" t="str">
        <f ca="1"/>
        <v>AMPL US EQUITY</v>
      </c>
      <c r="R11" s="24">
        <f ca="1"/>
        <v>45838</v>
      </c>
      <c r="S11" s="25" t="str">
        <f ca="1"/>
        <v>canonical</v>
      </c>
      <c r="T11" s="26" t="str">
        <f ca="1"/>
        <v>operating_margin_gaap</v>
      </c>
      <c r="U11" s="30" t="str">
        <f ca="1"/>
        <v>-32.5375</v>
      </c>
      <c r="V11" s="29" t="str">
        <f ca="1"/>
        <v>451.57</v>
      </c>
      <c r="W11" s="29" t="str">
        <f ca="1"/>
        <v/>
      </c>
      <c r="X11" s="29" t="str">
        <f ca="1"/>
        <v/>
      </c>
      <c r="Y11" s="29" t="str">
        <f ca="1"/>
        <v>-227.22</v>
      </c>
    </row>
    <row r="12" spans="1:25" x14ac:dyDescent="0.45">
      <c r="Q12" s="24" t="str">
        <f ca="1"/>
        <v>AMPL US EQUITY</v>
      </c>
      <c r="R12" s="24">
        <f ca="1"/>
        <v>45930</v>
      </c>
      <c r="S12" s="25" t="str">
        <f ca="1"/>
        <v>canonical</v>
      </c>
      <c r="T12" s="26" t="str">
        <f ca="1"/>
        <v>operating_margin_gaap</v>
      </c>
      <c r="U12" s="30" t="str">
        <f ca="1"/>
        <v>-28.9621</v>
      </c>
      <c r="V12" s="29" t="str">
        <f ca="1"/>
        <v>-235.51</v>
      </c>
      <c r="W12" s="29" t="str">
        <f ca="1"/>
        <v/>
      </c>
      <c r="X12" s="29" t="str">
        <f ca="1"/>
        <v/>
      </c>
      <c r="Y12" s="29" t="str">
        <f ca="1"/>
        <v>357.54</v>
      </c>
    </row>
    <row r="13" spans="1:25" x14ac:dyDescent="0.45">
      <c r="C13" s="13" t="s">
        <v>12</v>
      </c>
      <c r="D13" s="14">
        <f t="shared" ref="D13:O13" ca="1" si="2">EOMONTH(DATE(YEAR(D14),ROUNDUP(MONTH(D14)/3,0)*3,1),0)</f>
        <v>45016</v>
      </c>
      <c r="E13" s="14">
        <f t="shared" ca="1" si="2"/>
        <v>45107</v>
      </c>
      <c r="F13" s="14">
        <f t="shared" ca="1" si="2"/>
        <v>45199</v>
      </c>
      <c r="G13" s="14">
        <f t="shared" ca="1" si="2"/>
        <v>45291</v>
      </c>
      <c r="H13" s="14">
        <f t="shared" ca="1" si="2"/>
        <v>45382</v>
      </c>
      <c r="I13" s="14">
        <f t="shared" ca="1" si="2"/>
        <v>45473</v>
      </c>
      <c r="J13" s="14">
        <f t="shared" ca="1" si="2"/>
        <v>45565</v>
      </c>
      <c r="K13" s="14">
        <f t="shared" ca="1" si="2"/>
        <v>45657</v>
      </c>
      <c r="L13" s="14">
        <f t="shared" ca="1" si="2"/>
        <v>45747</v>
      </c>
      <c r="M13" s="14">
        <f t="shared" ca="1" si="2"/>
        <v>45838</v>
      </c>
      <c r="N13" s="14">
        <f t="shared" ca="1" si="2"/>
        <v>45930</v>
      </c>
      <c r="O13" s="14">
        <f t="shared" ca="1" si="2"/>
        <v>46022</v>
      </c>
      <c r="Q13" s="24" t="str">
        <f ca="1"/>
        <v>AMPL US EQUITY</v>
      </c>
      <c r="R13" s="24">
        <f ca="1"/>
        <v>46022</v>
      </c>
      <c r="S13" s="25" t="str">
        <f ca="1"/>
        <v>canonical</v>
      </c>
      <c r="T13" s="26" t="str">
        <f ca="1"/>
        <v>operating_margin_gaap</v>
      </c>
      <c r="U13" s="30" t="str">
        <f ca="1"/>
        <v>-20.8494</v>
      </c>
      <c r="V13" s="29" t="str">
        <f ca="1"/>
        <v>2459.35</v>
      </c>
      <c r="W13" s="29" t="str">
        <f ca="1"/>
        <v/>
      </c>
      <c r="X13" s="29" t="str">
        <f ca="1"/>
        <v/>
      </c>
      <c r="Y13" s="29" t="str">
        <f ca="1"/>
        <v>811.27</v>
      </c>
    </row>
    <row r="14" spans="1:25" x14ac:dyDescent="0.4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AMPL US EQUITY</v>
      </c>
      <c r="R14" s="24">
        <v>45747</v>
      </c>
      <c r="S14" s="25" t="str">
        <v>custom</v>
      </c>
      <c r="T14" s="26" t="str">
        <v>arr_in_k</v>
      </c>
      <c r="U14" s="30" t="str">
        <v>320000</v>
      </c>
      <c r="V14" s="29" t="str">
        <v>0.12280701754386</v>
      </c>
      <c r="W14" s="29" t="str">
        <v>124.867328463507</v>
      </c>
      <c r="X14" s="29" t="str">
        <v>350.207580018749</v>
      </c>
      <c r="Y14" s="29" t="str">
        <v>0.0256410256410255</v>
      </c>
    </row>
    <row r="15" spans="1:25" x14ac:dyDescent="0.45">
      <c r="A15" s="16" t="s">
        <v>9</v>
      </c>
      <c r="B15" s="16" t="s">
        <v>14</v>
      </c>
      <c r="C15" s="9" t="s">
        <v>6</v>
      </c>
      <c r="D15" s="3">
        <f ca="1"/>
        <v>71.1374</v>
      </c>
      <c r="E15" s="3">
        <f ca="1"/>
        <v>74.648399999999995</v>
      </c>
      <c r="F15" s="3">
        <f ca="1"/>
        <v>75.521299999999997</v>
      </c>
      <c r="G15" s="3">
        <f ca="1"/>
        <v>74.419799999999995</v>
      </c>
      <c r="H15" s="3">
        <f ca="1"/>
        <v>73.990700000000004</v>
      </c>
      <c r="I15" s="3">
        <f ca="1"/>
        <v>73.417500000000004</v>
      </c>
      <c r="J15" s="3">
        <f ca="1"/>
        <v>75.080100000000002</v>
      </c>
      <c r="K15" s="3">
        <f ca="1"/>
        <v>74.650300000000001</v>
      </c>
      <c r="L15" s="3">
        <f ca="1"/>
        <v>74.730199999999996</v>
      </c>
      <c r="M15" s="3">
        <f ca="1"/>
        <v>72.604799999999997</v>
      </c>
      <c r="N15" s="3">
        <f ca="1"/>
        <v>73.9465</v>
      </c>
      <c r="O15">
        <f ca="1"/>
        <v>74.628900000000002</v>
      </c>
      <c r="Q15" s="24" t="str">
        <v>AMPL US EQUITY</v>
      </c>
      <c r="R15" s="24">
        <v>45838</v>
      </c>
      <c r="S15" s="25" t="str">
        <v>custom</v>
      </c>
      <c r="T15" s="26" t="str">
        <v>arr_in_k</v>
      </c>
      <c r="U15" s="30" t="str">
        <v>335000</v>
      </c>
      <c r="V15" s="29" t="str">
        <v>0.155172413793103</v>
      </c>
      <c r="W15" s="29" t="str">
        <v>323.653962492438</v>
      </c>
      <c r="X15" s="29" t="str">
        <v>730.828615542976</v>
      </c>
      <c r="Y15" s="29" t="str">
        <v>0.046875</v>
      </c>
    </row>
    <row r="16" spans="1:25" x14ac:dyDescent="0.45">
      <c r="C16" s="4" t="s">
        <v>4</v>
      </c>
      <c r="D16" s="5"/>
      <c r="E16" s="4"/>
      <c r="F16" s="4"/>
      <c r="G16" s="4"/>
      <c r="H16" s="7">
        <f t="shared" ref="H16:O16" ca="1" si="3">(H15-D15)*100</f>
        <v>285.33000000000044</v>
      </c>
      <c r="I16" s="7">
        <f t="shared" ca="1" si="3"/>
        <v>-123.08999999999912</v>
      </c>
      <c r="J16" s="7">
        <f t="shared" ca="1" si="3"/>
        <v>-44.119999999999493</v>
      </c>
      <c r="K16" s="7">
        <f t="shared" ca="1" si="3"/>
        <v>23.050000000000637</v>
      </c>
      <c r="L16" s="7">
        <f t="shared" ca="1" si="3"/>
        <v>73.94999999999925</v>
      </c>
      <c r="M16" s="7">
        <f t="shared" ca="1" si="3"/>
        <v>-81.270000000000664</v>
      </c>
      <c r="N16" s="7">
        <f t="shared" ca="1" si="3"/>
        <v>-113.36000000000013</v>
      </c>
      <c r="O16" s="7">
        <f t="shared" ca="1" si="3"/>
        <v>-2.1399999999999864</v>
      </c>
      <c r="Q16" s="24" t="str">
        <v>AMPL US EQUITY</v>
      </c>
      <c r="R16" s="24">
        <v>45930</v>
      </c>
      <c r="S16" s="25" t="str">
        <v>custom</v>
      </c>
      <c r="T16" s="26" t="str">
        <v>arr_in_k</v>
      </c>
      <c r="U16" s="30" t="str">
        <v>347000</v>
      </c>
      <c r="V16" s="29" t="str">
        <v>0.164429530201342</v>
      </c>
      <c r="W16" s="29" t="str">
        <v>92.571164082389</v>
      </c>
      <c r="X16" s="29" t="str">
        <v>728.544386262509</v>
      </c>
      <c r="Y16" s="29" t="str">
        <v>0.035820895522388</v>
      </c>
    </row>
    <row r="17" spans="1:25" x14ac:dyDescent="0.45">
      <c r="C17" s="4" t="s">
        <v>19</v>
      </c>
      <c r="D17" s="1"/>
      <c r="K17" s="7"/>
      <c r="L17" s="7"/>
      <c r="M17" s="7"/>
      <c r="N17" s="7"/>
      <c r="O17" s="7"/>
      <c r="Q17" s="24" t="str">
        <v>AMPL US EQUITY</v>
      </c>
      <c r="R17" s="24">
        <v>46022</v>
      </c>
      <c r="S17" s="25" t="str">
        <v>custom</v>
      </c>
      <c r="T17" s="26" t="str">
        <v>arr_in_k</v>
      </c>
      <c r="U17" s="30" t="str">
        <v>366000</v>
      </c>
      <c r="V17" s="29" t="str">
        <v>0.173076923076923</v>
      </c>
      <c r="W17" s="29" t="str">
        <v>86.4739287558081</v>
      </c>
      <c r="X17" s="29" t="str">
        <v>627.566383794143</v>
      </c>
      <c r="Y17" s="29" t="str">
        <v>0.0547550432276658</v>
      </c>
    </row>
    <row r="18" spans="1:25" x14ac:dyDescent="0.4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AMPL US EQUITY</v>
      </c>
      <c r="R18" s="24">
        <v>45747</v>
      </c>
      <c r="S18" s="25" t="str">
        <v>custom</v>
      </c>
      <c r="T18" s="26" t="str">
        <v>crpo_in_k</v>
      </c>
      <c r="U18" s="30" t="str">
        <v>233801</v>
      </c>
      <c r="V18" s="29" t="str">
        <v>0.186283215026866</v>
      </c>
      <c r="W18" s="29" t="str">
        <v>12.8512528708624</v>
      </c>
      <c r="X18" s="29" t="str">
        <v>1571.08280301018</v>
      </c>
      <c r="Y18" s="29" t="str">
        <v>0.0469326526956833</v>
      </c>
    </row>
    <row r="19" spans="1:25" x14ac:dyDescent="0.45">
      <c r="C19" s="4" t="s">
        <v>5</v>
      </c>
      <c r="D19" s="1"/>
      <c r="K19" s="7"/>
      <c r="L19" s="7">
        <f ca="1">(L15-K15)*100</f>
        <v>7.9899999999994975</v>
      </c>
      <c r="M19" s="7">
        <f ca="1">(M15-L15)*100</f>
        <v>-212.53999999999991</v>
      </c>
      <c r="N19" s="7">
        <f ca="1">(N15-M15)*100</f>
        <v>134.1700000000003</v>
      </c>
      <c r="O19" s="7">
        <f ca="1">(O15-N15)*100</f>
        <v>68.240000000000123</v>
      </c>
      <c r="Q19" s="24" t="str">
        <v>AMPL US EQUITY</v>
      </c>
      <c r="R19" s="24">
        <v>45838</v>
      </c>
      <c r="S19" s="25" t="str">
        <v>custom</v>
      </c>
      <c r="T19" s="26" t="str">
        <v>crpo_in_k</v>
      </c>
      <c r="U19" s="30" t="str">
        <v>249520</v>
      </c>
      <c r="V19" s="29" t="str">
        <v>0.20438660848747</v>
      </c>
      <c r="W19" s="29" t="str">
        <v>181.033934606034</v>
      </c>
      <c r="X19" s="29" t="str">
        <v>1242.19768028659</v>
      </c>
      <c r="Y19" s="29" t="str">
        <v>0.0672323899384519</v>
      </c>
    </row>
    <row r="20" spans="1:25" x14ac:dyDescent="0.45">
      <c r="Q20" s="24" t="str">
        <v>AMPL US EQUITY</v>
      </c>
      <c r="R20" s="24">
        <v>45930</v>
      </c>
      <c r="S20" s="25" t="str">
        <v>custom</v>
      </c>
      <c r="T20" s="26" t="str">
        <v>crpo_in_k</v>
      </c>
      <c r="U20" s="30" t="str">
        <v>258000</v>
      </c>
      <c r="V20" s="29" t="str">
        <v>0.222262227359724</v>
      </c>
      <c r="W20" s="29" t="str">
        <v>178.756188722544</v>
      </c>
      <c r="X20" s="29" t="str">
        <v>922.622273597242</v>
      </c>
      <c r="Y20" s="29" t="str">
        <v>0.0339852516832317</v>
      </c>
    </row>
    <row r="21" spans="1:25" x14ac:dyDescent="0.45">
      <c r="C21" s="13" t="s">
        <v>12</v>
      </c>
      <c r="D21" s="14">
        <f t="shared" ref="D21:O21" ca="1" si="4">EOMONTH(DATE(YEAR(D22),ROUNDUP(MONTH(D22)/3,0)*3,1),0)</f>
        <v>45016</v>
      </c>
      <c r="E21" s="14">
        <f t="shared" ca="1" si="4"/>
        <v>45107</v>
      </c>
      <c r="F21" s="14">
        <f t="shared" ca="1" si="4"/>
        <v>45199</v>
      </c>
      <c r="G21" s="14">
        <f t="shared" ca="1" si="4"/>
        <v>45291</v>
      </c>
      <c r="H21" s="14">
        <f t="shared" ca="1" si="4"/>
        <v>45382</v>
      </c>
      <c r="I21" s="14">
        <f t="shared" ca="1" si="4"/>
        <v>45473</v>
      </c>
      <c r="J21" s="14">
        <f t="shared" ca="1" si="4"/>
        <v>45565</v>
      </c>
      <c r="K21" s="14">
        <f t="shared" ca="1" si="4"/>
        <v>45657</v>
      </c>
      <c r="L21" s="14">
        <f t="shared" ca="1" si="4"/>
        <v>45747</v>
      </c>
      <c r="M21" s="14">
        <f t="shared" ca="1" si="4"/>
        <v>45838</v>
      </c>
      <c r="N21" s="14">
        <f t="shared" ca="1" si="4"/>
        <v>45930</v>
      </c>
      <c r="O21" s="14">
        <f t="shared" ca="1" si="4"/>
        <v>46022</v>
      </c>
      <c r="Q21" s="24" t="str">
        <v>AMPL US EQUITY</v>
      </c>
      <c r="R21" s="24">
        <v>46022</v>
      </c>
      <c r="S21" s="25" t="str">
        <v>custom</v>
      </c>
      <c r="T21" s="26" t="str">
        <v>crpo_in_k</v>
      </c>
      <c r="U21" s="30" t="str">
        <v>267000</v>
      </c>
      <c r="V21" s="29" t="str">
        <v>0.195593766792047</v>
      </c>
      <c r="W21" s="29" t="str">
        <v>-266.684605676768</v>
      </c>
      <c r="X21" s="29" t="str">
        <v>105.956770522673</v>
      </c>
      <c r="Y21" s="29" t="str">
        <v>0.0348837209302326</v>
      </c>
    </row>
    <row r="22" spans="1:25" x14ac:dyDescent="0.45">
      <c r="D22" s="1" cm="1">
        <f t="array" aca="1" ref="D22:O23" ca="1">+_xll.BDH($B$2,C23,$B$3,$B$4,"DIR=H")</f>
        <v>45016</v>
      </c>
      <c r="E22" s="1">
        <f ca="1"/>
        <v>45107</v>
      </c>
      <c r="F22" s="1">
        <f ca="1"/>
        <v>45199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45565</v>
      </c>
      <c r="K22" s="1">
        <f ca="1"/>
        <v>45657</v>
      </c>
      <c r="L22" s="1">
        <f ca="1"/>
        <v>45747</v>
      </c>
      <c r="M22" s="1">
        <f ca="1"/>
        <v>45838</v>
      </c>
      <c r="N22" s="1">
        <f ca="1"/>
        <v>45930</v>
      </c>
      <c r="O22" s="1">
        <f ca="1"/>
        <v>46022</v>
      </c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AMPL US EQUITY</v>
      </c>
      <c r="R22" s="24">
        <v>45747</v>
      </c>
      <c r="S22" s="25" t="str">
        <v>custom</v>
      </c>
      <c r="T22" s="26" t="str">
        <v>paying_customers_100k</v>
      </c>
      <c r="U22" s="27" t="str">
        <v>617</v>
      </c>
      <c r="V22" s="28" t="str">
        <v>0.18426103646833</v>
      </c>
      <c r="W22" s="29" t="str">
        <v>242.610364683302</v>
      </c>
      <c r="X22" s="28" t="str">
        <v>1242.6103646833</v>
      </c>
      <c r="Y22" s="29" t="str">
        <v>0.0439932318104908</v>
      </c>
    </row>
    <row r="23" spans="1:25" x14ac:dyDescent="0.45">
      <c r="A23" s="16" t="s">
        <v>9</v>
      </c>
      <c r="B23" s="16" t="s">
        <v>15</v>
      </c>
      <c r="C23" s="9" t="s">
        <v>7</v>
      </c>
      <c r="D23" s="3">
        <f ca="1"/>
        <v>-43.884399999999999</v>
      </c>
      <c r="E23" s="3">
        <f ca="1"/>
        <v>-45.578200000000002</v>
      </c>
      <c r="F23" s="3">
        <f ca="1"/>
        <v>-29.6205</v>
      </c>
      <c r="G23" s="3">
        <f ca="1"/>
        <v>-30.162600000000001</v>
      </c>
      <c r="H23" s="3">
        <f ca="1"/>
        <v>-34.017699999999998</v>
      </c>
      <c r="I23" s="3">
        <f ca="1"/>
        <v>-37.053199999999997</v>
      </c>
      <c r="J23" s="3">
        <f ca="1"/>
        <v>-26.606999999999999</v>
      </c>
      <c r="K23" s="3">
        <f ca="1"/>
        <v>-45.442900000000002</v>
      </c>
      <c r="L23" s="3">
        <f ca="1"/>
        <v>-30.2653</v>
      </c>
      <c r="M23" s="3">
        <f ca="1"/>
        <v>-32.537500000000001</v>
      </c>
      <c r="N23" s="3">
        <f ca="1"/>
        <v>-28.9621</v>
      </c>
      <c r="O23">
        <f ca="1"/>
        <v>-20.849399999999999</v>
      </c>
      <c r="Q23" s="24" t="str">
        <v>AMPL US EQUITY</v>
      </c>
      <c r="R23" s="24">
        <v>45838</v>
      </c>
      <c r="S23" s="25" t="str">
        <v>custom</v>
      </c>
      <c r="T23" s="26" t="str">
        <v>paying_customers_100k</v>
      </c>
      <c r="U23" s="27" t="str">
        <v>634</v>
      </c>
      <c r="V23" s="28" t="str">
        <v>0.159049360146252</v>
      </c>
      <c r="W23" s="29" t="str">
        <v>-252.116763220778</v>
      </c>
      <c r="X23" s="28" t="str">
        <v>41.5492636506243</v>
      </c>
      <c r="Y23" s="29" t="str">
        <v>0.027552674230146</v>
      </c>
    </row>
    <row r="24" spans="1:25" x14ac:dyDescent="0.45">
      <c r="C24" s="4" t="s">
        <v>4</v>
      </c>
      <c r="D24" s="5"/>
      <c r="E24" s="4"/>
      <c r="F24" s="4"/>
      <c r="G24" s="4"/>
      <c r="H24" s="7">
        <f t="shared" ref="H24:O24" ca="1" si="5">(H23-D23)*100</f>
        <v>986.67000000000019</v>
      </c>
      <c r="I24" s="7">
        <f t="shared" ca="1" si="5"/>
        <v>852.50000000000057</v>
      </c>
      <c r="J24" s="7">
        <f t="shared" ca="1" si="5"/>
        <v>301.35000000000002</v>
      </c>
      <c r="K24" s="7">
        <f t="shared" ca="1" si="5"/>
        <v>-1528.03</v>
      </c>
      <c r="L24" s="7">
        <f t="shared" ca="1" si="5"/>
        <v>375.23999999999978</v>
      </c>
      <c r="M24" s="7">
        <f t="shared" ca="1" si="5"/>
        <v>451.56999999999954</v>
      </c>
      <c r="N24" s="7">
        <f t="shared" ca="1" si="5"/>
        <v>-235.51000000000002</v>
      </c>
      <c r="O24" s="7">
        <f t="shared" ca="1" si="5"/>
        <v>2459.3500000000004</v>
      </c>
      <c r="Q24" s="24" t="str">
        <v>AMPL US EQUITY</v>
      </c>
      <c r="R24" s="24">
        <v>45930</v>
      </c>
      <c r="S24" s="25" t="str">
        <v>custom</v>
      </c>
      <c r="T24" s="26" t="str">
        <v>paying_customers_100k</v>
      </c>
      <c r="U24" s="27" t="str">
        <v>653</v>
      </c>
      <c r="V24" s="28" t="str">
        <v>0.151675485008818</v>
      </c>
      <c r="W24" s="29" t="str">
        <v>-73.7387513743393</v>
      </c>
      <c r="X24" s="28" t="str">
        <v>216.754850088186</v>
      </c>
      <c r="Y24" s="29" t="str">
        <v>0.0299684542586751</v>
      </c>
    </row>
    <row r="25" spans="1:25" x14ac:dyDescent="0.45">
      <c r="C25" s="4" t="s">
        <v>19</v>
      </c>
      <c r="D25" s="1"/>
      <c r="K25" s="7"/>
      <c r="L25" s="7"/>
      <c r="M25" s="7"/>
      <c r="N25" s="7"/>
      <c r="O25" s="7"/>
      <c r="Q25" s="24" t="str">
        <v>AMPL US EQUITY</v>
      </c>
      <c r="R25" s="24">
        <v>46022</v>
      </c>
      <c r="S25" s="25" t="str">
        <v>custom</v>
      </c>
      <c r="T25" s="26" t="str">
        <v>paying_customers_100k</v>
      </c>
      <c r="U25" s="27" t="str">
        <v>698</v>
      </c>
      <c r="V25" s="28" t="str">
        <v>0.181049069373942</v>
      </c>
      <c r="W25" s="29" t="str">
        <v>293.735843651239</v>
      </c>
      <c r="X25" s="28" t="str">
        <v>210.490693739425</v>
      </c>
      <c r="Y25" s="29" t="str">
        <v>0.0689127105666156</v>
      </c>
    </row>
    <row r="26" spans="1:25" x14ac:dyDescent="0.4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AMPL US EQUITY</v>
      </c>
      <c r="R26" s="24">
        <v>45747</v>
      </c>
      <c r="S26" s="25" t="str">
        <v>custom</v>
      </c>
      <c r="T26" s="26" t="str">
        <v>net_retention_pct</v>
      </c>
      <c r="U26" s="27" t="str">
        <v>1.01</v>
      </c>
      <c r="V26" s="28" t="str">
        <v>400</v>
      </c>
      <c r="W26" s="29" t="str">
        <v/>
      </c>
      <c r="X26" s="28" t="str">
        <v/>
      </c>
      <c r="Y26" s="29" t="str">
        <v>100</v>
      </c>
    </row>
    <row r="27" spans="1:25" x14ac:dyDescent="0.45">
      <c r="C27" s="4" t="s">
        <v>5</v>
      </c>
      <c r="D27" s="1"/>
      <c r="K27" s="7"/>
      <c r="L27" s="7">
        <f ca="1">(L23-K23)*100</f>
        <v>1517.7600000000002</v>
      </c>
      <c r="M27" s="7">
        <f ca="1">(M23-L23)*100</f>
        <v>-227.22000000000014</v>
      </c>
      <c r="N27" s="7">
        <f ca="1">(N23-M23)*100</f>
        <v>357.54000000000019</v>
      </c>
      <c r="O27" s="7">
        <f ca="1">(O23-N23)*100</f>
        <v>811.27</v>
      </c>
      <c r="Q27" s="24" t="str">
        <v>AMPL US EQUITY</v>
      </c>
      <c r="R27" s="24">
        <v>45838</v>
      </c>
      <c r="S27" s="25" t="str">
        <v>custom</v>
      </c>
      <c r="T27" s="26" t="str">
        <v>net_retention_pct</v>
      </c>
      <c r="U27" s="27" t="str">
        <v>1.04</v>
      </c>
      <c r="V27" s="28" t="str">
        <v>800.000000000001</v>
      </c>
      <c r="W27" s="29" t="str">
        <v/>
      </c>
      <c r="X27" s="28" t="str">
        <v/>
      </c>
      <c r="Y27" s="29" t="str">
        <v>300</v>
      </c>
    </row>
    <row r="28" spans="1:25" x14ac:dyDescent="0.45">
      <c r="C28" s="4"/>
      <c r="D28" s="1"/>
      <c r="K28" s="7"/>
      <c r="L28" s="7"/>
      <c r="M28" s="7"/>
      <c r="N28" s="7"/>
      <c r="O28" s="7"/>
      <c r="Q28" s="24" t="str">
        <v>AMPL US EQUITY</v>
      </c>
      <c r="R28" s="24">
        <v>45930</v>
      </c>
      <c r="S28" s="25" t="str">
        <v>custom</v>
      </c>
      <c r="T28" s="26" t="str">
        <v>net_retention_pct</v>
      </c>
      <c r="U28" s="27" t="str">
        <v>1.04</v>
      </c>
      <c r="V28" s="28" t="str">
        <v>600.000000000001</v>
      </c>
      <c r="W28" s="29" t="str">
        <v/>
      </c>
      <c r="X28" s="28" t="str">
        <v/>
      </c>
      <c r="Y28" s="29" t="str">
        <v>0</v>
      </c>
    </row>
    <row r="29" spans="1:25" x14ac:dyDescent="0.45">
      <c r="C29" s="13" t="s">
        <v>12</v>
      </c>
      <c r="D29" s="14">
        <f t="shared" ref="D29:O29" si="6">EOMONTH(DATE(YEAR(D30),ROUNDUP(MONTH(D30)/3,0)*3,1),0)</f>
        <v>45016</v>
      </c>
      <c r="E29" s="14">
        <f t="shared" si="6"/>
        <v>45107</v>
      </c>
      <c r="F29" s="14">
        <f t="shared" si="6"/>
        <v>45199</v>
      </c>
      <c r="G29" s="14">
        <f t="shared" si="6"/>
        <v>45291</v>
      </c>
      <c r="H29" s="14">
        <f t="shared" si="6"/>
        <v>45382</v>
      </c>
      <c r="I29" s="14">
        <f t="shared" si="6"/>
        <v>45473</v>
      </c>
      <c r="J29" s="14">
        <f t="shared" si="6"/>
        <v>45565</v>
      </c>
      <c r="K29" s="14">
        <f t="shared" si="6"/>
        <v>45657</v>
      </c>
      <c r="L29" s="14">
        <f t="shared" si="6"/>
        <v>45747</v>
      </c>
      <c r="M29" s="14">
        <f t="shared" si="6"/>
        <v>45838</v>
      </c>
      <c r="N29" s="14">
        <f t="shared" si="6"/>
        <v>45930</v>
      </c>
      <c r="O29" s="14">
        <f t="shared" si="6"/>
        <v>46022</v>
      </c>
      <c r="Q29" s="24" t="str">
        <v>AMPL US EQUITY</v>
      </c>
      <c r="R29" s="24">
        <v>46022</v>
      </c>
      <c r="S29" s="25" t="str">
        <v>custom</v>
      </c>
      <c r="T29" s="26" t="str">
        <v>net_retention_pct</v>
      </c>
      <c r="U29" s="27" t="str">
        <v>1.05</v>
      </c>
      <c r="V29" s="28" t="str">
        <v>500</v>
      </c>
      <c r="W29" s="29" t="str">
        <v/>
      </c>
      <c r="X29" s="28" t="str">
        <v/>
      </c>
      <c r="Y29" s="29" t="str">
        <v>100</v>
      </c>
    </row>
    <row r="30" spans="1:25" x14ac:dyDescent="0.45">
      <c r="D30" s="2">
        <v>45016</v>
      </c>
      <c r="E30" s="2">
        <v>45107</v>
      </c>
      <c r="F30" s="2">
        <v>45199</v>
      </c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AMPL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45">
      <c r="A31" s="16" t="s">
        <v>21</v>
      </c>
      <c r="B31" s="16" t="s">
        <v>31</v>
      </c>
      <c r="C31" s="2" t="s">
        <v>27</v>
      </c>
      <c r="D31" s="10">
        <v>262000</v>
      </c>
      <c r="E31" s="10">
        <v>268000</v>
      </c>
      <c r="F31" s="10">
        <v>273000</v>
      </c>
      <c r="G31" s="10">
        <v>281000</v>
      </c>
      <c r="H31" s="10">
        <v>285000</v>
      </c>
      <c r="I31" s="10">
        <v>290000</v>
      </c>
      <c r="J31" s="10">
        <v>298000</v>
      </c>
      <c r="K31" s="10">
        <v>312000</v>
      </c>
      <c r="L31" s="10">
        <v>320000</v>
      </c>
      <c r="M31" s="10">
        <v>335000</v>
      </c>
      <c r="N31" s="10">
        <v>347000</v>
      </c>
      <c r="O31" s="10">
        <v>366000</v>
      </c>
      <c r="Q31" s="24" t="str">
        <v>AMPL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45">
      <c r="C32" s="4" t="s">
        <v>4</v>
      </c>
      <c r="D32" s="5"/>
      <c r="E32" s="4"/>
      <c r="F32" s="4"/>
      <c r="G32" s="12"/>
      <c r="H32" s="12">
        <f t="shared" ref="H32:O32" si="7">+H31/D31-1</f>
        <v>8.7786259541984712E-2</v>
      </c>
      <c r="I32" s="12">
        <f t="shared" si="7"/>
        <v>8.2089552238805874E-2</v>
      </c>
      <c r="J32" s="12">
        <f t="shared" si="7"/>
        <v>9.1575091575091472E-2</v>
      </c>
      <c r="K32" s="12">
        <f t="shared" si="7"/>
        <v>0.11032028469750887</v>
      </c>
      <c r="L32" s="12">
        <f t="shared" si="7"/>
        <v>0.12280701754385959</v>
      </c>
      <c r="M32" s="12">
        <f t="shared" si="7"/>
        <v>0.15517241379310343</v>
      </c>
      <c r="N32" s="12">
        <f t="shared" si="7"/>
        <v>0.16442953020134232</v>
      </c>
      <c r="O32" s="12">
        <f t="shared" si="7"/>
        <v>0.17307692307692313</v>
      </c>
      <c r="Q32" s="24" t="str">
        <v>AMPL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45">
      <c r="C33" s="4" t="s">
        <v>19</v>
      </c>
      <c r="D33" s="1"/>
      <c r="L33" s="7">
        <f>(L32-K32)*10000</f>
        <v>124.86732846350712</v>
      </c>
      <c r="M33" s="7">
        <f>(M32-L32)*10000</f>
        <v>323.65396249243838</v>
      </c>
      <c r="N33" s="7">
        <f>(N32-M32)*10000</f>
        <v>92.571164082388975</v>
      </c>
      <c r="O33" s="7">
        <f>(O32-N32)*10000</f>
        <v>86.47392875580806</v>
      </c>
      <c r="Q33" s="24" t="str">
        <v>AMPL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45">
      <c r="C34" s="4" t="s">
        <v>23</v>
      </c>
      <c r="D34" s="1"/>
      <c r="E34" s="6"/>
      <c r="F34" s="6"/>
      <c r="G34" s="6"/>
      <c r="H34" s="6"/>
      <c r="I34" s="6"/>
      <c r="J34" s="6"/>
      <c r="K34" s="6"/>
      <c r="L34" s="7">
        <f>(L32-H32)*10000</f>
        <v>350.20758001874873</v>
      </c>
      <c r="M34" s="7">
        <f>(M32-I32)*10000</f>
        <v>730.82861554297551</v>
      </c>
      <c r="N34" s="7">
        <f>(N32-J32)*10000</f>
        <v>728.54438626250851</v>
      </c>
      <c r="O34" s="7">
        <f>(O32-K32)*10000</f>
        <v>627.56638379414255</v>
      </c>
    </row>
    <row r="35" spans="1:25" x14ac:dyDescent="0.45">
      <c r="C35" s="4" t="s">
        <v>5</v>
      </c>
      <c r="D35" s="1"/>
      <c r="L35" s="12">
        <f>L31/K31-1</f>
        <v>2.564102564102555E-2</v>
      </c>
      <c r="M35" s="12">
        <f>M31/L31-1</f>
        <v>4.6875E-2</v>
      </c>
      <c r="N35" s="12">
        <f>N31/M31-1</f>
        <v>3.5820895522387985E-2</v>
      </c>
      <c r="O35" s="12">
        <f>O31/N31-1</f>
        <v>5.4755043227665778E-2</v>
      </c>
    </row>
    <row r="36" spans="1:25" x14ac:dyDescent="0.45">
      <c r="C36" s="4"/>
      <c r="D36" s="1"/>
      <c r="K36" s="7"/>
      <c r="L36" s="7"/>
      <c r="M36" s="7"/>
      <c r="N36" s="7"/>
      <c r="O36" s="7"/>
    </row>
    <row r="37" spans="1:25" x14ac:dyDescent="0.45">
      <c r="C37" s="13" t="s">
        <v>12</v>
      </c>
      <c r="D37" s="14">
        <f t="shared" ref="D37:L37" si="8">EOMONTH(DATE(YEAR(D38),ROUNDUP(MONTH(D38)/3,0)*3,1),0)</f>
        <v>45016</v>
      </c>
      <c r="E37" s="14">
        <f t="shared" si="8"/>
        <v>45107</v>
      </c>
      <c r="F37" s="14">
        <f t="shared" si="8"/>
        <v>45199</v>
      </c>
      <c r="G37" s="14">
        <f t="shared" si="8"/>
        <v>45291</v>
      </c>
      <c r="H37" s="14">
        <f t="shared" si="8"/>
        <v>45382</v>
      </c>
      <c r="I37" s="14">
        <f t="shared" si="8"/>
        <v>45473</v>
      </c>
      <c r="J37" s="14">
        <f t="shared" si="8"/>
        <v>45565</v>
      </c>
      <c r="K37" s="14">
        <f t="shared" si="8"/>
        <v>45657</v>
      </c>
      <c r="L37" s="14">
        <f t="shared" si="8"/>
        <v>45747</v>
      </c>
      <c r="M37" s="14">
        <f>EOMONTH(DATE(YEAR(M38),ROUNDUP(MONTH(M38)/3,0)*3,1),0)</f>
        <v>45838</v>
      </c>
      <c r="N37" s="14">
        <f>EOMONTH(DATE(YEAR(N38),ROUNDUP(MONTH(N38)/3,0)*3,1),0)</f>
        <v>45930</v>
      </c>
      <c r="O37" s="14">
        <f>EOMONTH(DATE(YEAR(O38),ROUNDUP(MONTH(O38)/3,0)*3,1),0)</f>
        <v>46022</v>
      </c>
    </row>
    <row r="38" spans="1:25" x14ac:dyDescent="0.45">
      <c r="D38" s="2">
        <v>45016</v>
      </c>
      <c r="E38" s="2">
        <v>45107</v>
      </c>
      <c r="F38" s="2">
        <v>45199</v>
      </c>
      <c r="G38" s="2">
        <v>45291</v>
      </c>
      <c r="H38" s="2">
        <v>45382</v>
      </c>
      <c r="I38" s="2">
        <v>45473</v>
      </c>
      <c r="J38" s="2">
        <v>45565</v>
      </c>
      <c r="K38" s="2">
        <v>45657</v>
      </c>
      <c r="L38" s="2">
        <v>45747</v>
      </c>
      <c r="M38" s="2">
        <v>45838</v>
      </c>
      <c r="N38" s="2">
        <v>45930</v>
      </c>
      <c r="O38" s="2">
        <v>46022</v>
      </c>
    </row>
    <row r="39" spans="1:25" x14ac:dyDescent="0.45">
      <c r="A39" s="16" t="s">
        <v>21</v>
      </c>
      <c r="B39" s="16" t="s">
        <v>32</v>
      </c>
      <c r="C39" s="2" t="s">
        <v>28</v>
      </c>
      <c r="D39" s="10">
        <v>191500</v>
      </c>
      <c r="E39" s="10">
        <v>191800</v>
      </c>
      <c r="F39" s="10">
        <v>186800</v>
      </c>
      <c r="G39" s="10">
        <v>188456</v>
      </c>
      <c r="H39" s="10">
        <v>197087</v>
      </c>
      <c r="I39" s="10">
        <v>207176</v>
      </c>
      <c r="J39" s="10">
        <v>211084</v>
      </c>
      <c r="K39" s="10">
        <v>223320</v>
      </c>
      <c r="L39" s="10">
        <v>233801</v>
      </c>
      <c r="M39" s="10">
        <v>249520</v>
      </c>
      <c r="N39" s="10">
        <v>258000</v>
      </c>
      <c r="O39" s="10">
        <v>267000</v>
      </c>
    </row>
    <row r="40" spans="1:25" x14ac:dyDescent="0.45">
      <c r="C40" s="4" t="s">
        <v>4</v>
      </c>
      <c r="D40" s="5"/>
      <c r="E40" s="4"/>
      <c r="F40" s="4"/>
      <c r="G40" s="12"/>
      <c r="H40" s="12">
        <f t="shared" ref="H40:O40" si="9">+H39/D39-1</f>
        <v>2.9174934725848534E-2</v>
      </c>
      <c r="I40" s="12">
        <f t="shared" si="9"/>
        <v>8.0166840458811173E-2</v>
      </c>
      <c r="J40" s="12">
        <f t="shared" si="9"/>
        <v>0.12999999999999989</v>
      </c>
      <c r="K40" s="12">
        <f t="shared" si="9"/>
        <v>0.18499808973978005</v>
      </c>
      <c r="L40" s="12">
        <f t="shared" si="9"/>
        <v>0.18628321502686629</v>
      </c>
      <c r="M40" s="12">
        <f t="shared" si="9"/>
        <v>0.2043866084874697</v>
      </c>
      <c r="N40" s="12">
        <f t="shared" si="9"/>
        <v>0.22226222735972412</v>
      </c>
      <c r="O40" s="12">
        <f t="shared" si="9"/>
        <v>0.19559376679204732</v>
      </c>
    </row>
    <row r="41" spans="1:25" x14ac:dyDescent="0.45">
      <c r="C41" s="4" t="s">
        <v>19</v>
      </c>
      <c r="D41" s="1"/>
      <c r="L41" s="7">
        <f>(L40-K40)*10000</f>
        <v>12.851252870862417</v>
      </c>
      <c r="M41" s="7">
        <f>(M40-L40)*10000</f>
        <v>181.03393460603411</v>
      </c>
      <c r="N41" s="7">
        <f>(N40-M40)*10000</f>
        <v>178.75618872254418</v>
      </c>
      <c r="O41" s="7">
        <f>(O40-N40)*10000</f>
        <v>-266.684605676768</v>
      </c>
    </row>
    <row r="42" spans="1:25" x14ac:dyDescent="0.45">
      <c r="C42" s="4" t="s">
        <v>23</v>
      </c>
      <c r="D42" s="1"/>
      <c r="E42" s="6"/>
      <c r="F42" s="6"/>
      <c r="G42" s="6"/>
      <c r="H42" s="6"/>
      <c r="I42" s="6"/>
      <c r="J42" s="6"/>
      <c r="K42" s="6"/>
      <c r="L42" s="7">
        <f>(L40-H40)*10000</f>
        <v>1571.0828030101775</v>
      </c>
      <c r="M42" s="7">
        <f>(M40-I40)*10000</f>
        <v>1242.1976802865852</v>
      </c>
      <c r="N42" s="7">
        <f>(N40-J40)*10000</f>
        <v>922.62227359724227</v>
      </c>
      <c r="O42" s="7">
        <f>(O40-K40)*10000</f>
        <v>105.95677052267271</v>
      </c>
    </row>
    <row r="43" spans="1:25" x14ac:dyDescent="0.45">
      <c r="C43" s="4" t="s">
        <v>5</v>
      </c>
      <c r="D43" s="1"/>
      <c r="L43" s="12">
        <f>L39/K39-1</f>
        <v>4.6932652695683252E-2</v>
      </c>
      <c r="M43" s="12">
        <f>M39/L39-1</f>
        <v>6.7232389938451931E-2</v>
      </c>
      <c r="N43" s="12">
        <f>N39/M39-1</f>
        <v>3.3985251683231743E-2</v>
      </c>
      <c r="O43" s="12">
        <f>O39/N39-1</f>
        <v>3.488372093023262E-2</v>
      </c>
    </row>
    <row r="44" spans="1:25" x14ac:dyDescent="0.45">
      <c r="C44" s="4"/>
      <c r="D44" s="1"/>
      <c r="L44" s="7"/>
      <c r="M44" s="7"/>
      <c r="N44" s="7"/>
      <c r="O44" s="7"/>
    </row>
    <row r="45" spans="1:25" x14ac:dyDescent="0.45">
      <c r="C45" s="13" t="s">
        <v>12</v>
      </c>
      <c r="D45" s="14">
        <f t="shared" ref="D45:L45" si="10">EOMONTH(DATE(YEAR(D46),ROUNDUP(MONTH(D46)/3,0)*3,1),0)</f>
        <v>45016</v>
      </c>
      <c r="E45" s="14">
        <f t="shared" si="10"/>
        <v>45107</v>
      </c>
      <c r="F45" s="14">
        <f t="shared" si="10"/>
        <v>45199</v>
      </c>
      <c r="G45" s="14">
        <f t="shared" si="10"/>
        <v>45291</v>
      </c>
      <c r="H45" s="14">
        <f t="shared" si="10"/>
        <v>45382</v>
      </c>
      <c r="I45" s="14">
        <f t="shared" si="10"/>
        <v>45473</v>
      </c>
      <c r="J45" s="14">
        <f t="shared" si="10"/>
        <v>45565</v>
      </c>
      <c r="K45" s="14">
        <f t="shared" si="10"/>
        <v>45657</v>
      </c>
      <c r="L45" s="14">
        <f t="shared" si="10"/>
        <v>45747</v>
      </c>
      <c r="M45" s="14">
        <f>EOMONTH(DATE(YEAR(M46),ROUNDUP(MONTH(M46)/3,0)*3,1),0)</f>
        <v>45838</v>
      </c>
      <c r="N45" s="14">
        <f>EOMONTH(DATE(YEAR(N46),ROUNDUP(MONTH(N46)/3,0)*3,1),0)</f>
        <v>45930</v>
      </c>
      <c r="O45" s="14">
        <f>EOMONTH(DATE(YEAR(O46),ROUNDUP(MONTH(O46)/3,0)*3,1),0)</f>
        <v>46022</v>
      </c>
    </row>
    <row r="46" spans="1:25" x14ac:dyDescent="0.45">
      <c r="D46" s="2">
        <v>45016</v>
      </c>
      <c r="E46" s="2">
        <v>45107</v>
      </c>
      <c r="F46" s="2">
        <v>45199</v>
      </c>
      <c r="G46" s="2">
        <v>45291</v>
      </c>
      <c r="H46" s="2">
        <v>45382</v>
      </c>
      <c r="I46" s="2">
        <v>45473</v>
      </c>
      <c r="J46" s="2">
        <v>45565</v>
      </c>
      <c r="K46" s="2">
        <v>45657</v>
      </c>
      <c r="L46" s="2">
        <v>45747</v>
      </c>
      <c r="M46" s="2">
        <v>45838</v>
      </c>
      <c r="N46" s="2">
        <v>45930</v>
      </c>
      <c r="O46" s="2">
        <v>46022</v>
      </c>
    </row>
    <row r="47" spans="1:25" x14ac:dyDescent="0.45">
      <c r="A47" s="16" t="s">
        <v>21</v>
      </c>
      <c r="B47" s="16" t="s">
        <v>30</v>
      </c>
      <c r="C47" s="2" t="s">
        <v>29</v>
      </c>
      <c r="D47" s="32">
        <v>491.50943396226415</v>
      </c>
      <c r="E47" s="32">
        <v>473.63636363636363</v>
      </c>
      <c r="F47" s="32">
        <v>501.76991150442484</v>
      </c>
      <c r="G47" s="33">
        <v>509.48275862068971</v>
      </c>
      <c r="H47" s="33">
        <v>521</v>
      </c>
      <c r="I47" s="33">
        <v>547</v>
      </c>
      <c r="J47" s="33">
        <v>567</v>
      </c>
      <c r="K47" s="33">
        <v>591</v>
      </c>
      <c r="L47" s="33">
        <v>617</v>
      </c>
      <c r="M47" s="33">
        <v>634</v>
      </c>
      <c r="N47" s="33">
        <v>653</v>
      </c>
      <c r="O47" s="33">
        <v>698</v>
      </c>
    </row>
    <row r="48" spans="1:25" x14ac:dyDescent="0.45">
      <c r="C48" s="4" t="s">
        <v>4</v>
      </c>
      <c r="D48" s="5"/>
      <c r="E48" s="4"/>
      <c r="F48" s="4"/>
      <c r="G48" s="12"/>
      <c r="H48" s="12">
        <f t="shared" ref="H48:O48" si="11">+H47/D47-1</f>
        <v>6.0000000000000053E-2</v>
      </c>
      <c r="I48" s="12">
        <f t="shared" si="11"/>
        <v>0.15489443378118994</v>
      </c>
      <c r="J48" s="12">
        <f t="shared" si="11"/>
        <v>0.12999999999999989</v>
      </c>
      <c r="K48" s="12">
        <f t="shared" si="11"/>
        <v>0.15999999999999992</v>
      </c>
      <c r="L48" s="12">
        <f t="shared" si="11"/>
        <v>0.18426103646833014</v>
      </c>
      <c r="M48" s="12">
        <f t="shared" si="11"/>
        <v>0.15904936014625237</v>
      </c>
      <c r="N48" s="12">
        <f t="shared" si="11"/>
        <v>0.15167548500881844</v>
      </c>
      <c r="O48" s="12">
        <f t="shared" si="11"/>
        <v>0.18104906937394238</v>
      </c>
    </row>
    <row r="49" spans="1:15" x14ac:dyDescent="0.45">
      <c r="C49" s="4" t="s">
        <v>19</v>
      </c>
      <c r="D49" s="1"/>
      <c r="L49" s="7">
        <f>(L48-K48)*10000</f>
        <v>242.61036468330221</v>
      </c>
      <c r="M49" s="7">
        <f>(M48-L48)*10000</f>
        <v>-252.1167632207777</v>
      </c>
      <c r="N49" s="7">
        <f>(N48-M48)*10000</f>
        <v>-73.738751374339273</v>
      </c>
      <c r="O49" s="7">
        <f>(O48-N48)*10000</f>
        <v>293.73584365123941</v>
      </c>
    </row>
    <row r="50" spans="1:15" x14ac:dyDescent="0.45">
      <c r="C50" s="4" t="s">
        <v>23</v>
      </c>
      <c r="D50" s="1"/>
      <c r="E50" s="6"/>
      <c r="F50" s="6"/>
      <c r="G50" s="6"/>
      <c r="H50" s="6"/>
      <c r="I50" s="6"/>
      <c r="J50" s="6"/>
      <c r="K50" s="6"/>
      <c r="L50" s="7">
        <f>(L48-H48)*10000</f>
        <v>1242.610364683301</v>
      </c>
      <c r="M50" s="7">
        <f>(M48-I48)*10000</f>
        <v>41.549263650624283</v>
      </c>
      <c r="N50" s="7">
        <f>(N48-J48)*10000</f>
        <v>216.75485008818552</v>
      </c>
      <c r="O50" s="7">
        <f>(O48-K48)*10000</f>
        <v>210.49069373942464</v>
      </c>
    </row>
    <row r="51" spans="1:15" x14ac:dyDescent="0.45">
      <c r="C51" s="4" t="s">
        <v>5</v>
      </c>
      <c r="D51" s="1"/>
      <c r="L51" s="12">
        <f>L47/K47-1</f>
        <v>4.3993231810490752E-2</v>
      </c>
      <c r="M51" s="12">
        <f>M47/L47-1</f>
        <v>2.7552674230145957E-2</v>
      </c>
      <c r="N51" s="12">
        <f>N47/M47-1</f>
        <v>2.9968454258675115E-2</v>
      </c>
      <c r="O51" s="12">
        <f>O47/N47-1</f>
        <v>6.8912710566615631E-2</v>
      </c>
    </row>
    <row r="52" spans="1:15" x14ac:dyDescent="0.45">
      <c r="C52" s="4"/>
      <c r="D52" s="1"/>
      <c r="G52" s="1"/>
    </row>
    <row r="53" spans="1:15" x14ac:dyDescent="0.45">
      <c r="C53" s="13" t="s">
        <v>12</v>
      </c>
      <c r="D53" s="14">
        <f t="shared" ref="D53:O53" si="12">EOMONTH(DATE(YEAR(D54),ROUNDUP(MONTH(D54)/3,0)*3,1),0)</f>
        <v>45016</v>
      </c>
      <c r="E53" s="14">
        <f t="shared" si="12"/>
        <v>45107</v>
      </c>
      <c r="F53" s="14">
        <f t="shared" si="12"/>
        <v>45199</v>
      </c>
      <c r="G53" s="14">
        <f t="shared" si="12"/>
        <v>45291</v>
      </c>
      <c r="H53" s="14">
        <f t="shared" si="12"/>
        <v>45382</v>
      </c>
      <c r="I53" s="14">
        <f t="shared" si="12"/>
        <v>45473</v>
      </c>
      <c r="J53" s="14">
        <f t="shared" si="12"/>
        <v>45565</v>
      </c>
      <c r="K53" s="14">
        <f t="shared" si="12"/>
        <v>45657</v>
      </c>
      <c r="L53" s="14">
        <f t="shared" si="12"/>
        <v>45747</v>
      </c>
      <c r="M53" s="14">
        <f t="shared" si="12"/>
        <v>45838</v>
      </c>
      <c r="N53" s="14">
        <f t="shared" si="12"/>
        <v>45930</v>
      </c>
      <c r="O53" s="14">
        <f t="shared" si="12"/>
        <v>46022</v>
      </c>
    </row>
    <row r="54" spans="1:15" x14ac:dyDescent="0.45">
      <c r="D54" s="2">
        <v>45016</v>
      </c>
      <c r="E54" s="2">
        <v>45107</v>
      </c>
      <c r="F54" s="2">
        <v>45199</v>
      </c>
      <c r="G54" s="2">
        <v>45291</v>
      </c>
      <c r="H54" s="2">
        <v>45382</v>
      </c>
      <c r="I54" s="2">
        <v>45473</v>
      </c>
      <c r="J54" s="2">
        <v>45565</v>
      </c>
      <c r="K54" s="2">
        <v>45657</v>
      </c>
      <c r="L54" s="2">
        <v>45747</v>
      </c>
      <c r="M54" s="2">
        <v>45838</v>
      </c>
      <c r="N54" s="2">
        <v>45930</v>
      </c>
      <c r="O54" s="2">
        <v>46022</v>
      </c>
    </row>
    <row r="55" spans="1:15" x14ac:dyDescent="0.45">
      <c r="A55" s="16" t="s">
        <v>21</v>
      </c>
      <c r="B55" s="16" t="s">
        <v>68</v>
      </c>
      <c r="C55" s="9" t="s">
        <v>33</v>
      </c>
      <c r="D55" s="34">
        <v>1.06</v>
      </c>
      <c r="E55" s="34">
        <v>1.01</v>
      </c>
      <c r="F55" s="34">
        <v>0.99</v>
      </c>
      <c r="G55" s="35">
        <v>0.98</v>
      </c>
      <c r="H55" s="35">
        <v>0.97</v>
      </c>
      <c r="I55" s="35">
        <v>0.96</v>
      </c>
      <c r="J55" s="35">
        <v>0.98</v>
      </c>
      <c r="K55" s="35">
        <v>1</v>
      </c>
      <c r="L55" s="35">
        <v>1.01</v>
      </c>
      <c r="M55" s="35">
        <v>1.04</v>
      </c>
      <c r="N55" s="35">
        <v>1.04</v>
      </c>
      <c r="O55" s="35">
        <v>1.05</v>
      </c>
    </row>
    <row r="56" spans="1:15" x14ac:dyDescent="0.45">
      <c r="C56" s="4" t="s">
        <v>4</v>
      </c>
      <c r="D56" s="5"/>
      <c r="E56" s="4"/>
      <c r="F56" s="4"/>
      <c r="G56" s="4"/>
      <c r="H56" s="7">
        <f t="shared" ref="H56:O56" si="13">(H55-D55)*10000</f>
        <v>-900.0000000000008</v>
      </c>
      <c r="I56" s="7">
        <f t="shared" si="13"/>
        <v>-500.00000000000045</v>
      </c>
      <c r="J56" s="7">
        <f t="shared" si="13"/>
        <v>-100.00000000000009</v>
      </c>
      <c r="K56" s="7">
        <f t="shared" si="13"/>
        <v>200.00000000000017</v>
      </c>
      <c r="L56" s="7">
        <f t="shared" si="13"/>
        <v>400.00000000000034</v>
      </c>
      <c r="M56" s="7">
        <f t="shared" si="13"/>
        <v>800.00000000000068</v>
      </c>
      <c r="N56" s="7">
        <f t="shared" si="13"/>
        <v>600.00000000000057</v>
      </c>
      <c r="O56" s="7">
        <f t="shared" si="13"/>
        <v>500.00000000000045</v>
      </c>
    </row>
    <row r="57" spans="1:15" x14ac:dyDescent="0.45">
      <c r="C57" s="4" t="s">
        <v>19</v>
      </c>
      <c r="D57" s="1"/>
      <c r="K57" s="7"/>
      <c r="L57" s="7"/>
      <c r="M57" s="7"/>
      <c r="N57" s="7"/>
      <c r="O57" s="7"/>
    </row>
    <row r="58" spans="1:15" x14ac:dyDescent="0.45">
      <c r="C58" s="4" t="s">
        <v>23</v>
      </c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45">
      <c r="C59" s="4" t="s">
        <v>5</v>
      </c>
      <c r="D59" s="1"/>
      <c r="K59" s="7"/>
      <c r="L59" s="7">
        <f>(L55-K55)*10000</f>
        <v>100.00000000000009</v>
      </c>
      <c r="M59" s="7">
        <f>(M55-L55)*10000</f>
        <v>300.00000000000028</v>
      </c>
      <c r="N59" s="7">
        <f>(N55-M55)*10000</f>
        <v>0</v>
      </c>
      <c r="O59" s="7">
        <f>(O55-N55)*10000</f>
        <v>100.00000000000009</v>
      </c>
    </row>
    <row r="60" spans="1:15" x14ac:dyDescent="0.45">
      <c r="C60" s="4"/>
      <c r="D60" s="1"/>
      <c r="G60" s="1"/>
    </row>
    <row r="61" spans="1:15" x14ac:dyDescent="0.45"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x14ac:dyDescent="0.4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45">
      <c r="A63" s="16"/>
      <c r="B63" s="16"/>
      <c r="C63" s="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x14ac:dyDescent="0.4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45">
      <c r="C65" s="4"/>
      <c r="D65" s="1"/>
      <c r="K65" s="7"/>
      <c r="L65" s="7"/>
      <c r="M65" s="7"/>
      <c r="N65" s="7"/>
      <c r="O65" s="7"/>
    </row>
    <row r="66" spans="3:15" x14ac:dyDescent="0.4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4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5C87-FE15-42BF-8DC3-008618EE9388}">
  <dimension ref="A1:Y67"/>
  <sheetViews>
    <sheetView topLeftCell="A44" zoomScale="85" zoomScaleNormal="85" workbookViewId="0">
      <selection activeCell="B47" sqref="B47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15" width="10.1328125" bestFit="1" customWidth="1"/>
    <col min="16" max="16" width="9" customWidth="1"/>
    <col min="17" max="17" width="12.3984375" bestFit="1" customWidth="1"/>
    <col min="18" max="18" width="14.3984375" bestFit="1" customWidth="1"/>
    <col min="19" max="19" width="8.59765625" bestFit="1" customWidth="1"/>
    <col min="20" max="20" width="20.265625" bestFit="1" customWidth="1"/>
    <col min="21" max="21" width="7.3984375" bestFit="1" customWidth="1"/>
    <col min="22" max="22" width="10.73046875" bestFit="1" customWidth="1"/>
    <col min="23" max="23" width="9.1328125" bestFit="1" customWidth="1"/>
    <col min="24" max="24" width="10.3984375" bestFit="1" customWidth="1"/>
    <col min="25" max="25" width="9.1328125" bestFit="1" customWidth="1"/>
  </cols>
  <sheetData>
    <row r="1" spans="1:25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45">
      <c r="A2" s="17" t="s">
        <v>1</v>
      </c>
      <c r="B2" s="31" t="s">
        <v>34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AVPT US EQUITY</v>
      </c>
      <c r="R2" s="24">
        <f ca="1"/>
        <v>45747</v>
      </c>
      <c r="S2" s="25" t="str">
        <f ca="1"/>
        <v>canonical</v>
      </c>
      <c r="T2" s="26" t="str">
        <f ca="1"/>
        <v>revenue</v>
      </c>
      <c r="U2" s="27" t="str">
        <f ca="1"/>
        <v>93.064</v>
      </c>
      <c r="V2" s="28" t="str">
        <f ca="1"/>
        <v>0.248611371991306</v>
      </c>
      <c r="W2" s="29" t="str">
        <f ca="1"/>
        <v>535.132802245819</v>
      </c>
      <c r="X2" s="28" t="str">
        <f ca="1"/>
        <v>-25.4689027955957</v>
      </c>
      <c r="Y2" s="29" t="str">
        <f ca="1"/>
        <v>0.0435172622585021</v>
      </c>
    </row>
    <row r="3" spans="1:25" x14ac:dyDescent="0.45">
      <c r="A3" s="18" t="s">
        <v>3</v>
      </c>
      <c r="B3" s="19">
        <f ca="1">+B4-365*3</f>
        <v>45001</v>
      </c>
      <c r="Q3" s="24" t="str">
        <f ca="1"/>
        <v>AVPT US EQUITY</v>
      </c>
      <c r="R3" s="24">
        <f ca="1"/>
        <v>45838</v>
      </c>
      <c r="S3" s="25" t="str">
        <f ca="1"/>
        <v>canonical</v>
      </c>
      <c r="T3" s="26" t="str">
        <f ca="1"/>
        <v>revenue</v>
      </c>
      <c r="U3" s="27" t="str">
        <f ca="1"/>
        <v>102.018</v>
      </c>
      <c r="V3" s="28" t="str">
        <f ca="1"/>
        <v>0.30857736560588</v>
      </c>
      <c r="W3" s="29" t="str">
        <f ca="1"/>
        <v>599.65993614574</v>
      </c>
      <c r="X3" s="29" t="str">
        <f ca="1"/>
        <v>1067.55231766912</v>
      </c>
      <c r="Y3" s="29" t="str">
        <f ca="1"/>
        <v>0.0962133585489557</v>
      </c>
    </row>
    <row r="4" spans="1:25" x14ac:dyDescent="0.45">
      <c r="A4" s="20" t="s">
        <v>2</v>
      </c>
      <c r="B4" s="21">
        <f ca="1">TODAY()</f>
        <v>46096</v>
      </c>
      <c r="Q4" s="24" t="str">
        <f ca="1"/>
        <v>AVPT US EQUITY</v>
      </c>
      <c r="R4" s="24">
        <f ca="1"/>
        <v>45930</v>
      </c>
      <c r="S4" s="25" t="str">
        <f ca="1"/>
        <v>canonical</v>
      </c>
      <c r="T4" s="26" t="str">
        <f ca="1"/>
        <v>revenue</v>
      </c>
      <c r="U4" s="27" t="str">
        <f ca="1"/>
        <v>109.728</v>
      </c>
      <c r="V4" s="28" t="str">
        <f ca="1"/>
        <v>0.235620017116346</v>
      </c>
      <c r="W4" s="29" t="str">
        <f ca="1"/>
        <v>-729.573484895338</v>
      </c>
      <c r="X4" s="29" t="str">
        <f ca="1"/>
        <v>151.142447139272</v>
      </c>
      <c r="Y4" s="29" t="str">
        <f ca="1"/>
        <v>0.075574898547315</v>
      </c>
    </row>
    <row r="5" spans="1:25" x14ac:dyDescent="0.45">
      <c r="C5" s="13" t="s">
        <v>12</v>
      </c>
      <c r="D5" s="14">
        <f t="shared" ref="D5:O5" ca="1" si="0">EOMONTH(DATE(YEAR(D6),ROUNDUP(MONTH(D6)/3,0)*3,1),0)</f>
        <v>45016</v>
      </c>
      <c r="E5" s="14">
        <f t="shared" ca="1" si="0"/>
        <v>45107</v>
      </c>
      <c r="F5" s="14">
        <f t="shared" ca="1" si="0"/>
        <v>45199</v>
      </c>
      <c r="G5" s="14">
        <f t="shared" ca="1" si="0"/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t="shared" ca="1" si="0"/>
        <v>45747</v>
      </c>
      <c r="M5" s="14">
        <f t="shared" ca="1" si="0"/>
        <v>45838</v>
      </c>
      <c r="N5" s="14">
        <f t="shared" ca="1" si="0"/>
        <v>45930</v>
      </c>
      <c r="O5" s="14">
        <f t="shared" ca="1" si="0"/>
        <v>46022</v>
      </c>
      <c r="Q5" s="24" t="str">
        <f ca="1"/>
        <v>AVPT US EQUITY</v>
      </c>
      <c r="R5" s="24">
        <f ca="1"/>
        <v>46022</v>
      </c>
      <c r="S5" s="25" t="str">
        <f ca="1"/>
        <v>canonical</v>
      </c>
      <c r="T5" s="26" t="str">
        <f ca="1"/>
        <v>revenue</v>
      </c>
      <c r="U5" s="27" t="str">
        <f ca="1"/>
        <v>114.687</v>
      </c>
      <c r="V5" s="28" t="str">
        <f ca="1"/>
        <v>0.285973784241391</v>
      </c>
      <c r="W5" s="29" t="str">
        <f ca="1"/>
        <v>503.537671250451</v>
      </c>
      <c r="X5" s="29" t="str">
        <f ca="1"/>
        <v>908.756924746672</v>
      </c>
      <c r="Y5" s="29" t="str">
        <f ca="1"/>
        <v>0.0451935695538057</v>
      </c>
    </row>
    <row r="6" spans="1:25" x14ac:dyDescent="0.45">
      <c r="D6" s="15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AVPT US EQUITY</v>
      </c>
      <c r="R6" s="24">
        <f ca="1"/>
        <v>45747</v>
      </c>
      <c r="S6" s="25" t="str">
        <f ca="1"/>
        <v>canonical</v>
      </c>
      <c r="T6" s="26" t="str">
        <f ca="1"/>
        <v>gross_margin_gaap</v>
      </c>
      <c r="U6" s="30" t="str">
        <f ca="1"/>
        <v>74.3198</v>
      </c>
      <c r="V6" s="29" t="str">
        <f ca="1"/>
        <v>174.62</v>
      </c>
      <c r="W6" s="29" t="str">
        <f ca="1"/>
        <v/>
      </c>
      <c r="X6" s="29" t="str">
        <f ca="1"/>
        <v/>
      </c>
      <c r="Y6" s="29" t="str">
        <f ca="1"/>
        <v>-110.039999999999</v>
      </c>
    </row>
    <row r="7" spans="1:25" x14ac:dyDescent="0.45">
      <c r="A7" s="16" t="s">
        <v>9</v>
      </c>
      <c r="B7" s="16" t="s">
        <v>8</v>
      </c>
      <c r="C7" s="9" t="s">
        <v>0</v>
      </c>
      <c r="D7" s="11">
        <f ca="1"/>
        <v>59.572000000000003</v>
      </c>
      <c r="E7" s="11">
        <f ca="1"/>
        <v>64.869</v>
      </c>
      <c r="F7" s="11">
        <f ca="1"/>
        <v>72.760000000000005</v>
      </c>
      <c r="G7" s="11">
        <f ca="1"/>
        <v>74.623999999999995</v>
      </c>
      <c r="H7" s="11">
        <f ca="1"/>
        <v>74.534000000000006</v>
      </c>
      <c r="I7" s="11">
        <f ca="1"/>
        <v>77.960999999999999</v>
      </c>
      <c r="J7" s="11">
        <f ca="1"/>
        <v>88.804000000000002</v>
      </c>
      <c r="K7" s="11">
        <f ca="1"/>
        <v>89.183000000000007</v>
      </c>
      <c r="L7" s="11">
        <f ca="1"/>
        <v>93.063999999999993</v>
      </c>
      <c r="M7" s="11">
        <f ca="1"/>
        <v>102.018</v>
      </c>
      <c r="N7" s="11">
        <f ca="1"/>
        <v>109.72799999999999</v>
      </c>
      <c r="O7" s="3">
        <f ca="1"/>
        <v>114.687</v>
      </c>
      <c r="P7" s="1"/>
      <c r="Q7" s="24" t="str">
        <f ca="1"/>
        <v>AVPT US EQUITY</v>
      </c>
      <c r="R7" s="24">
        <f ca="1"/>
        <v>45838</v>
      </c>
      <c r="S7" s="25" t="str">
        <f ca="1"/>
        <v>canonical</v>
      </c>
      <c r="T7" s="26" t="str">
        <f ca="1"/>
        <v>gross_margin_gaap</v>
      </c>
      <c r="U7" s="30" t="str">
        <f ca="1"/>
        <v>74.0448</v>
      </c>
      <c r="V7" s="29" t="str">
        <f ca="1"/>
        <v>-165.84</v>
      </c>
      <c r="W7" s="29" t="str">
        <f ca="1"/>
        <v/>
      </c>
      <c r="X7" s="29" t="str">
        <f ca="1"/>
        <v/>
      </c>
      <c r="Y7" s="29" t="str">
        <f ca="1"/>
        <v>-27.5000000000006</v>
      </c>
    </row>
    <row r="8" spans="1:25" x14ac:dyDescent="0.45">
      <c r="C8" s="4" t="s">
        <v>4</v>
      </c>
      <c r="D8" s="5"/>
      <c r="E8" s="4"/>
      <c r="F8" s="4"/>
      <c r="G8" s="12"/>
      <c r="H8" s="12">
        <f t="shared" ref="H8:O8" ca="1" si="1">+H7/D7-1</f>
        <v>0.25115826227086546</v>
      </c>
      <c r="I8" s="12">
        <f t="shared" ca="1" si="1"/>
        <v>0.20182213383896785</v>
      </c>
      <c r="J8" s="12">
        <f t="shared" ca="1" si="1"/>
        <v>0.22050577240241886</v>
      </c>
      <c r="K8" s="12">
        <f t="shared" ca="1" si="1"/>
        <v>0.19509809176672399</v>
      </c>
      <c r="L8" s="12">
        <f t="shared" ca="1" si="1"/>
        <v>0.2486113719913059</v>
      </c>
      <c r="M8" s="12">
        <f t="shared" ca="1" si="1"/>
        <v>0.30857736560587989</v>
      </c>
      <c r="N8" s="12">
        <f t="shared" ca="1" si="1"/>
        <v>0.23562001711634606</v>
      </c>
      <c r="O8" s="12">
        <f t="shared" ca="1" si="1"/>
        <v>0.28597378424139119</v>
      </c>
      <c r="P8" s="3"/>
      <c r="Q8" s="24" t="str">
        <f ca="1"/>
        <v>AVPT US EQUITY</v>
      </c>
      <c r="R8" s="24">
        <f ca="1"/>
        <v>45930</v>
      </c>
      <c r="S8" s="25" t="str">
        <f ca="1"/>
        <v>canonical</v>
      </c>
      <c r="T8" s="26" t="str">
        <f ca="1"/>
        <v>gross_margin_gaap</v>
      </c>
      <c r="U8" s="30" t="str">
        <f ca="1"/>
        <v>74.3502</v>
      </c>
      <c r="V8" s="29" t="str">
        <f ca="1"/>
        <v>-175.34</v>
      </c>
      <c r="W8" s="29" t="str">
        <f ca="1"/>
        <v/>
      </c>
      <c r="X8" s="29" t="str">
        <f ca="1"/>
        <v/>
      </c>
      <c r="Y8" s="29" t="str">
        <f ca="1"/>
        <v>30.5400000000006</v>
      </c>
    </row>
    <row r="9" spans="1:25" x14ac:dyDescent="0.45">
      <c r="C9" s="4" t="s">
        <v>19</v>
      </c>
      <c r="D9" s="1"/>
      <c r="L9" s="7">
        <f ca="1">(L8-K8)*10000</f>
        <v>535.13280224581899</v>
      </c>
      <c r="M9" s="7">
        <f ca="1">(M8-L8)*10000</f>
        <v>599.65993614573995</v>
      </c>
      <c r="N9" s="7">
        <f ca="1">(N8-M8)*10000</f>
        <v>-729.57348489533831</v>
      </c>
      <c r="O9" s="7">
        <f ca="1">(O8-N8)*10000</f>
        <v>503.53767125045135</v>
      </c>
      <c r="Q9" s="22" t="str">
        <f ca="1"/>
        <v>AVPT US EQUITY</v>
      </c>
      <c r="R9" s="24">
        <f ca="1"/>
        <v>46022</v>
      </c>
      <c r="S9" s="25" t="str">
        <f ca="1"/>
        <v>canonical</v>
      </c>
      <c r="T9" s="26" t="str">
        <f ca="1"/>
        <v>gross_margin_gaap</v>
      </c>
      <c r="U9" s="30" t="str">
        <f ca="1"/>
        <v>73.5994</v>
      </c>
      <c r="V9" s="29" t="str">
        <f ca="1"/>
        <v>-182.079999999999</v>
      </c>
      <c r="W9" s="29" t="str">
        <f ca="1"/>
        <v/>
      </c>
      <c r="X9" s="29" t="str">
        <f ca="1"/>
        <v/>
      </c>
      <c r="Y9" s="29" t="str">
        <f ca="1"/>
        <v>-75.0799999999998</v>
      </c>
    </row>
    <row r="10" spans="1:25" x14ac:dyDescent="0.4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-25.46890279559566</v>
      </c>
      <c r="M10" s="7">
        <f ca="1">(M8-I8)*10000</f>
        <v>1067.5523176691204</v>
      </c>
      <c r="N10" s="7">
        <f ca="1">(N8-J8)*10000</f>
        <v>151.14244713927195</v>
      </c>
      <c r="O10" s="7">
        <f ca="1">(O8-K8)*10000</f>
        <v>908.75692474667198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AVPT US EQUITY</v>
      </c>
      <c r="R10" s="24">
        <f ca="1"/>
        <v>45747</v>
      </c>
      <c r="S10" s="25" t="str">
        <f ca="1"/>
        <v>canonical</v>
      </c>
      <c r="T10" s="26" t="str">
        <f ca="1"/>
        <v>operating_margin_gaap</v>
      </c>
      <c r="U10" s="30" t="str">
        <f ca="1"/>
        <v>3.532</v>
      </c>
      <c r="V10" s="29" t="str">
        <f ca="1"/>
        <v>782.67</v>
      </c>
      <c r="W10" s="29" t="str">
        <f ca="1"/>
        <v/>
      </c>
      <c r="X10" s="29" t="str">
        <f ca="1"/>
        <v/>
      </c>
      <c r="Y10" s="29" t="str">
        <f ca="1"/>
        <v>-190.96</v>
      </c>
    </row>
    <row r="11" spans="1:25" x14ac:dyDescent="0.45">
      <c r="C11" s="4" t="s">
        <v>5</v>
      </c>
      <c r="D11" s="1"/>
      <c r="L11" s="12">
        <f ca="1">L7/K7-1</f>
        <v>4.3517262258502054E-2</v>
      </c>
      <c r="M11" s="12">
        <f ca="1">M7/L7-1</f>
        <v>9.6213358548955741E-2</v>
      </c>
      <c r="N11" s="12">
        <f ca="1">N7/M7-1</f>
        <v>7.5574898547315028E-2</v>
      </c>
      <c r="O11" s="12">
        <f ca="1">O7/N7-1</f>
        <v>4.5193569553805713E-2</v>
      </c>
      <c r="Q11" s="24" t="str">
        <f ca="1"/>
        <v>AVPT US EQUITY</v>
      </c>
      <c r="R11" s="24">
        <f ca="1"/>
        <v>45838</v>
      </c>
      <c r="S11" s="25" t="str">
        <f ca="1"/>
        <v>canonical</v>
      </c>
      <c r="T11" s="26" t="str">
        <f ca="1"/>
        <v>operating_margin_gaap</v>
      </c>
      <c r="U11" s="30" t="str">
        <f ca="1"/>
        <v>6.9537</v>
      </c>
      <c r="V11" s="29" t="str">
        <f ca="1"/>
        <v>969.61</v>
      </c>
      <c r="W11" s="29" t="str">
        <f ca="1"/>
        <v/>
      </c>
      <c r="X11" s="29" t="str">
        <f ca="1"/>
        <v/>
      </c>
      <c r="Y11" s="29" t="str">
        <f ca="1"/>
        <v>342.17</v>
      </c>
    </row>
    <row r="12" spans="1:25" x14ac:dyDescent="0.45">
      <c r="Q12" s="24" t="str">
        <f ca="1"/>
        <v>AVPT US EQUITY</v>
      </c>
      <c r="R12" s="24">
        <f ca="1"/>
        <v>45930</v>
      </c>
      <c r="S12" s="25" t="str">
        <f ca="1"/>
        <v>canonical</v>
      </c>
      <c r="T12" s="26" t="str">
        <f ca="1"/>
        <v>operating_margin_gaap</v>
      </c>
      <c r="U12" s="30" t="str">
        <f ca="1"/>
        <v>7.4083</v>
      </c>
      <c r="V12" s="29" t="str">
        <f ca="1"/>
        <v>-120.84</v>
      </c>
      <c r="W12" s="29" t="str">
        <f ca="1"/>
        <v/>
      </c>
      <c r="X12" s="29" t="str">
        <f ca="1"/>
        <v/>
      </c>
      <c r="Y12" s="29" t="str">
        <f ca="1"/>
        <v>45.4599999999999</v>
      </c>
    </row>
    <row r="13" spans="1:25" x14ac:dyDescent="0.45">
      <c r="C13" s="13" t="s">
        <v>12</v>
      </c>
      <c r="D13" s="14">
        <f t="shared" ref="D13:O13" ca="1" si="2">EOMONTH(DATE(YEAR(D14),ROUNDUP(MONTH(D14)/3,0)*3,1),0)</f>
        <v>45016</v>
      </c>
      <c r="E13" s="14">
        <f t="shared" ca="1" si="2"/>
        <v>45107</v>
      </c>
      <c r="F13" s="14">
        <f t="shared" ca="1" si="2"/>
        <v>45199</v>
      </c>
      <c r="G13" s="14">
        <f t="shared" ca="1" si="2"/>
        <v>45291</v>
      </c>
      <c r="H13" s="14">
        <f t="shared" ca="1" si="2"/>
        <v>45382</v>
      </c>
      <c r="I13" s="14">
        <f t="shared" ca="1" si="2"/>
        <v>45473</v>
      </c>
      <c r="J13" s="14">
        <f t="shared" ca="1" si="2"/>
        <v>45565</v>
      </c>
      <c r="K13" s="14">
        <f t="shared" ca="1" si="2"/>
        <v>45657</v>
      </c>
      <c r="L13" s="14">
        <f t="shared" ca="1" si="2"/>
        <v>45747</v>
      </c>
      <c r="M13" s="14">
        <f t="shared" ca="1" si="2"/>
        <v>45838</v>
      </c>
      <c r="N13" s="14">
        <f t="shared" ca="1" si="2"/>
        <v>45930</v>
      </c>
      <c r="O13" s="14">
        <f t="shared" ca="1" si="2"/>
        <v>46022</v>
      </c>
      <c r="Q13" s="24" t="str">
        <f ca="1"/>
        <v>AVPT US EQUITY</v>
      </c>
      <c r="R13" s="24">
        <f ca="1"/>
        <v>46022</v>
      </c>
      <c r="S13" s="25" t="str">
        <f ca="1"/>
        <v>canonical</v>
      </c>
      <c r="T13" s="26" t="str">
        <f ca="1"/>
        <v>operating_margin_gaap</v>
      </c>
      <c r="U13" s="30" t="str">
        <f ca="1"/>
        <v>12.6649</v>
      </c>
      <c r="V13" s="29" t="str">
        <f ca="1"/>
        <v>722.33</v>
      </c>
      <c r="W13" s="29" t="str">
        <f ca="1"/>
        <v/>
      </c>
      <c r="X13" s="29" t="str">
        <f ca="1"/>
        <v/>
      </c>
      <c r="Y13" s="29" t="str">
        <f ca="1"/>
        <v>525.66</v>
      </c>
    </row>
    <row r="14" spans="1:25" x14ac:dyDescent="0.4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AVPT US EQUITY</v>
      </c>
      <c r="R14" s="24">
        <v>45747</v>
      </c>
      <c r="S14" s="25" t="str">
        <v>custom</v>
      </c>
      <c r="T14" s="26" t="str">
        <v>arr_in_m</v>
      </c>
      <c r="U14" s="30" t="str">
        <v>345.5</v>
      </c>
      <c r="V14" s="29" t="str">
        <v>0.258652094717668</v>
      </c>
      <c r="W14" s="29" t="str">
        <v>223.571986874227</v>
      </c>
      <c r="X14" s="29" t="str">
        <v>243.89504789611</v>
      </c>
      <c r="Y14" s="29" t="str">
        <v>0.0565749235474007</v>
      </c>
    </row>
    <row r="15" spans="1:25" x14ac:dyDescent="0.45">
      <c r="A15" s="16" t="s">
        <v>9</v>
      </c>
      <c r="B15" s="16" t="s">
        <v>14</v>
      </c>
      <c r="C15" s="9" t="s">
        <v>6</v>
      </c>
      <c r="D15" s="3">
        <f ca="1"/>
        <v>69.969099999999997</v>
      </c>
      <c r="E15" s="3">
        <f ca="1"/>
        <v>69.483099999999993</v>
      </c>
      <c r="F15" s="3">
        <f ca="1"/>
        <v>72.298000000000002</v>
      </c>
      <c r="G15" s="3">
        <f ca="1"/>
        <v>73.710899999999995</v>
      </c>
      <c r="H15" s="3">
        <f ca="1"/>
        <v>72.573599999999999</v>
      </c>
      <c r="I15" s="3">
        <f ca="1"/>
        <v>75.703199999999995</v>
      </c>
      <c r="J15" s="3">
        <f ca="1"/>
        <v>76.1036</v>
      </c>
      <c r="K15" s="3">
        <f ca="1"/>
        <v>75.420199999999994</v>
      </c>
      <c r="L15" s="3">
        <f ca="1"/>
        <v>74.319800000000001</v>
      </c>
      <c r="M15" s="3">
        <f ca="1"/>
        <v>74.044799999999995</v>
      </c>
      <c r="N15" s="3">
        <f ca="1"/>
        <v>74.350200000000001</v>
      </c>
      <c r="O15">
        <f ca="1"/>
        <v>73.599400000000003</v>
      </c>
      <c r="Q15" s="24" t="str">
        <v>AVPT US EQUITY</v>
      </c>
      <c r="R15" s="24">
        <v>45838</v>
      </c>
      <c r="S15" s="25" t="str">
        <v>custom</v>
      </c>
      <c r="T15" s="26" t="str">
        <v>arr_in_m</v>
      </c>
      <c r="U15" s="30" t="str">
        <v>367.6</v>
      </c>
      <c r="V15" s="29" t="str">
        <v>0.26714925887625</v>
      </c>
      <c r="W15" s="29" t="str">
        <v>84.9716415858115</v>
      </c>
      <c r="X15" s="29" t="str">
        <v>389.528151844629</v>
      </c>
      <c r="Y15" s="29" t="str">
        <v>0.0639652677279305</v>
      </c>
    </row>
    <row r="16" spans="1:25" x14ac:dyDescent="0.45">
      <c r="C16" s="4" t="s">
        <v>4</v>
      </c>
      <c r="D16" s="5"/>
      <c r="E16" s="4"/>
      <c r="F16" s="4"/>
      <c r="G16" s="4"/>
      <c r="H16" s="7">
        <f t="shared" ref="H16:O16" ca="1" si="3">(H15-D15)*100</f>
        <v>260.45000000000016</v>
      </c>
      <c r="I16" s="7">
        <f t="shared" ca="1" si="3"/>
        <v>622.01000000000022</v>
      </c>
      <c r="J16" s="7">
        <f t="shared" ca="1" si="3"/>
        <v>380.55999999999983</v>
      </c>
      <c r="K16" s="7">
        <f t="shared" ca="1" si="3"/>
        <v>170.92999999999989</v>
      </c>
      <c r="L16" s="7">
        <f t="shared" ca="1" si="3"/>
        <v>174.62000000000018</v>
      </c>
      <c r="M16" s="7">
        <f t="shared" ca="1" si="3"/>
        <v>-165.84000000000003</v>
      </c>
      <c r="N16" s="7">
        <f t="shared" ca="1" si="3"/>
        <v>-175.33999999999992</v>
      </c>
      <c r="O16" s="7">
        <f t="shared" ca="1" si="3"/>
        <v>-182.07999999999913</v>
      </c>
      <c r="Q16" s="24" t="str">
        <v>AVPT US EQUITY</v>
      </c>
      <c r="R16" s="24">
        <v>45930</v>
      </c>
      <c r="S16" s="25" t="str">
        <v>custom</v>
      </c>
      <c r="T16" s="26" t="str">
        <v>arr_in_m</v>
      </c>
      <c r="U16" s="30" t="str">
        <v>390</v>
      </c>
      <c r="V16" s="29" t="str">
        <v>0.26254451278731</v>
      </c>
      <c r="W16" s="29" t="str">
        <v>-46.0474608893979</v>
      </c>
      <c r="X16" s="29" t="str">
        <v>299.028527713483</v>
      </c>
      <c r="Y16" s="29" t="str">
        <v>0.0609357997823721</v>
      </c>
    </row>
    <row r="17" spans="1:25" x14ac:dyDescent="0.45">
      <c r="C17" s="4" t="s">
        <v>19</v>
      </c>
      <c r="D17" s="1"/>
      <c r="K17" s="7"/>
      <c r="L17" s="7"/>
      <c r="M17" s="7"/>
      <c r="N17" s="7"/>
      <c r="O17" s="7"/>
      <c r="Q17" s="24" t="str">
        <v>AVPT US EQUITY</v>
      </c>
      <c r="R17" s="24">
        <v>46022</v>
      </c>
      <c r="S17" s="25" t="str">
        <v>custom</v>
      </c>
      <c r="T17" s="26" t="str">
        <v>arr_in_m</v>
      </c>
      <c r="U17" s="30" t="str">
        <v>416.8</v>
      </c>
      <c r="V17" s="29" t="str">
        <v>0.274617737003058</v>
      </c>
      <c r="W17" s="29" t="str">
        <v>120.732242157484</v>
      </c>
      <c r="X17" s="29" t="str">
        <v>383.228409728125</v>
      </c>
      <c r="Y17" s="29" t="str">
        <v>0.0687179487179488</v>
      </c>
    </row>
    <row r="18" spans="1:25" x14ac:dyDescent="0.4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AVPT US EQUITY</v>
      </c>
      <c r="R18" s="24">
        <v>45747</v>
      </c>
      <c r="S18" s="25" t="str">
        <v>custom</v>
      </c>
      <c r="T18" s="26" t="str">
        <v>paying_customers_100k</v>
      </c>
      <c r="U18" s="30" t="str">
        <v>689</v>
      </c>
      <c r="V18" s="29" t="str">
        <v>0.230357142857143</v>
      </c>
      <c r="W18" s="29" t="str">
        <v>128.068686341083</v>
      </c>
      <c r="X18" s="29" t="str">
        <v>260.560675883257</v>
      </c>
      <c r="Y18" s="29" t="str">
        <v>0.0345345345345345</v>
      </c>
    </row>
    <row r="19" spans="1:25" x14ac:dyDescent="0.45">
      <c r="C19" s="4" t="s">
        <v>5</v>
      </c>
      <c r="D19" s="1"/>
      <c r="K19" s="7"/>
      <c r="L19" s="7">
        <f ca="1">(L15-K15)*100</f>
        <v>-110.03999999999934</v>
      </c>
      <c r="M19" s="7">
        <f ca="1">(M15-L15)*100</f>
        <v>-27.500000000000568</v>
      </c>
      <c r="N19" s="7">
        <f ca="1">(N15-M15)*100</f>
        <v>30.540000000000589</v>
      </c>
      <c r="O19" s="7">
        <f ca="1">(O15-N15)*100</f>
        <v>-75.079999999999814</v>
      </c>
      <c r="Q19" s="24" t="str">
        <v>AVPT US EQUITY</v>
      </c>
      <c r="R19" s="24">
        <v>45838</v>
      </c>
      <c r="S19" s="25" t="str">
        <v>custom</v>
      </c>
      <c r="T19" s="26" t="str">
        <v>paying_customers_100k</v>
      </c>
      <c r="U19" s="30" t="str">
        <v>721</v>
      </c>
      <c r="V19" s="29" t="str">
        <v>0.213804713804714</v>
      </c>
      <c r="W19" s="29" t="str">
        <v>-165.52429052429</v>
      </c>
      <c r="X19" s="29" t="str">
        <v>138.047138047139</v>
      </c>
      <c r="Y19" s="29" t="str">
        <v>0.04644412191582</v>
      </c>
    </row>
    <row r="20" spans="1:25" x14ac:dyDescent="0.45">
      <c r="Q20" s="24" t="str">
        <v>AVPT US EQUITY</v>
      </c>
      <c r="R20" s="24">
        <v>45930</v>
      </c>
      <c r="S20" s="25" t="str">
        <v>custom</v>
      </c>
      <c r="T20" s="26" t="str">
        <v>paying_customers_100k</v>
      </c>
      <c r="U20" s="30" t="str">
        <v>762</v>
      </c>
      <c r="V20" s="29" t="str">
        <v>0.211446740858505</v>
      </c>
      <c r="W20" s="29" t="str">
        <v>-23.5797294620843</v>
      </c>
      <c r="X20" s="29" t="str">
        <v>-28.3897342720874</v>
      </c>
      <c r="Y20" s="29" t="str">
        <v>0.0568654646324549</v>
      </c>
    </row>
    <row r="21" spans="1:25" x14ac:dyDescent="0.45">
      <c r="C21" s="13" t="s">
        <v>12</v>
      </c>
      <c r="D21" s="14">
        <f t="shared" ref="D21:O21" ca="1" si="4">EOMONTH(DATE(YEAR(D22),ROUNDUP(MONTH(D22)/3,0)*3,1),0)</f>
        <v>45016</v>
      </c>
      <c r="E21" s="14">
        <f t="shared" ca="1" si="4"/>
        <v>45107</v>
      </c>
      <c r="F21" s="14">
        <f t="shared" ca="1" si="4"/>
        <v>45199</v>
      </c>
      <c r="G21" s="14">
        <f t="shared" ca="1" si="4"/>
        <v>45291</v>
      </c>
      <c r="H21" s="14">
        <f t="shared" ca="1" si="4"/>
        <v>45382</v>
      </c>
      <c r="I21" s="14">
        <f t="shared" ca="1" si="4"/>
        <v>45473</v>
      </c>
      <c r="J21" s="14">
        <f t="shared" ca="1" si="4"/>
        <v>45565</v>
      </c>
      <c r="K21" s="14">
        <f t="shared" ca="1" si="4"/>
        <v>45657</v>
      </c>
      <c r="L21" s="14">
        <f t="shared" ca="1" si="4"/>
        <v>45747</v>
      </c>
      <c r="M21" s="14">
        <f t="shared" ca="1" si="4"/>
        <v>45838</v>
      </c>
      <c r="N21" s="14">
        <f t="shared" ca="1" si="4"/>
        <v>45930</v>
      </c>
      <c r="O21" s="14">
        <f t="shared" ca="1" si="4"/>
        <v>46022</v>
      </c>
      <c r="Q21" s="24" t="str">
        <v>AVPT US EQUITY</v>
      </c>
      <c r="R21" s="24">
        <v>46022</v>
      </c>
      <c r="S21" s="25" t="str">
        <v>custom</v>
      </c>
      <c r="T21" s="26" t="str">
        <v>paying_customers_100k</v>
      </c>
      <c r="U21" s="30" t="str">
        <v>826</v>
      </c>
      <c r="V21" s="29" t="str">
        <v>0.24024024024024</v>
      </c>
      <c r="W21" s="29" t="str">
        <v>287.934993817347</v>
      </c>
      <c r="X21" s="29" t="str">
        <v>226.899660172055</v>
      </c>
      <c r="Y21" s="29" t="str">
        <v>0.083989501312336</v>
      </c>
    </row>
    <row r="22" spans="1:25" x14ac:dyDescent="0.45">
      <c r="D22" s="1" cm="1">
        <f t="array" aca="1" ref="D22:O23" ca="1">+_xll.BDH($B$2,C23,$B$3,$B$4,"DIR=H")</f>
        <v>45016</v>
      </c>
      <c r="E22" s="1">
        <f ca="1"/>
        <v>45107</v>
      </c>
      <c r="F22" s="1">
        <f ca="1"/>
        <v>45199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45565</v>
      </c>
      <c r="K22" s="1">
        <f ca="1"/>
        <v>45657</v>
      </c>
      <c r="L22" s="1">
        <f ca="1"/>
        <v>45747</v>
      </c>
      <c r="M22" s="1">
        <f ca="1"/>
        <v>45838</v>
      </c>
      <c r="N22" s="1">
        <f ca="1"/>
        <v>45930</v>
      </c>
      <c r="O22" s="1">
        <f ca="1"/>
        <v>46022</v>
      </c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AVPT US EQUITY</v>
      </c>
      <c r="R22" s="24">
        <v>45747</v>
      </c>
      <c r="S22" s="25" t="str">
        <v>custom</v>
      </c>
      <c r="T22" s="26" t="str">
        <v>net_retention_pct</v>
      </c>
      <c r="U22" s="27" t="str">
        <v>1.11</v>
      </c>
      <c r="V22" s="28" t="str">
        <v>100</v>
      </c>
      <c r="W22" s="29" t="str">
        <v/>
      </c>
      <c r="X22" s="28" t="str">
        <v/>
      </c>
      <c r="Y22" s="29" t="str">
        <v>100</v>
      </c>
    </row>
    <row r="23" spans="1:25" x14ac:dyDescent="0.45">
      <c r="A23" s="16" t="s">
        <v>9</v>
      </c>
      <c r="B23" s="16" t="s">
        <v>15</v>
      </c>
      <c r="C23" s="9" t="s">
        <v>7</v>
      </c>
      <c r="D23" s="3">
        <f ca="1"/>
        <v>-14.825799999999999</v>
      </c>
      <c r="E23" s="3">
        <f ca="1"/>
        <v>-10.920500000000001</v>
      </c>
      <c r="F23" s="3">
        <f ca="1"/>
        <v>-0.43020000000000003</v>
      </c>
      <c r="G23" s="3">
        <f ca="1"/>
        <v>1.1766000000000001</v>
      </c>
      <c r="H23" s="3">
        <f ca="1"/>
        <v>-4.2946999999999997</v>
      </c>
      <c r="I23" s="3">
        <f ca="1"/>
        <v>-2.7423999999999999</v>
      </c>
      <c r="J23" s="3">
        <f ca="1"/>
        <v>8.6166999999999998</v>
      </c>
      <c r="K23" s="3">
        <f ca="1"/>
        <v>5.4416000000000002</v>
      </c>
      <c r="L23" s="3">
        <f ca="1"/>
        <v>3.532</v>
      </c>
      <c r="M23" s="3">
        <f ca="1"/>
        <v>6.9537000000000004</v>
      </c>
      <c r="N23" s="3">
        <f ca="1"/>
        <v>7.4082999999999997</v>
      </c>
      <c r="O23">
        <f ca="1"/>
        <v>12.664899999999999</v>
      </c>
      <c r="Q23" s="24" t="str">
        <v>AVPT US EQUITY</v>
      </c>
      <c r="R23" s="24">
        <v>45838</v>
      </c>
      <c r="S23" s="25" t="str">
        <v>custom</v>
      </c>
      <c r="T23" s="26" t="str">
        <v>net_retention_pct</v>
      </c>
      <c r="U23" s="27" t="str">
        <v>1.12</v>
      </c>
      <c r="V23" s="28" t="str">
        <v>300</v>
      </c>
      <c r="W23" s="29" t="str">
        <v/>
      </c>
      <c r="X23" s="28" t="str">
        <v/>
      </c>
      <c r="Y23" s="29" t="str">
        <v>100</v>
      </c>
    </row>
    <row r="24" spans="1:25" x14ac:dyDescent="0.45">
      <c r="C24" s="4" t="s">
        <v>4</v>
      </c>
      <c r="D24" s="5"/>
      <c r="E24" s="4"/>
      <c r="F24" s="4"/>
      <c r="G24" s="4"/>
      <c r="H24" s="7">
        <f t="shared" ref="H24:O24" ca="1" si="5">(H23-D23)*100</f>
        <v>1053.1099999999999</v>
      </c>
      <c r="I24" s="7">
        <f t="shared" ca="1" si="5"/>
        <v>817.81000000000006</v>
      </c>
      <c r="J24" s="7">
        <f t="shared" ca="1" si="5"/>
        <v>904.68999999999994</v>
      </c>
      <c r="K24" s="7">
        <f t="shared" ca="1" si="5"/>
        <v>426.50000000000006</v>
      </c>
      <c r="L24" s="7">
        <f t="shared" ca="1" si="5"/>
        <v>782.67</v>
      </c>
      <c r="M24" s="7">
        <f t="shared" ca="1" si="5"/>
        <v>969.61000000000013</v>
      </c>
      <c r="N24" s="7">
        <f t="shared" ca="1" si="5"/>
        <v>-120.84000000000002</v>
      </c>
      <c r="O24" s="7">
        <f t="shared" ca="1" si="5"/>
        <v>722.32999999999993</v>
      </c>
      <c r="Q24" s="24" t="str">
        <v>AVPT US EQUITY</v>
      </c>
      <c r="R24" s="24">
        <v>45930</v>
      </c>
      <c r="S24" s="25" t="str">
        <v>custom</v>
      </c>
      <c r="T24" s="26" t="str">
        <v>net_retention_pct</v>
      </c>
      <c r="U24" s="27" t="str">
        <v>1.1</v>
      </c>
      <c r="V24" s="28" t="str">
        <v>100</v>
      </c>
      <c r="W24" s="29" t="str">
        <v/>
      </c>
      <c r="X24" s="28" t="str">
        <v/>
      </c>
      <c r="Y24" s="29" t="str">
        <v>-200</v>
      </c>
    </row>
    <row r="25" spans="1:25" x14ac:dyDescent="0.45">
      <c r="C25" s="4" t="s">
        <v>19</v>
      </c>
      <c r="D25" s="1"/>
      <c r="K25" s="7"/>
      <c r="L25" s="7"/>
      <c r="M25" s="7"/>
      <c r="N25" s="7"/>
      <c r="O25" s="7"/>
      <c r="Q25" s="24" t="str">
        <v>AVPT US EQUITY</v>
      </c>
      <c r="R25" s="24">
        <v>46022</v>
      </c>
      <c r="S25" s="25" t="str">
        <v>custom</v>
      </c>
      <c r="T25" s="26" t="str">
        <v>net_retention_pct</v>
      </c>
      <c r="U25" s="27" t="str">
        <v>1.11</v>
      </c>
      <c r="V25" s="28" t="str">
        <v>100</v>
      </c>
      <c r="W25" s="29" t="str">
        <v/>
      </c>
      <c r="X25" s="28" t="str">
        <v/>
      </c>
      <c r="Y25" s="29" t="str">
        <v>100</v>
      </c>
    </row>
    <row r="26" spans="1:25" x14ac:dyDescent="0.4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AVPT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45">
      <c r="C27" s="4" t="s">
        <v>5</v>
      </c>
      <c r="D27" s="1"/>
      <c r="K27" s="7"/>
      <c r="L27" s="7">
        <f ca="1">(L23-K23)*100</f>
        <v>-190.96</v>
      </c>
      <c r="M27" s="7">
        <f ca="1">(M23-L23)*100</f>
        <v>342.17</v>
      </c>
      <c r="N27" s="7">
        <f ca="1">(N23-M23)*100</f>
        <v>45.459999999999923</v>
      </c>
      <c r="O27" s="7">
        <f ca="1">(O23-N23)*100</f>
        <v>525.66</v>
      </c>
      <c r="Q27" s="24" t="str">
        <v>AVPT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45">
      <c r="C28" s="4"/>
      <c r="D28" s="1"/>
      <c r="K28" s="7"/>
      <c r="L28" s="7"/>
      <c r="M28" s="7"/>
      <c r="N28" s="7"/>
      <c r="O28" s="7"/>
      <c r="Q28" s="24" t="str">
        <v>AVPT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45">
      <c r="C29" s="13" t="s">
        <v>12</v>
      </c>
      <c r="D29" s="14">
        <f t="shared" ref="D29:L29" si="6">EOMONTH(DATE(YEAR(D30),ROUNDUP(MONTH(D30)/3,0)*3,1),0)</f>
        <v>45016</v>
      </c>
      <c r="E29" s="14">
        <f t="shared" si="6"/>
        <v>45107</v>
      </c>
      <c r="F29" s="14">
        <f t="shared" si="6"/>
        <v>45199</v>
      </c>
      <c r="G29" s="14">
        <f t="shared" si="6"/>
        <v>45291</v>
      </c>
      <c r="H29" s="14">
        <f t="shared" si="6"/>
        <v>45382</v>
      </c>
      <c r="I29" s="14">
        <f t="shared" si="6"/>
        <v>45473</v>
      </c>
      <c r="J29" s="14">
        <f t="shared" si="6"/>
        <v>45565</v>
      </c>
      <c r="K29" s="14">
        <f t="shared" si="6"/>
        <v>45657</v>
      </c>
      <c r="L29" s="14">
        <f t="shared" si="6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AVPT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45">
      <c r="D30" s="2">
        <v>45016</v>
      </c>
      <c r="E30" s="2">
        <v>45107</v>
      </c>
      <c r="F30" s="2">
        <v>45199</v>
      </c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AVPT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45">
      <c r="A31" s="16" t="s">
        <v>21</v>
      </c>
      <c r="B31" s="16" t="s">
        <v>35</v>
      </c>
      <c r="C31" s="2" t="s">
        <v>36</v>
      </c>
      <c r="D31" s="10">
        <v>222.4</v>
      </c>
      <c r="E31" s="10">
        <v>236.2</v>
      </c>
      <c r="F31" s="10">
        <v>250.6</v>
      </c>
      <c r="G31" s="10">
        <v>264.5</v>
      </c>
      <c r="H31" s="10">
        <v>274.5</v>
      </c>
      <c r="I31" s="10">
        <v>290.10000000000002</v>
      </c>
      <c r="J31" s="10">
        <v>308.89999999999998</v>
      </c>
      <c r="K31" s="10">
        <v>327</v>
      </c>
      <c r="L31" s="10">
        <v>345.5</v>
      </c>
      <c r="M31" s="10">
        <v>367.6</v>
      </c>
      <c r="N31" s="10">
        <v>390</v>
      </c>
      <c r="O31" s="10">
        <v>416.8</v>
      </c>
      <c r="Q31" s="24" t="str">
        <v>AVPT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45">
      <c r="C32" s="4" t="s">
        <v>4</v>
      </c>
      <c r="D32" s="5"/>
      <c r="E32" s="4"/>
      <c r="F32" s="4"/>
      <c r="G32" s="12"/>
      <c r="H32" s="12">
        <f t="shared" ref="H32:O32" si="7">+H31/D31-1</f>
        <v>0.23426258992805749</v>
      </c>
      <c r="I32" s="12">
        <f t="shared" si="7"/>
        <v>0.22819644369178671</v>
      </c>
      <c r="J32" s="12">
        <f t="shared" si="7"/>
        <v>0.23264166001596154</v>
      </c>
      <c r="K32" s="12">
        <f t="shared" si="7"/>
        <v>0.23629489603024578</v>
      </c>
      <c r="L32" s="12">
        <f t="shared" si="7"/>
        <v>0.25865209471766848</v>
      </c>
      <c r="M32" s="12">
        <f t="shared" si="7"/>
        <v>0.26714925887624963</v>
      </c>
      <c r="N32" s="12">
        <f t="shared" si="7"/>
        <v>0.26254451278730984</v>
      </c>
      <c r="O32" s="12">
        <f t="shared" si="7"/>
        <v>0.27461773700305825</v>
      </c>
      <c r="Q32" s="24" t="str">
        <v>AVPT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45">
      <c r="C33" s="4" t="s">
        <v>19</v>
      </c>
      <c r="D33" s="1"/>
      <c r="L33" s="7">
        <f>(L32-K32)*10000</f>
        <v>223.57198687422698</v>
      </c>
      <c r="M33" s="7">
        <f>(M32-L32)*10000</f>
        <v>84.971641585811497</v>
      </c>
      <c r="N33" s="7">
        <f>(N32-M32)*10000</f>
        <v>-46.047460889397925</v>
      </c>
      <c r="O33" s="7">
        <f>(O32-N32)*10000</f>
        <v>120.73224215748412</v>
      </c>
      <c r="Q33" s="24" t="str">
        <v>AVPT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45">
      <c r="C34" s="4" t="s">
        <v>23</v>
      </c>
      <c r="D34" s="1"/>
      <c r="E34" s="6"/>
      <c r="F34" s="6"/>
      <c r="G34" s="6"/>
      <c r="H34" s="6"/>
      <c r="I34" s="6"/>
      <c r="J34" s="6"/>
      <c r="K34" s="6"/>
      <c r="L34" s="7">
        <f>(L32-H32)*10000</f>
        <v>243.89504789610993</v>
      </c>
      <c r="M34" s="7">
        <f>(M32-I32)*10000</f>
        <v>389.52815184462918</v>
      </c>
      <c r="N34" s="7">
        <f>(N32-J32)*10000</f>
        <v>299.02852771348296</v>
      </c>
      <c r="O34" s="7">
        <f>(O32-K32)*10000</f>
        <v>383.22840972812469</v>
      </c>
    </row>
    <row r="35" spans="1:25" x14ac:dyDescent="0.45">
      <c r="C35" s="4" t="s">
        <v>5</v>
      </c>
      <c r="D35" s="1"/>
      <c r="L35" s="12">
        <f>L31/K31-1</f>
        <v>5.657492354740068E-2</v>
      </c>
      <c r="M35" s="12">
        <f>M31/L31-1</f>
        <v>6.3965267727930541E-2</v>
      </c>
      <c r="N35" s="12">
        <f>N31/M31-1</f>
        <v>6.0935799782372069E-2</v>
      </c>
      <c r="O35" s="12">
        <f>O31/N31-1</f>
        <v>6.8717948717948785E-2</v>
      </c>
    </row>
    <row r="36" spans="1:25" x14ac:dyDescent="0.45">
      <c r="C36" s="4"/>
      <c r="D36" s="1"/>
      <c r="L36" s="7"/>
      <c r="M36" s="7"/>
      <c r="N36" s="7"/>
      <c r="O36" s="7"/>
    </row>
    <row r="37" spans="1:25" x14ac:dyDescent="0.45">
      <c r="C37" s="13" t="s">
        <v>12</v>
      </c>
      <c r="D37" s="14">
        <f t="shared" ref="D37:L37" si="8">EOMONTH(DATE(YEAR(D38),ROUNDUP(MONTH(D38)/3,0)*3,1),0)</f>
        <v>45016</v>
      </c>
      <c r="E37" s="14">
        <f t="shared" si="8"/>
        <v>45107</v>
      </c>
      <c r="F37" s="14">
        <f t="shared" si="8"/>
        <v>45199</v>
      </c>
      <c r="G37" s="14">
        <f t="shared" si="8"/>
        <v>45291</v>
      </c>
      <c r="H37" s="14">
        <f t="shared" si="8"/>
        <v>45382</v>
      </c>
      <c r="I37" s="14">
        <f t="shared" si="8"/>
        <v>45473</v>
      </c>
      <c r="J37" s="14">
        <f t="shared" si="8"/>
        <v>45565</v>
      </c>
      <c r="K37" s="14">
        <f t="shared" si="8"/>
        <v>45657</v>
      </c>
      <c r="L37" s="14">
        <f t="shared" si="8"/>
        <v>45747</v>
      </c>
      <c r="M37" s="14">
        <f>EOMONTH(DATE(YEAR(M38),ROUNDUP(MONTH(M38)/3,0)*3,1),0)</f>
        <v>45838</v>
      </c>
      <c r="N37" s="14">
        <f>EOMONTH(DATE(YEAR(N38),ROUNDUP(MONTH(N38)/3,0)*3,1),0)</f>
        <v>45930</v>
      </c>
      <c r="O37" s="14">
        <f>EOMONTH(DATE(YEAR(O38),ROUNDUP(MONTH(O38)/3,0)*3,1),0)</f>
        <v>46022</v>
      </c>
    </row>
    <row r="38" spans="1:25" x14ac:dyDescent="0.45">
      <c r="D38" s="2">
        <v>45016</v>
      </c>
      <c r="E38" s="2">
        <v>45107</v>
      </c>
      <c r="F38" s="2">
        <v>45199</v>
      </c>
      <c r="G38" s="2">
        <v>45291</v>
      </c>
      <c r="H38" s="2">
        <v>45382</v>
      </c>
      <c r="I38" s="2">
        <v>45473</v>
      </c>
      <c r="J38" s="2">
        <v>45565</v>
      </c>
      <c r="K38" s="2">
        <v>45657</v>
      </c>
      <c r="L38" s="2">
        <v>45747</v>
      </c>
      <c r="M38" s="2">
        <v>45838</v>
      </c>
      <c r="N38" s="2">
        <v>45930</v>
      </c>
      <c r="O38" s="2">
        <v>46022</v>
      </c>
    </row>
    <row r="39" spans="1:25" x14ac:dyDescent="0.45">
      <c r="A39" s="16" t="s">
        <v>21</v>
      </c>
      <c r="B39" s="16" t="s">
        <v>30</v>
      </c>
      <c r="C39" s="2" t="s">
        <v>29</v>
      </c>
      <c r="D39" s="32">
        <v>465</v>
      </c>
      <c r="E39" s="32">
        <v>495</v>
      </c>
      <c r="F39" s="32">
        <v>518</v>
      </c>
      <c r="G39" s="33">
        <v>547</v>
      </c>
      <c r="H39" s="33">
        <v>560</v>
      </c>
      <c r="I39" s="33">
        <v>594</v>
      </c>
      <c r="J39" s="33">
        <v>629</v>
      </c>
      <c r="K39" s="33">
        <v>666</v>
      </c>
      <c r="L39" s="33">
        <v>689</v>
      </c>
      <c r="M39" s="33">
        <v>721</v>
      </c>
      <c r="N39" s="33">
        <v>762</v>
      </c>
      <c r="O39" s="33">
        <v>826</v>
      </c>
    </row>
    <row r="40" spans="1:25" x14ac:dyDescent="0.45">
      <c r="C40" s="4" t="s">
        <v>4</v>
      </c>
      <c r="D40" s="5"/>
      <c r="E40" s="4"/>
      <c r="F40" s="4"/>
      <c r="G40" s="12"/>
      <c r="H40" s="12">
        <f t="shared" ref="H40:O40" si="9">+H39/D39-1</f>
        <v>0.20430107526881724</v>
      </c>
      <c r="I40" s="12">
        <f t="shared" si="9"/>
        <v>0.19999999999999996</v>
      </c>
      <c r="J40" s="12">
        <f t="shared" si="9"/>
        <v>0.21428571428571419</v>
      </c>
      <c r="K40" s="12">
        <f t="shared" si="9"/>
        <v>0.21755027422303463</v>
      </c>
      <c r="L40" s="12">
        <f t="shared" si="9"/>
        <v>0.23035714285714293</v>
      </c>
      <c r="M40" s="12">
        <f t="shared" si="9"/>
        <v>0.21380471380471389</v>
      </c>
      <c r="N40" s="12">
        <f t="shared" si="9"/>
        <v>0.21144674085850546</v>
      </c>
      <c r="O40" s="12">
        <f t="shared" si="9"/>
        <v>0.24024024024024015</v>
      </c>
    </row>
    <row r="41" spans="1:25" x14ac:dyDescent="0.45">
      <c r="C41" s="4" t="s">
        <v>19</v>
      </c>
      <c r="D41" s="1"/>
      <c r="L41" s="7">
        <f>(L40-K40)*10000</f>
        <v>128.06868634108292</v>
      </c>
      <c r="M41" s="7">
        <f>(M40-L40)*10000</f>
        <v>-165.52429052429039</v>
      </c>
      <c r="N41" s="7">
        <f>(N40-M40)*10000</f>
        <v>-23.579729462084309</v>
      </c>
      <c r="O41" s="7">
        <f>(O40-N40)*10000</f>
        <v>287.93499381734699</v>
      </c>
    </row>
    <row r="42" spans="1:25" x14ac:dyDescent="0.45">
      <c r="C42" s="4" t="s">
        <v>23</v>
      </c>
      <c r="D42" s="1"/>
      <c r="E42" s="6"/>
      <c r="F42" s="6"/>
      <c r="G42" s="6"/>
      <c r="H42" s="6"/>
      <c r="I42" s="6"/>
      <c r="J42" s="6"/>
      <c r="K42" s="6"/>
      <c r="L42" s="7">
        <f>(L40-H40)*10000</f>
        <v>260.56067588325681</v>
      </c>
      <c r="M42" s="7">
        <f>(M40-I40)*10000</f>
        <v>138.0471380471393</v>
      </c>
      <c r="N42" s="7">
        <f>(N40-J40)*10000</f>
        <v>-28.389734272087352</v>
      </c>
      <c r="O42" s="7">
        <f>(O40-K40)*10000</f>
        <v>226.89966017205521</v>
      </c>
    </row>
    <row r="43" spans="1:25" x14ac:dyDescent="0.45">
      <c r="C43" s="4" t="s">
        <v>5</v>
      </c>
      <c r="D43" s="1"/>
      <c r="L43" s="12">
        <f>L39/K39-1</f>
        <v>3.4534534534534478E-2</v>
      </c>
      <c r="M43" s="12">
        <f>M39/L39-1</f>
        <v>4.6444121915820036E-2</v>
      </c>
      <c r="N43" s="12">
        <f>N39/M39-1</f>
        <v>5.6865464632454898E-2</v>
      </c>
      <c r="O43" s="12">
        <f>O39/N39-1</f>
        <v>8.3989501312335957E-2</v>
      </c>
    </row>
    <row r="44" spans="1:25" x14ac:dyDescent="0.45">
      <c r="C44" s="4"/>
      <c r="D44" s="1"/>
      <c r="G44" s="1"/>
    </row>
    <row r="45" spans="1:25" x14ac:dyDescent="0.45">
      <c r="C45" s="13" t="s">
        <v>12</v>
      </c>
      <c r="D45" s="14">
        <f t="shared" ref="D45:O45" si="10">EOMONTH(DATE(YEAR(D46),ROUNDUP(MONTH(D46)/3,0)*3,1),0)</f>
        <v>45016</v>
      </c>
      <c r="E45" s="14">
        <f t="shared" si="10"/>
        <v>45107</v>
      </c>
      <c r="F45" s="14">
        <f t="shared" si="10"/>
        <v>45199</v>
      </c>
      <c r="G45" s="14">
        <f t="shared" si="10"/>
        <v>45291</v>
      </c>
      <c r="H45" s="14">
        <f t="shared" si="10"/>
        <v>45382</v>
      </c>
      <c r="I45" s="14">
        <f t="shared" si="10"/>
        <v>45473</v>
      </c>
      <c r="J45" s="14">
        <f t="shared" si="10"/>
        <v>45565</v>
      </c>
      <c r="K45" s="14">
        <f t="shared" si="10"/>
        <v>45657</v>
      </c>
      <c r="L45" s="14">
        <f t="shared" si="10"/>
        <v>45747</v>
      </c>
      <c r="M45" s="14">
        <f t="shared" si="10"/>
        <v>45838</v>
      </c>
      <c r="N45" s="14">
        <f t="shared" si="10"/>
        <v>45930</v>
      </c>
      <c r="O45" s="14">
        <f t="shared" si="10"/>
        <v>46022</v>
      </c>
    </row>
    <row r="46" spans="1:25" x14ac:dyDescent="0.45">
      <c r="D46" s="2">
        <v>45016</v>
      </c>
      <c r="E46" s="2">
        <v>45107</v>
      </c>
      <c r="F46" s="2">
        <v>45199</v>
      </c>
      <c r="G46" s="2">
        <v>45291</v>
      </c>
      <c r="H46" s="2">
        <v>45382</v>
      </c>
      <c r="I46" s="2">
        <v>45473</v>
      </c>
      <c r="J46" s="2">
        <v>45565</v>
      </c>
      <c r="K46" s="2">
        <v>45657</v>
      </c>
      <c r="L46" s="2">
        <v>45747</v>
      </c>
      <c r="M46" s="2">
        <v>45838</v>
      </c>
      <c r="N46" s="2">
        <v>45930</v>
      </c>
      <c r="O46" s="2">
        <v>46022</v>
      </c>
    </row>
    <row r="47" spans="1:25" x14ac:dyDescent="0.45">
      <c r="A47" s="16" t="s">
        <v>21</v>
      </c>
      <c r="B47" s="16" t="s">
        <v>68</v>
      </c>
      <c r="C47" s="9" t="s">
        <v>33</v>
      </c>
      <c r="D47" s="34">
        <v>1.02</v>
      </c>
      <c r="E47" s="34">
        <v>1.04</v>
      </c>
      <c r="F47" s="34">
        <v>1.07</v>
      </c>
      <c r="G47" s="35">
        <v>1.08</v>
      </c>
      <c r="H47" s="35">
        <v>1.1000000000000001</v>
      </c>
      <c r="I47" s="35">
        <v>1.0900000000000001</v>
      </c>
      <c r="J47" s="35">
        <v>1.0900000000000001</v>
      </c>
      <c r="K47" s="35">
        <v>1.1000000000000001</v>
      </c>
      <c r="L47" s="35">
        <v>1.1100000000000001</v>
      </c>
      <c r="M47" s="35">
        <v>1.1200000000000001</v>
      </c>
      <c r="N47" s="35">
        <v>1.1000000000000001</v>
      </c>
      <c r="O47" s="35">
        <v>1.1100000000000001</v>
      </c>
    </row>
    <row r="48" spans="1:25" x14ac:dyDescent="0.45">
      <c r="C48" s="4" t="s">
        <v>4</v>
      </c>
      <c r="D48" s="5"/>
      <c r="E48" s="4"/>
      <c r="F48" s="4"/>
      <c r="G48" s="4"/>
      <c r="H48" s="7">
        <f t="shared" ref="H48:O48" si="11">(H47-D47)*10000</f>
        <v>800.00000000000068</v>
      </c>
      <c r="I48" s="7">
        <f t="shared" si="11"/>
        <v>500.00000000000045</v>
      </c>
      <c r="J48" s="7">
        <f t="shared" si="11"/>
        <v>200.00000000000017</v>
      </c>
      <c r="K48" s="7">
        <f t="shared" si="11"/>
        <v>200.00000000000017</v>
      </c>
      <c r="L48" s="7">
        <f t="shared" si="11"/>
        <v>100.00000000000009</v>
      </c>
      <c r="M48" s="7">
        <f t="shared" si="11"/>
        <v>300.00000000000028</v>
      </c>
      <c r="N48" s="7">
        <f t="shared" si="11"/>
        <v>100.00000000000009</v>
      </c>
      <c r="O48" s="7">
        <f t="shared" si="11"/>
        <v>100.00000000000009</v>
      </c>
    </row>
    <row r="49" spans="1:15" x14ac:dyDescent="0.45">
      <c r="C49" s="4" t="s">
        <v>19</v>
      </c>
      <c r="D49" s="1"/>
      <c r="K49" s="7"/>
      <c r="L49" s="7"/>
      <c r="M49" s="7"/>
      <c r="N49" s="7"/>
      <c r="O49" s="7"/>
    </row>
    <row r="50" spans="1:15" x14ac:dyDescent="0.45">
      <c r="C50" s="4" t="s">
        <v>23</v>
      </c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45">
      <c r="C51" s="4" t="s">
        <v>5</v>
      </c>
      <c r="D51" s="1"/>
      <c r="K51" s="7"/>
      <c r="L51" s="7">
        <f>(L47-K47)*10000</f>
        <v>100.00000000000009</v>
      </c>
      <c r="M51" s="7">
        <f>(M47-L47)*10000</f>
        <v>100.00000000000009</v>
      </c>
      <c r="N51" s="7">
        <f>(N47-M47)*10000</f>
        <v>-200.00000000000017</v>
      </c>
      <c r="O51" s="7">
        <f>(O47-N47)*10000</f>
        <v>100.00000000000009</v>
      </c>
    </row>
    <row r="52" spans="1:15" x14ac:dyDescent="0.45">
      <c r="C52" s="4"/>
      <c r="D52" s="1"/>
      <c r="G52" s="1"/>
    </row>
    <row r="53" spans="1:15" x14ac:dyDescent="0.4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4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4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4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45">
      <c r="C57" s="4"/>
      <c r="D57" s="1"/>
      <c r="K57" s="7"/>
      <c r="L57" s="7"/>
      <c r="M57" s="7"/>
      <c r="N57" s="7"/>
      <c r="O57" s="7"/>
    </row>
    <row r="58" spans="1:15" x14ac:dyDescent="0.4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45">
      <c r="C59" s="4"/>
      <c r="D59" s="1"/>
      <c r="K59" s="7"/>
      <c r="L59" s="7"/>
      <c r="M59" s="7"/>
      <c r="N59" s="7"/>
      <c r="O59" s="7"/>
    </row>
    <row r="64" spans="1:15" x14ac:dyDescent="0.4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45">
      <c r="C65" s="4"/>
      <c r="D65" s="1"/>
      <c r="K65" s="7"/>
      <c r="L65" s="7"/>
      <c r="M65" s="7"/>
      <c r="N65" s="7"/>
      <c r="O65" s="7"/>
    </row>
    <row r="66" spans="3:15" x14ac:dyDescent="0.4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4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ADFD7-2381-4930-9F2F-0ADE2F0C16C4}">
  <dimension ref="A1:Y67"/>
  <sheetViews>
    <sheetView topLeftCell="A36" zoomScale="85" zoomScaleNormal="85" workbookViewId="0">
      <selection activeCell="B44" sqref="B44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15" width="10.1328125" bestFit="1" customWidth="1"/>
    <col min="16" max="16" width="9" customWidth="1"/>
    <col min="17" max="17" width="12.3984375" bestFit="1" customWidth="1"/>
    <col min="18" max="18" width="14.3984375" bestFit="1" customWidth="1"/>
    <col min="19" max="19" width="8.59765625" bestFit="1" customWidth="1"/>
    <col min="20" max="20" width="20.265625" bestFit="1" customWidth="1"/>
    <col min="21" max="21" width="7.3984375" bestFit="1" customWidth="1"/>
    <col min="22" max="22" width="10.73046875" bestFit="1" customWidth="1"/>
    <col min="23" max="23" width="9.1328125" bestFit="1" customWidth="1"/>
    <col min="24" max="24" width="10.3984375" bestFit="1" customWidth="1"/>
    <col min="25" max="25" width="9.1328125" bestFit="1" customWidth="1"/>
  </cols>
  <sheetData>
    <row r="1" spans="1:25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45">
      <c r="A2" s="17" t="s">
        <v>1</v>
      </c>
      <c r="B2" s="31" t="s">
        <v>37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BILL US EQUITY</v>
      </c>
      <c r="R2" s="24">
        <f ca="1"/>
        <v>45747</v>
      </c>
      <c r="S2" s="25" t="str">
        <f ca="1"/>
        <v>canonical</v>
      </c>
      <c r="T2" s="26" t="str">
        <f ca="1"/>
        <v>revenue</v>
      </c>
      <c r="U2" s="27" t="str">
        <f ca="1"/>
        <v>358.217</v>
      </c>
      <c r="V2" s="28" t="str">
        <f ca="1"/>
        <v>0.108934829178895</v>
      </c>
      <c r="W2" s="29" t="str">
        <f ca="1"/>
        <v>-294.001525319643</v>
      </c>
      <c r="X2" s="28" t="str">
        <f ca="1"/>
        <v>-762.498124530697</v>
      </c>
      <c r="Y2" s="29" t="str">
        <f ca="1"/>
        <v>-0.0119623559524926</v>
      </c>
    </row>
    <row r="3" spans="1:25" x14ac:dyDescent="0.45">
      <c r="A3" s="18" t="s">
        <v>3</v>
      </c>
      <c r="B3" s="19">
        <f ca="1">+B4-365*3</f>
        <v>45001</v>
      </c>
      <c r="Q3" s="24" t="str">
        <f ca="1"/>
        <v>BILL US EQUITY</v>
      </c>
      <c r="R3" s="24">
        <f ca="1"/>
        <v>45838</v>
      </c>
      <c r="S3" s="25" t="str">
        <f ca="1"/>
        <v>canonical</v>
      </c>
      <c r="T3" s="26" t="str">
        <f ca="1"/>
        <v>revenue</v>
      </c>
      <c r="U3" s="27" t="str">
        <f ca="1"/>
        <v>383.349</v>
      </c>
      <c r="V3" s="28" t="str">
        <f ca="1"/>
        <v>0.115472916939461</v>
      </c>
      <c r="W3" s="29" t="str">
        <f ca="1"/>
        <v>65.3808776056675</v>
      </c>
      <c r="X3" s="29" t="str">
        <f ca="1"/>
        <v>-456.241730961151</v>
      </c>
      <c r="Y3" s="29" t="str">
        <f ca="1"/>
        <v>0.0701585910216433</v>
      </c>
    </row>
    <row r="4" spans="1:25" x14ac:dyDescent="0.45">
      <c r="A4" s="20" t="s">
        <v>2</v>
      </c>
      <c r="B4" s="21">
        <f ca="1">TODAY()</f>
        <v>46096</v>
      </c>
      <c r="Q4" s="24" t="str">
        <f ca="1"/>
        <v>BILL US EQUITY</v>
      </c>
      <c r="R4" s="24">
        <f ca="1"/>
        <v>45930</v>
      </c>
      <c r="S4" s="25" t="str">
        <f ca="1"/>
        <v>canonical</v>
      </c>
      <c r="T4" s="26" t="str">
        <f ca="1"/>
        <v>revenue</v>
      </c>
      <c r="U4" s="27" t="str">
        <f ca="1"/>
        <v>395.741</v>
      </c>
      <c r="V4" s="28" t="str">
        <f ca="1"/>
        <v>0.104034035430325</v>
      </c>
      <c r="W4" s="29" t="str">
        <f ca="1"/>
        <v>-114.388815091362</v>
      </c>
      <c r="X4" s="29" t="str">
        <f ca="1"/>
        <v>-712.696680305007</v>
      </c>
      <c r="Y4" s="29" t="str">
        <f ca="1"/>
        <v>0.0323256353870756</v>
      </c>
    </row>
    <row r="5" spans="1:25" x14ac:dyDescent="0.45">
      <c r="C5" s="13" t="s">
        <v>12</v>
      </c>
      <c r="D5" s="14">
        <f t="shared" ref="D5:O5" ca="1" si="0">EOMONTH(DATE(YEAR(D6),ROUNDUP(MONTH(D6)/3,0)*3,1),0)</f>
        <v>45016</v>
      </c>
      <c r="E5" s="14">
        <f t="shared" ca="1" si="0"/>
        <v>45107</v>
      </c>
      <c r="F5" s="14">
        <f t="shared" ca="1" si="0"/>
        <v>45199</v>
      </c>
      <c r="G5" s="14">
        <f t="shared" ca="1" si="0"/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t="shared" ca="1" si="0"/>
        <v>45747</v>
      </c>
      <c r="M5" s="14">
        <f t="shared" ca="1" si="0"/>
        <v>45838</v>
      </c>
      <c r="N5" s="14">
        <f t="shared" ca="1" si="0"/>
        <v>45930</v>
      </c>
      <c r="O5" s="14">
        <f t="shared" ca="1" si="0"/>
        <v>46022</v>
      </c>
      <c r="Q5" s="24" t="str">
        <f ca="1"/>
        <v>BILL US EQUITY</v>
      </c>
      <c r="R5" s="24">
        <f ca="1"/>
        <v>46022</v>
      </c>
      <c r="S5" s="25" t="str">
        <f ca="1"/>
        <v>canonical</v>
      </c>
      <c r="T5" s="26" t="str">
        <f ca="1"/>
        <v>revenue</v>
      </c>
      <c r="U5" s="27" t="str">
        <f ca="1"/>
        <v>414.671</v>
      </c>
      <c r="V5" s="28" t="str">
        <f ca="1"/>
        <v>0.143749620746151</v>
      </c>
      <c r="W5" s="29" t="str">
        <f ca="1"/>
        <v>397.15585315826</v>
      </c>
      <c r="X5" s="29" t="str">
        <f ca="1"/>
        <v>54.1463903529227</v>
      </c>
      <c r="Y5" s="29" t="str">
        <f ca="1"/>
        <v>0.0478343158783143</v>
      </c>
    </row>
    <row r="6" spans="1:25" x14ac:dyDescent="0.45">
      <c r="D6" s="15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BILL US EQUITY</v>
      </c>
      <c r="R6" s="24">
        <f ca="1"/>
        <v>45747</v>
      </c>
      <c r="S6" s="25" t="str">
        <f ca="1"/>
        <v>canonical</v>
      </c>
      <c r="T6" s="26" t="str">
        <f ca="1"/>
        <v>gross_margin_gaap</v>
      </c>
      <c r="U6" s="30" t="str">
        <f ca="1"/>
        <v>81.2371</v>
      </c>
      <c r="V6" s="29" t="str">
        <f ca="1"/>
        <v>-173.28</v>
      </c>
      <c r="W6" s="29" t="str">
        <f ca="1"/>
        <v/>
      </c>
      <c r="X6" s="29" t="str">
        <f ca="1"/>
        <v/>
      </c>
      <c r="Y6" s="29" t="str">
        <f ca="1"/>
        <v>-39.1000000000005</v>
      </c>
    </row>
    <row r="7" spans="1:25" x14ac:dyDescent="0.45">
      <c r="A7" s="16" t="s">
        <v>9</v>
      </c>
      <c r="B7" s="16" t="s">
        <v>8</v>
      </c>
      <c r="C7" s="9" t="s">
        <v>0</v>
      </c>
      <c r="D7" s="11">
        <f ca="1"/>
        <v>272.55500000000001</v>
      </c>
      <c r="E7" s="11">
        <f ca="1"/>
        <v>295.983</v>
      </c>
      <c r="F7" s="11">
        <f ca="1"/>
        <v>304.98500000000001</v>
      </c>
      <c r="G7" s="11">
        <f ca="1"/>
        <v>318.495</v>
      </c>
      <c r="H7" s="11">
        <f ca="1"/>
        <v>323.02800000000002</v>
      </c>
      <c r="I7" s="11">
        <f ca="1"/>
        <v>343.66500000000002</v>
      </c>
      <c r="J7" s="11">
        <f ca="1"/>
        <v>358.45</v>
      </c>
      <c r="K7" s="11">
        <f ca="1"/>
        <v>362.55399999999997</v>
      </c>
      <c r="L7" s="11">
        <f ca="1"/>
        <v>358.21699999999998</v>
      </c>
      <c r="M7" s="11">
        <f ca="1"/>
        <v>383.34899999999999</v>
      </c>
      <c r="N7" s="11">
        <f ca="1"/>
        <v>395.74099999999999</v>
      </c>
      <c r="O7" s="3">
        <f ca="1"/>
        <v>414.67099999999999</v>
      </c>
      <c r="P7" s="1"/>
      <c r="Q7" s="24" t="str">
        <f ca="1"/>
        <v>BILL US EQUITY</v>
      </c>
      <c r="R7" s="24">
        <f ca="1"/>
        <v>45838</v>
      </c>
      <c r="S7" s="25" t="str">
        <f ca="1"/>
        <v>canonical</v>
      </c>
      <c r="T7" s="26" t="str">
        <f ca="1"/>
        <v>gross_margin_gaap</v>
      </c>
      <c r="U7" s="30" t="str">
        <f ca="1"/>
        <v>80.8039</v>
      </c>
      <c r="V7" s="29" t="str">
        <f ca="1"/>
        <v>-22.4100000000007</v>
      </c>
      <c r="W7" s="29" t="str">
        <f ca="1"/>
        <v/>
      </c>
      <c r="X7" s="29" t="str">
        <f ca="1"/>
        <v/>
      </c>
      <c r="Y7" s="29" t="str">
        <f ca="1"/>
        <v>-43.3199999999999</v>
      </c>
    </row>
    <row r="8" spans="1:25" x14ac:dyDescent="0.45">
      <c r="C8" s="4" t="s">
        <v>4</v>
      </c>
      <c r="D8" s="5"/>
      <c r="E8" s="4"/>
      <c r="F8" s="4"/>
      <c r="G8" s="12"/>
      <c r="H8" s="12">
        <f t="shared" ref="H8:O8" ca="1" si="1">+H7/D7-1</f>
        <v>0.18518464163196424</v>
      </c>
      <c r="I8" s="12">
        <f t="shared" ca="1" si="1"/>
        <v>0.16109709003557637</v>
      </c>
      <c r="J8" s="12">
        <f t="shared" ca="1" si="1"/>
        <v>0.1753037034608258</v>
      </c>
      <c r="K8" s="12">
        <f t="shared" ca="1" si="1"/>
        <v>0.13833498171085878</v>
      </c>
      <c r="L8" s="12">
        <f t="shared" ca="1" si="1"/>
        <v>0.10893482917889452</v>
      </c>
      <c r="M8" s="12">
        <f t="shared" ca="1" si="1"/>
        <v>0.11547291693946127</v>
      </c>
      <c r="N8" s="12">
        <f t="shared" ca="1" si="1"/>
        <v>0.10403403543032508</v>
      </c>
      <c r="O8" s="12">
        <f t="shared" ca="1" si="1"/>
        <v>0.14374962074615105</v>
      </c>
      <c r="P8" s="3"/>
      <c r="Q8" s="24" t="str">
        <f ca="1"/>
        <v>BILL US EQUITY</v>
      </c>
      <c r="R8" s="24">
        <f ca="1"/>
        <v>45930</v>
      </c>
      <c r="S8" s="25" t="str">
        <f ca="1"/>
        <v>canonical</v>
      </c>
      <c r="T8" s="26" t="str">
        <f ca="1"/>
        <v>gross_margin_gaap</v>
      </c>
      <c r="U8" s="30" t="str">
        <f ca="1"/>
        <v>80.5421</v>
      </c>
      <c r="V8" s="29" t="str">
        <f ca="1"/>
        <v>-140.91</v>
      </c>
      <c r="W8" s="29" t="str">
        <f ca="1"/>
        <v/>
      </c>
      <c r="X8" s="29" t="str">
        <f ca="1"/>
        <v/>
      </c>
      <c r="Y8" s="29" t="str">
        <f ca="1"/>
        <v>-26.1799999999994</v>
      </c>
    </row>
    <row r="9" spans="1:25" x14ac:dyDescent="0.45">
      <c r="C9" s="4" t="s">
        <v>19</v>
      </c>
      <c r="D9" s="1"/>
      <c r="L9" s="7">
        <f ca="1">(L8-K8)*10000</f>
        <v>-294.00152531964261</v>
      </c>
      <c r="M9" s="7">
        <f ca="1">(M8-L8)*10000</f>
        <v>65.380877605667465</v>
      </c>
      <c r="N9" s="7">
        <f ca="1">(N8-M8)*10000</f>
        <v>-114.38881509136189</v>
      </c>
      <c r="O9" s="7">
        <f ca="1">(O8-N8)*10000</f>
        <v>397.15585315825973</v>
      </c>
      <c r="Q9" s="22" t="str">
        <f ca="1"/>
        <v>BILL US EQUITY</v>
      </c>
      <c r="R9" s="24">
        <f ca="1"/>
        <v>46022</v>
      </c>
      <c r="S9" s="25" t="str">
        <f ca="1"/>
        <v>canonical</v>
      </c>
      <c r="T9" s="26" t="str">
        <f ca="1"/>
        <v>gross_margin_gaap</v>
      </c>
      <c r="U9" s="30" t="str">
        <f ca="1"/>
        <v>79.8423</v>
      </c>
      <c r="V9" s="29" t="str">
        <f ca="1"/>
        <v>-178.580000000001</v>
      </c>
      <c r="W9" s="29" t="str">
        <f ca="1"/>
        <v/>
      </c>
      <c r="X9" s="29" t="str">
        <f ca="1"/>
        <v/>
      </c>
      <c r="Y9" s="29" t="str">
        <f ca="1"/>
        <v>-69.980000000001</v>
      </c>
    </row>
    <row r="10" spans="1:25" x14ac:dyDescent="0.4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-762.49812453069717</v>
      </c>
      <c r="M10" s="7">
        <f ca="1">(M8-I8)*10000</f>
        <v>-456.24173096115106</v>
      </c>
      <c r="N10" s="7">
        <f ca="1">(N8-J8)*10000</f>
        <v>-712.69668030500725</v>
      </c>
      <c r="O10" s="7">
        <f ca="1">(O8-K8)*10000</f>
        <v>54.14639035292268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BILL US EQUITY</v>
      </c>
      <c r="R10" s="24">
        <f ca="1"/>
        <v>45747</v>
      </c>
      <c r="S10" s="25" t="str">
        <f ca="1"/>
        <v>canonical</v>
      </c>
      <c r="T10" s="26" t="str">
        <f ca="1"/>
        <v>operating_margin_gaap</v>
      </c>
      <c r="U10" s="30" t="str">
        <f ca="1"/>
        <v>-8.0806</v>
      </c>
      <c r="V10" s="29" t="str">
        <f ca="1"/>
        <v>47.04</v>
      </c>
      <c r="W10" s="29" t="str">
        <f ca="1"/>
        <v/>
      </c>
      <c r="X10" s="29" t="str">
        <f ca="1"/>
        <v/>
      </c>
      <c r="Y10" s="29" t="str">
        <f ca="1"/>
        <v>-209.25</v>
      </c>
    </row>
    <row r="11" spans="1:25" x14ac:dyDescent="0.45">
      <c r="C11" s="4" t="s">
        <v>5</v>
      </c>
      <c r="D11" s="1"/>
      <c r="L11" s="12">
        <f ca="1">L7/K7-1</f>
        <v>-1.196235595249262E-2</v>
      </c>
      <c r="M11" s="12">
        <f ca="1">M7/L7-1</f>
        <v>7.0158591021643346E-2</v>
      </c>
      <c r="N11" s="12">
        <f ca="1">N7/M7-1</f>
        <v>3.2325635387075558E-2</v>
      </c>
      <c r="O11" s="12">
        <f ca="1">O7/N7-1</f>
        <v>4.7834315878314326E-2</v>
      </c>
      <c r="Q11" s="24" t="str">
        <f ca="1"/>
        <v>BILL US EQUITY</v>
      </c>
      <c r="R11" s="24">
        <f ca="1"/>
        <v>45838</v>
      </c>
      <c r="S11" s="25" t="str">
        <f ca="1"/>
        <v>canonical</v>
      </c>
      <c r="T11" s="26" t="str">
        <f ca="1"/>
        <v>operating_margin_gaap</v>
      </c>
      <c r="U11" s="30" t="str">
        <f ca="1"/>
        <v>-5.8041</v>
      </c>
      <c r="V11" s="29" t="str">
        <f ca="1"/>
        <v>66.24</v>
      </c>
      <c r="W11" s="29" t="str">
        <f ca="1"/>
        <v/>
      </c>
      <c r="X11" s="29" t="str">
        <f ca="1"/>
        <v/>
      </c>
      <c r="Y11" s="29" t="str">
        <f ca="1"/>
        <v>227.65</v>
      </c>
    </row>
    <row r="12" spans="1:25" x14ac:dyDescent="0.45">
      <c r="Q12" s="24" t="str">
        <f ca="1"/>
        <v>BILL US EQUITY</v>
      </c>
      <c r="R12" s="24">
        <f ca="1"/>
        <v>45930</v>
      </c>
      <c r="S12" s="25" t="str">
        <f ca="1"/>
        <v>canonical</v>
      </c>
      <c r="T12" s="26" t="str">
        <f ca="1"/>
        <v>operating_margin_gaap</v>
      </c>
      <c r="U12" s="30" t="str">
        <f ca="1"/>
        <v>-5.2355</v>
      </c>
      <c r="V12" s="29" t="str">
        <f ca="1"/>
        <v>-308.79</v>
      </c>
      <c r="W12" s="29" t="str">
        <f ca="1"/>
        <v/>
      </c>
      <c r="X12" s="29" t="str">
        <f ca="1"/>
        <v/>
      </c>
      <c r="Y12" s="29" t="str">
        <f ca="1"/>
        <v>56.86</v>
      </c>
    </row>
    <row r="13" spans="1:25" x14ac:dyDescent="0.45">
      <c r="C13" s="13" t="s">
        <v>12</v>
      </c>
      <c r="D13" s="14">
        <f t="shared" ref="D13:O13" ca="1" si="2">EOMONTH(DATE(YEAR(D14),ROUNDUP(MONTH(D14)/3,0)*3,1),0)</f>
        <v>45016</v>
      </c>
      <c r="E13" s="14">
        <f t="shared" ca="1" si="2"/>
        <v>45107</v>
      </c>
      <c r="F13" s="14">
        <f t="shared" ca="1" si="2"/>
        <v>45199</v>
      </c>
      <c r="G13" s="14">
        <f t="shared" ca="1" si="2"/>
        <v>45291</v>
      </c>
      <c r="H13" s="14">
        <f t="shared" ca="1" si="2"/>
        <v>45382</v>
      </c>
      <c r="I13" s="14">
        <f t="shared" ca="1" si="2"/>
        <v>45473</v>
      </c>
      <c r="J13" s="14">
        <f t="shared" ca="1" si="2"/>
        <v>45565</v>
      </c>
      <c r="K13" s="14">
        <f t="shared" ca="1" si="2"/>
        <v>45657</v>
      </c>
      <c r="L13" s="14">
        <f t="shared" ca="1" si="2"/>
        <v>45747</v>
      </c>
      <c r="M13" s="14">
        <f t="shared" ca="1" si="2"/>
        <v>45838</v>
      </c>
      <c r="N13" s="14">
        <f t="shared" ca="1" si="2"/>
        <v>45930</v>
      </c>
      <c r="O13" s="14">
        <f t="shared" ca="1" si="2"/>
        <v>46022</v>
      </c>
      <c r="Q13" s="24" t="str">
        <f ca="1"/>
        <v>BILL US EQUITY</v>
      </c>
      <c r="R13" s="24">
        <f ca="1"/>
        <v>46022</v>
      </c>
      <c r="S13" s="25" t="str">
        <f ca="1"/>
        <v>canonical</v>
      </c>
      <c r="T13" s="26" t="str">
        <f ca="1"/>
        <v>operating_margin_gaap</v>
      </c>
      <c r="U13" s="30" t="str">
        <f ca="1"/>
        <v>-4.3591</v>
      </c>
      <c r="V13" s="29" t="str">
        <f ca="1"/>
        <v>162.9</v>
      </c>
      <c r="W13" s="29" t="str">
        <f ca="1"/>
        <v/>
      </c>
      <c r="X13" s="29" t="str">
        <f ca="1"/>
        <v/>
      </c>
      <c r="Y13" s="29" t="str">
        <f ca="1"/>
        <v>87.64</v>
      </c>
    </row>
    <row r="14" spans="1:25" x14ac:dyDescent="0.4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BILL US EQUITY</v>
      </c>
      <c r="R14" s="24">
        <v>45747</v>
      </c>
      <c r="S14" s="25" t="str">
        <v>custom</v>
      </c>
      <c r="T14" s="26" t="str">
        <v>customers</v>
      </c>
      <c r="U14" s="30" t="str">
        <v>488500</v>
      </c>
      <c r="V14" s="29" t="str">
        <v>0.0507636050763605</v>
      </c>
      <c r="W14" s="29" t="str">
        <v>342.90532214692</v>
      </c>
      <c r="X14" s="29" t="str">
        <v>294.542904893658</v>
      </c>
      <c r="Y14" s="29" t="str">
        <v>0.0149594847288594</v>
      </c>
    </row>
    <row r="15" spans="1:25" x14ac:dyDescent="0.45">
      <c r="A15" s="16" t="s">
        <v>9</v>
      </c>
      <c r="B15" s="16" t="s">
        <v>14</v>
      </c>
      <c r="C15" s="9" t="s">
        <v>6</v>
      </c>
      <c r="D15" s="3">
        <f ca="1"/>
        <v>82.076999999999998</v>
      </c>
      <c r="E15" s="3">
        <f ca="1"/>
        <v>82.244900000000001</v>
      </c>
      <c r="F15" s="3">
        <f ca="1"/>
        <v>81.629900000000006</v>
      </c>
      <c r="G15" s="3">
        <f ca="1"/>
        <v>81.671000000000006</v>
      </c>
      <c r="H15" s="3">
        <f ca="1"/>
        <v>82.969899999999996</v>
      </c>
      <c r="I15" s="3">
        <f ca="1"/>
        <v>81.028000000000006</v>
      </c>
      <c r="J15" s="3">
        <f ca="1"/>
        <v>81.9512</v>
      </c>
      <c r="K15" s="3">
        <f ca="1"/>
        <v>81.628100000000003</v>
      </c>
      <c r="L15" s="3">
        <f ca="1"/>
        <v>81.237099999999998</v>
      </c>
      <c r="M15" s="3">
        <f ca="1"/>
        <v>80.803899999999999</v>
      </c>
      <c r="N15" s="3">
        <f ca="1"/>
        <v>80.542100000000005</v>
      </c>
      <c r="O15">
        <f ca="1"/>
        <v>79.842299999999994</v>
      </c>
      <c r="Q15" s="24" t="str">
        <v>BILL US EQUITY</v>
      </c>
      <c r="R15" s="24">
        <v>45838</v>
      </c>
      <c r="S15" s="25" t="str">
        <v>custom</v>
      </c>
      <c r="T15" s="26" t="str">
        <v>customers</v>
      </c>
      <c r="U15" s="30" t="str">
        <v>493800</v>
      </c>
      <c r="V15" s="29" t="str">
        <v>0.0406743940990517</v>
      </c>
      <c r="W15" s="29" t="str">
        <v>-100.892109773087</v>
      </c>
      <c r="X15" s="29" t="str">
        <v>113.902292400496</v>
      </c>
      <c r="Y15" s="29" t="str">
        <v>0.0108495394063459</v>
      </c>
    </row>
    <row r="16" spans="1:25" x14ac:dyDescent="0.45">
      <c r="C16" s="4" t="s">
        <v>4</v>
      </c>
      <c r="D16" s="5"/>
      <c r="E16" s="4"/>
      <c r="F16" s="4"/>
      <c r="G16" s="4"/>
      <c r="H16" s="7">
        <f t="shared" ref="H16:O16" ca="1" si="3">(H15-D15)*100</f>
        <v>89.289999999999736</v>
      </c>
      <c r="I16" s="7">
        <f t="shared" ca="1" si="3"/>
        <v>-121.68999999999954</v>
      </c>
      <c r="J16" s="7">
        <f t="shared" ca="1" si="3"/>
        <v>32.12999999999937</v>
      </c>
      <c r="K16" s="7">
        <f t="shared" ca="1" si="3"/>
        <v>-4.2900000000003047</v>
      </c>
      <c r="L16" s="7">
        <f t="shared" ca="1" si="3"/>
        <v>-173.27999999999975</v>
      </c>
      <c r="M16" s="7">
        <f t="shared" ca="1" si="3"/>
        <v>-22.410000000000707</v>
      </c>
      <c r="N16" s="7">
        <f t="shared" ca="1" si="3"/>
        <v>-140.90999999999951</v>
      </c>
      <c r="O16" s="7">
        <f t="shared" ca="1" si="3"/>
        <v>-178.58000000000089</v>
      </c>
      <c r="Q16" s="24" t="str">
        <v>BILL US EQUITY</v>
      </c>
      <c r="R16" s="24">
        <v>45930</v>
      </c>
      <c r="S16" s="25" t="str">
        <v>custom</v>
      </c>
      <c r="T16" s="26" t="str">
        <v>customers</v>
      </c>
      <c r="U16" s="30" t="str">
        <v>498500</v>
      </c>
      <c r="V16" s="29" t="str">
        <v>0.0468290634187316</v>
      </c>
      <c r="W16" s="29" t="str">
        <v>61.546693196799</v>
      </c>
      <c r="X16" s="29" t="str">
        <v>362.178579857944</v>
      </c>
      <c r="Y16" s="29" t="str">
        <v>0.00951802349129194</v>
      </c>
    </row>
    <row r="17" spans="1:25" x14ac:dyDescent="0.45">
      <c r="C17" s="4" t="s">
        <v>19</v>
      </c>
      <c r="D17" s="1"/>
      <c r="K17" s="7"/>
      <c r="L17" s="7"/>
      <c r="M17" s="7"/>
      <c r="N17" s="7"/>
      <c r="O17" s="7"/>
      <c r="Q17" s="24" t="str">
        <v>BILL US EQUITY</v>
      </c>
      <c r="R17" s="24">
        <v>46022</v>
      </c>
      <c r="S17" s="25" t="str">
        <v>custom</v>
      </c>
      <c r="T17" s="26" t="str">
        <v>customers</v>
      </c>
      <c r="U17" s="30" t="str">
        <v>498500</v>
      </c>
      <c r="V17" s="29" t="str">
        <v>0.035736546852275</v>
      </c>
      <c r="W17" s="29" t="str">
        <v>-110.925165664566</v>
      </c>
      <c r="X17" s="29" t="str">
        <v>192.634739906066</v>
      </c>
      <c r="Y17" s="29" t="str">
        <v>0</v>
      </c>
    </row>
    <row r="18" spans="1:25" x14ac:dyDescent="0.4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BILL US EQUITY</v>
      </c>
      <c r="R18" s="24">
        <v>45747</v>
      </c>
      <c r="S18" s="25" t="str">
        <v>custom</v>
      </c>
      <c r="T18" s="26" t="str">
        <v>payment_volume_in_b</v>
      </c>
      <c r="U18" s="30" t="str">
        <v>79.3</v>
      </c>
      <c r="V18" s="29" t="str">
        <v>0.109090909090909</v>
      </c>
      <c r="W18" s="29" t="str">
        <v>-190.79985435126</v>
      </c>
      <c r="X18" s="29" t="str">
        <v>39.9044541239291</v>
      </c>
      <c r="Y18" s="29" t="str">
        <v>-0.0615384615384618</v>
      </c>
    </row>
    <row r="19" spans="1:25" x14ac:dyDescent="0.45">
      <c r="C19" s="4" t="s">
        <v>5</v>
      </c>
      <c r="D19" s="1"/>
      <c r="K19" s="7"/>
      <c r="L19" s="7">
        <f ca="1">(L15-K15)*100</f>
        <v>-39.100000000000534</v>
      </c>
      <c r="M19" s="7">
        <f ca="1">(M15-L15)*100</f>
        <v>-43.319999999999936</v>
      </c>
      <c r="N19" s="7">
        <f ca="1">(N15-M15)*100</f>
        <v>-26.179999999999382</v>
      </c>
      <c r="O19" s="7">
        <f ca="1">(O15-N15)*100</f>
        <v>-69.980000000001041</v>
      </c>
      <c r="Q19" s="24" t="str">
        <v>BILL US EQUITY</v>
      </c>
      <c r="R19" s="24">
        <v>45838</v>
      </c>
      <c r="S19" s="25" t="str">
        <v>custom</v>
      </c>
      <c r="T19" s="26" t="str">
        <v>payment_volume_in_b</v>
      </c>
      <c r="U19" s="30" t="str">
        <v>86.2</v>
      </c>
      <c r="V19" s="29" t="str">
        <v>0.13570487483531</v>
      </c>
      <c r="W19" s="29" t="str">
        <v>266.139657444004</v>
      </c>
      <c r="X19" s="29" t="str">
        <v>388.840655867546</v>
      </c>
      <c r="Y19" s="29" t="str">
        <v>0.0870113493064313</v>
      </c>
    </row>
    <row r="20" spans="1:25" x14ac:dyDescent="0.45">
      <c r="Q20" s="24" t="str">
        <v>BILL US EQUITY</v>
      </c>
      <c r="R20" s="24">
        <v>45930</v>
      </c>
      <c r="S20" s="25" t="str">
        <v>custom</v>
      </c>
      <c r="T20" s="26" t="str">
        <v>payment_volume_in_b</v>
      </c>
      <c r="U20" s="30" t="str">
        <v>89.3</v>
      </c>
      <c r="V20" s="29" t="str">
        <v>0.11764705882353</v>
      </c>
      <c r="W20" s="29" t="str">
        <v>-180.578160117799</v>
      </c>
      <c r="X20" s="29" t="str">
        <v>-221.53226483175</v>
      </c>
      <c r="Y20" s="29" t="str">
        <v>0.0359628770301625</v>
      </c>
    </row>
    <row r="21" spans="1:25" x14ac:dyDescent="0.45">
      <c r="C21" s="13" t="s">
        <v>12</v>
      </c>
      <c r="D21" s="14">
        <f t="shared" ref="D21:O21" ca="1" si="4">EOMONTH(DATE(YEAR(D22),ROUNDUP(MONTH(D22)/3,0)*3,1),0)</f>
        <v>45016</v>
      </c>
      <c r="E21" s="14">
        <f t="shared" ca="1" si="4"/>
        <v>45107</v>
      </c>
      <c r="F21" s="14">
        <f t="shared" ca="1" si="4"/>
        <v>45199</v>
      </c>
      <c r="G21" s="14">
        <f t="shared" ca="1" si="4"/>
        <v>45291</v>
      </c>
      <c r="H21" s="14">
        <f t="shared" ca="1" si="4"/>
        <v>45382</v>
      </c>
      <c r="I21" s="14">
        <f t="shared" ca="1" si="4"/>
        <v>45473</v>
      </c>
      <c r="J21" s="14">
        <f t="shared" ca="1" si="4"/>
        <v>45565</v>
      </c>
      <c r="K21" s="14">
        <f t="shared" ca="1" si="4"/>
        <v>45657</v>
      </c>
      <c r="L21" s="14">
        <f t="shared" ca="1" si="4"/>
        <v>45747</v>
      </c>
      <c r="M21" s="14">
        <f t="shared" ca="1" si="4"/>
        <v>45838</v>
      </c>
      <c r="N21" s="14">
        <f t="shared" ca="1" si="4"/>
        <v>45930</v>
      </c>
      <c r="O21" s="14">
        <f t="shared" ca="1" si="4"/>
        <v>46022</v>
      </c>
      <c r="Q21" s="24" t="str">
        <v>BILL US EQUITY</v>
      </c>
      <c r="R21" s="24">
        <v>46022</v>
      </c>
      <c r="S21" s="25" t="str">
        <v>custom</v>
      </c>
      <c r="T21" s="26" t="str">
        <v>payment_volume_in_b</v>
      </c>
      <c r="U21" s="30" t="str">
        <v>95.1</v>
      </c>
      <c r="V21" s="29" t="str">
        <v>0.125443786982248</v>
      </c>
      <c r="W21" s="29" t="str">
        <v>77.9672815871879</v>
      </c>
      <c r="X21" s="29" t="str">
        <v>-27.2710754378669</v>
      </c>
      <c r="Y21" s="29" t="str">
        <v>0.0649496080627099</v>
      </c>
    </row>
    <row r="22" spans="1:25" x14ac:dyDescent="0.45">
      <c r="D22" s="1" cm="1">
        <f t="array" aca="1" ref="D22:O23" ca="1">+_xll.BDH($B$2,C23,$B$3,$B$4,"DIR=H")</f>
        <v>45016</v>
      </c>
      <c r="E22" s="1">
        <f ca="1"/>
        <v>45107</v>
      </c>
      <c r="F22" s="1">
        <f ca="1"/>
        <v>45199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45565</v>
      </c>
      <c r="K22" s="1">
        <f ca="1"/>
        <v>45657</v>
      </c>
      <c r="L22" s="1">
        <f ca="1"/>
        <v>45747</v>
      </c>
      <c r="M22" s="1">
        <f ca="1"/>
        <v>45838</v>
      </c>
      <c r="N22" s="1">
        <f ca="1"/>
        <v>45930</v>
      </c>
      <c r="O22" s="1">
        <f ca="1"/>
        <v>46022</v>
      </c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BILL US EQUITY</v>
      </c>
      <c r="R22" s="24">
        <v>45747</v>
      </c>
      <c r="S22" s="25" t="str">
        <v>custom</v>
      </c>
      <c r="T22" s="26" t="str">
        <v>subscription_revenue</v>
      </c>
      <c r="U22" s="27" t="str">
        <v>68115</v>
      </c>
      <c r="V22" s="28" t="str">
        <v>0.0383384146341463</v>
      </c>
      <c r="W22" s="29" t="str">
        <v>-298.161594983457</v>
      </c>
      <c r="X22" s="28" t="str">
        <v>548.301687570849</v>
      </c>
      <c r="Y22" s="29" t="str">
        <v>0.00581798851168758</v>
      </c>
    </row>
    <row r="23" spans="1:25" x14ac:dyDescent="0.45">
      <c r="A23" s="16" t="s">
        <v>9</v>
      </c>
      <c r="B23" s="16" t="s">
        <v>15</v>
      </c>
      <c r="C23" s="9" t="s">
        <v>7</v>
      </c>
      <c r="D23" s="3">
        <f ca="1"/>
        <v>-19.892499999999998</v>
      </c>
      <c r="E23" s="3">
        <f ca="1"/>
        <v>-13.986599999999999</v>
      </c>
      <c r="F23" s="3">
        <f ca="1"/>
        <v>-18.573699999999999</v>
      </c>
      <c r="G23" s="3">
        <f ca="1"/>
        <v>-21.248100000000001</v>
      </c>
      <c r="H23" s="3">
        <f ca="1"/>
        <v>-8.5510000000000002</v>
      </c>
      <c r="I23" s="3">
        <f ca="1"/>
        <v>-6.4664999999999999</v>
      </c>
      <c r="J23" s="3">
        <f ca="1"/>
        <v>-2.1476000000000002</v>
      </c>
      <c r="K23" s="3">
        <f ca="1"/>
        <v>-5.9881000000000002</v>
      </c>
      <c r="L23" s="3">
        <f ca="1"/>
        <v>-8.0806000000000004</v>
      </c>
      <c r="M23" s="3">
        <f ca="1"/>
        <v>-5.8041</v>
      </c>
      <c r="N23" s="3">
        <f ca="1"/>
        <v>-5.2355</v>
      </c>
      <c r="O23">
        <f ca="1"/>
        <v>-4.3590999999999998</v>
      </c>
      <c r="Q23" s="24" t="str">
        <v>BILL US EQUITY</v>
      </c>
      <c r="R23" s="24">
        <v>45838</v>
      </c>
      <c r="S23" s="25" t="str">
        <v>custom</v>
      </c>
      <c r="T23" s="26" t="str">
        <v>subscription_revenue</v>
      </c>
      <c r="U23" s="27" t="str">
        <v>68787</v>
      </c>
      <c r="V23" s="28" t="str">
        <v>0.0453951367781156</v>
      </c>
      <c r="W23" s="29" t="str">
        <v>70.5672214396924</v>
      </c>
      <c r="X23" s="28" t="str">
        <v>618.375881981454</v>
      </c>
      <c r="Y23" s="29" t="str">
        <v>0.00986566835498781</v>
      </c>
    </row>
    <row r="24" spans="1:25" x14ac:dyDescent="0.45">
      <c r="C24" s="4" t="s">
        <v>4</v>
      </c>
      <c r="D24" s="5"/>
      <c r="E24" s="4"/>
      <c r="F24" s="4"/>
      <c r="G24" s="4"/>
      <c r="H24" s="7">
        <f t="shared" ref="H24:O24" ca="1" si="5">(H23-D23)*100</f>
        <v>1134.1499999999999</v>
      </c>
      <c r="I24" s="7">
        <f t="shared" ca="1" si="5"/>
        <v>752.01</v>
      </c>
      <c r="J24" s="7">
        <f t="shared" ca="1" si="5"/>
        <v>1642.61</v>
      </c>
      <c r="K24" s="7">
        <f t="shared" ca="1" si="5"/>
        <v>1526.0000000000002</v>
      </c>
      <c r="L24" s="7">
        <f t="shared" ca="1" si="5"/>
        <v>47.039999999999971</v>
      </c>
      <c r="M24" s="7">
        <f t="shared" ca="1" si="5"/>
        <v>66.239999999999981</v>
      </c>
      <c r="N24" s="7">
        <f t="shared" ca="1" si="5"/>
        <v>-308.78999999999996</v>
      </c>
      <c r="O24" s="7">
        <f t="shared" ca="1" si="5"/>
        <v>162.90000000000003</v>
      </c>
      <c r="Q24" s="24" t="str">
        <v>BILL US EQUITY</v>
      </c>
      <c r="R24" s="24">
        <v>45930</v>
      </c>
      <c r="S24" s="25" t="str">
        <v>custom</v>
      </c>
      <c r="T24" s="26" t="str">
        <v>subscription_revenue</v>
      </c>
      <c r="U24" s="27" t="str">
        <v>70823</v>
      </c>
      <c r="V24" s="28" t="str">
        <v>0.0510514521466838</v>
      </c>
      <c r="W24" s="29" t="str">
        <v>56.5631536856825</v>
      </c>
      <c r="X24" s="28" t="str">
        <v>-288.043170840855</v>
      </c>
      <c r="Y24" s="29" t="str">
        <v>0.0295986160175614</v>
      </c>
    </row>
    <row r="25" spans="1:25" x14ac:dyDescent="0.45">
      <c r="C25" s="4" t="s">
        <v>19</v>
      </c>
      <c r="D25" s="1"/>
      <c r="K25" s="7"/>
      <c r="L25" s="7"/>
      <c r="M25" s="7"/>
      <c r="N25" s="7"/>
      <c r="O25" s="7"/>
      <c r="Q25" s="24" t="str">
        <v>BILL US EQUITY</v>
      </c>
      <c r="R25" s="24">
        <v>46022</v>
      </c>
      <c r="S25" s="25" t="str">
        <v>custom</v>
      </c>
      <c r="T25" s="26" t="str">
        <v>subscription_revenue</v>
      </c>
      <c r="U25" s="27" t="str">
        <v>72100</v>
      </c>
      <c r="V25" s="28" t="str">
        <v>0.0646623647022342</v>
      </c>
      <c r="W25" s="29" t="str">
        <v>136.109125555504</v>
      </c>
      <c r="X25" s="28" t="str">
        <v>-34.9220943025785</v>
      </c>
      <c r="Y25" s="29" t="str">
        <v>0.0180308656792285</v>
      </c>
    </row>
    <row r="26" spans="1:25" x14ac:dyDescent="0.4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BILL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45">
      <c r="C27" s="4" t="s">
        <v>5</v>
      </c>
      <c r="D27" s="1"/>
      <c r="K27" s="7"/>
      <c r="L27" s="7">
        <f ca="1">(L23-K23)*100</f>
        <v>-209.25000000000003</v>
      </c>
      <c r="M27" s="7">
        <f ca="1">(M23-L23)*100</f>
        <v>227.65000000000003</v>
      </c>
      <c r="N27" s="7">
        <f ca="1">(N23-M23)*100</f>
        <v>56.86</v>
      </c>
      <c r="O27" s="7">
        <f ca="1">(O23-N23)*100</f>
        <v>87.640000000000029</v>
      </c>
      <c r="Q27" s="24" t="str">
        <v>BILL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45">
      <c r="C28" s="4"/>
      <c r="D28" s="1"/>
      <c r="K28" s="7"/>
      <c r="L28" s="7"/>
      <c r="M28" s="7"/>
      <c r="N28" s="7"/>
      <c r="O28" s="7"/>
      <c r="Q28" s="24" t="str">
        <v>BILL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45">
      <c r="C29" s="13" t="s">
        <v>12</v>
      </c>
      <c r="D29" s="14">
        <f t="shared" ref="D29:L29" si="6">EOMONTH(DATE(YEAR(D30),ROUNDUP(MONTH(D30)/3,0)*3,1),0)</f>
        <v>45016</v>
      </c>
      <c r="E29" s="14">
        <f t="shared" si="6"/>
        <v>45107</v>
      </c>
      <c r="F29" s="14">
        <f t="shared" si="6"/>
        <v>45199</v>
      </c>
      <c r="G29" s="14">
        <f t="shared" si="6"/>
        <v>45291</v>
      </c>
      <c r="H29" s="14">
        <f t="shared" si="6"/>
        <v>45382</v>
      </c>
      <c r="I29" s="14">
        <f t="shared" si="6"/>
        <v>45473</v>
      </c>
      <c r="J29" s="14">
        <f t="shared" si="6"/>
        <v>45565</v>
      </c>
      <c r="K29" s="14">
        <f t="shared" si="6"/>
        <v>45657</v>
      </c>
      <c r="L29" s="14">
        <f t="shared" si="6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BILL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45">
      <c r="D30" s="2">
        <v>45016</v>
      </c>
      <c r="E30" s="2">
        <v>45107</v>
      </c>
      <c r="F30" s="2">
        <v>45199</v>
      </c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BILL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45">
      <c r="A31" s="16" t="s">
        <v>21</v>
      </c>
      <c r="B31" s="16" t="s">
        <v>38</v>
      </c>
      <c r="C31" s="2" t="s">
        <v>39</v>
      </c>
      <c r="D31" s="32">
        <v>455200</v>
      </c>
      <c r="E31" s="32">
        <v>461000</v>
      </c>
      <c r="F31" s="32">
        <v>471200</v>
      </c>
      <c r="G31" s="32">
        <v>473500</v>
      </c>
      <c r="H31" s="32">
        <v>464900</v>
      </c>
      <c r="I31" s="32">
        <v>474500</v>
      </c>
      <c r="J31" s="32">
        <v>476200</v>
      </c>
      <c r="K31" s="32">
        <v>481300</v>
      </c>
      <c r="L31" s="32">
        <v>488500</v>
      </c>
      <c r="M31" s="32">
        <v>493800</v>
      </c>
      <c r="N31" s="32">
        <v>498500</v>
      </c>
      <c r="O31" s="32">
        <v>498500</v>
      </c>
      <c r="Q31" s="24" t="str">
        <v>BILL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45">
      <c r="C32" s="4" t="s">
        <v>4</v>
      </c>
      <c r="D32" s="5"/>
      <c r="E32" s="4"/>
      <c r="F32" s="4"/>
      <c r="G32" s="12"/>
      <c r="H32" s="12">
        <f t="shared" ref="H32:O32" si="7">+H31/D31-1</f>
        <v>2.1309314586994699E-2</v>
      </c>
      <c r="I32" s="12">
        <f t="shared" si="7"/>
        <v>2.9284164859002093E-2</v>
      </c>
      <c r="J32" s="12">
        <f t="shared" si="7"/>
        <v>1.0611205432937254E-2</v>
      </c>
      <c r="K32" s="12">
        <f t="shared" si="7"/>
        <v>1.6473072861668436E-2</v>
      </c>
      <c r="L32" s="12">
        <f t="shared" si="7"/>
        <v>5.0763605076360463E-2</v>
      </c>
      <c r="M32" s="12">
        <f t="shared" si="7"/>
        <v>4.0674394099051714E-2</v>
      </c>
      <c r="N32" s="12">
        <f t="shared" si="7"/>
        <v>4.6829063418731609E-2</v>
      </c>
      <c r="O32" s="12">
        <f t="shared" si="7"/>
        <v>3.5736546852275008E-2</v>
      </c>
      <c r="Q32" s="24" t="str">
        <v>BILL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45">
      <c r="C33" s="4" t="s">
        <v>19</v>
      </c>
      <c r="D33" s="1"/>
      <c r="L33" s="7">
        <f>(L32-K32)*10000</f>
        <v>342.90532214692024</v>
      </c>
      <c r="M33" s="7">
        <f>(M32-L32)*10000</f>
        <v>-100.8921097730875</v>
      </c>
      <c r="N33" s="7">
        <f>(N32-M32)*10000</f>
        <v>61.546693196798955</v>
      </c>
      <c r="O33" s="7">
        <f>(O32-N32)*10000</f>
        <v>-110.92516566456601</v>
      </c>
      <c r="Q33" s="24" t="str">
        <v>BILL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45">
      <c r="C34" s="4" t="s">
        <v>23</v>
      </c>
      <c r="D34" s="1"/>
      <c r="E34" s="6"/>
      <c r="F34" s="6"/>
      <c r="G34" s="6"/>
      <c r="H34" s="6"/>
      <c r="I34" s="6"/>
      <c r="J34" s="6"/>
      <c r="K34" s="6"/>
      <c r="L34" s="7">
        <f>(L32-H32)*10000</f>
        <v>294.54290489365764</v>
      </c>
      <c r="M34" s="7">
        <f>(M32-I32)*10000</f>
        <v>113.90229240049621</v>
      </c>
      <c r="N34" s="7">
        <f>(N32-J32)*10000</f>
        <v>362.17857985794353</v>
      </c>
      <c r="O34" s="7">
        <f>(O32-K32)*10000</f>
        <v>192.63473990606573</v>
      </c>
    </row>
    <row r="35" spans="1:25" x14ac:dyDescent="0.45">
      <c r="C35" s="4" t="s">
        <v>5</v>
      </c>
      <c r="D35" s="1"/>
      <c r="L35" s="12">
        <f>L31/K31-1</f>
        <v>1.495948472885944E-2</v>
      </c>
      <c r="M35" s="12">
        <f>M31/L31-1</f>
        <v>1.0849539406345921E-2</v>
      </c>
      <c r="N35" s="12">
        <f>N31/M31-1</f>
        <v>9.5180234912919381E-3</v>
      </c>
      <c r="O35" s="12">
        <f>O31/N31-1</f>
        <v>0</v>
      </c>
    </row>
    <row r="36" spans="1:25" x14ac:dyDescent="0.45">
      <c r="C36" s="4"/>
      <c r="D36" s="1"/>
      <c r="L36" s="7"/>
      <c r="M36" s="7"/>
      <c r="N36" s="7"/>
      <c r="O36" s="7"/>
    </row>
    <row r="37" spans="1:25" x14ac:dyDescent="0.45">
      <c r="C37" s="13" t="s">
        <v>12</v>
      </c>
      <c r="D37" s="14">
        <f t="shared" ref="D37:L37" si="8">EOMONTH(DATE(YEAR(D38),ROUNDUP(MONTH(D38)/3,0)*3,1),0)</f>
        <v>45016</v>
      </c>
      <c r="E37" s="14">
        <f t="shared" si="8"/>
        <v>45107</v>
      </c>
      <c r="F37" s="14">
        <f t="shared" si="8"/>
        <v>45199</v>
      </c>
      <c r="G37" s="14">
        <f t="shared" si="8"/>
        <v>45291</v>
      </c>
      <c r="H37" s="14">
        <f t="shared" si="8"/>
        <v>45382</v>
      </c>
      <c r="I37" s="14">
        <f t="shared" si="8"/>
        <v>45473</v>
      </c>
      <c r="J37" s="14">
        <f t="shared" si="8"/>
        <v>45565</v>
      </c>
      <c r="K37" s="14">
        <f t="shared" si="8"/>
        <v>45657</v>
      </c>
      <c r="L37" s="14">
        <f t="shared" si="8"/>
        <v>45747</v>
      </c>
      <c r="M37" s="14">
        <f>EOMONTH(DATE(YEAR(M38),ROUNDUP(MONTH(M38)/3,0)*3,1),0)</f>
        <v>45838</v>
      </c>
      <c r="N37" s="14">
        <f>EOMONTH(DATE(YEAR(N38),ROUNDUP(MONTH(N38)/3,0)*3,1),0)</f>
        <v>45930</v>
      </c>
      <c r="O37" s="14">
        <f>EOMONTH(DATE(YEAR(O38),ROUNDUP(MONTH(O38)/3,0)*3,1),0)</f>
        <v>46022</v>
      </c>
    </row>
    <row r="38" spans="1:25" x14ac:dyDescent="0.45">
      <c r="D38" s="2">
        <v>45016</v>
      </c>
      <c r="E38" s="2">
        <v>45107</v>
      </c>
      <c r="F38" s="2">
        <v>45199</v>
      </c>
      <c r="G38" s="2">
        <v>45291</v>
      </c>
      <c r="H38" s="2">
        <v>45382</v>
      </c>
      <c r="I38" s="2">
        <v>45473</v>
      </c>
      <c r="J38" s="2">
        <v>45565</v>
      </c>
      <c r="K38" s="2">
        <v>45657</v>
      </c>
      <c r="L38" s="2">
        <v>45747</v>
      </c>
      <c r="M38" s="2">
        <v>45838</v>
      </c>
      <c r="N38" s="2">
        <v>45930</v>
      </c>
      <c r="O38" s="2">
        <v>46022</v>
      </c>
    </row>
    <row r="39" spans="1:25" x14ac:dyDescent="0.45">
      <c r="A39" s="16" t="s">
        <v>21</v>
      </c>
      <c r="B39" s="16" t="s">
        <v>40</v>
      </c>
      <c r="C39" s="2" t="s">
        <v>41</v>
      </c>
      <c r="D39" s="10">
        <v>64.7</v>
      </c>
      <c r="E39" s="10">
        <v>69.2</v>
      </c>
      <c r="F39" s="10">
        <v>70.099999999999994</v>
      </c>
      <c r="G39" s="36">
        <v>74.899999999999991</v>
      </c>
      <c r="H39" s="36">
        <v>71.5</v>
      </c>
      <c r="I39" s="36">
        <v>75.900000000000006</v>
      </c>
      <c r="J39" s="36">
        <v>79.899999999999991</v>
      </c>
      <c r="K39" s="36">
        <v>84.500000000000014</v>
      </c>
      <c r="L39" s="36">
        <v>79.3</v>
      </c>
      <c r="M39" s="36">
        <v>86.2</v>
      </c>
      <c r="N39" s="36">
        <v>89.300000000000011</v>
      </c>
      <c r="O39" s="36">
        <v>95.100000000000009</v>
      </c>
    </row>
    <row r="40" spans="1:25" x14ac:dyDescent="0.45">
      <c r="C40" s="4" t="s">
        <v>4</v>
      </c>
      <c r="D40" s="5"/>
      <c r="E40" s="4"/>
      <c r="F40" s="4"/>
      <c r="G40" s="12"/>
      <c r="H40" s="12">
        <f t="shared" ref="H40:O40" si="9">+H39/D39-1</f>
        <v>0.10510046367851622</v>
      </c>
      <c r="I40" s="12">
        <f t="shared" si="9"/>
        <v>9.6820809248554962E-2</v>
      </c>
      <c r="J40" s="12">
        <f t="shared" si="9"/>
        <v>0.13980028530670463</v>
      </c>
      <c r="K40" s="12">
        <f t="shared" si="9"/>
        <v>0.12817089452603514</v>
      </c>
      <c r="L40" s="12">
        <f t="shared" si="9"/>
        <v>0.10909090909090913</v>
      </c>
      <c r="M40" s="12">
        <f t="shared" si="9"/>
        <v>0.13570487483530957</v>
      </c>
      <c r="N40" s="12">
        <f t="shared" si="9"/>
        <v>0.11764705882352966</v>
      </c>
      <c r="O40" s="12">
        <f t="shared" si="9"/>
        <v>0.12544378698224845</v>
      </c>
    </row>
    <row r="41" spans="1:25" x14ac:dyDescent="0.45">
      <c r="C41" s="4" t="s">
        <v>19</v>
      </c>
      <c r="D41" s="1"/>
      <c r="L41" s="7">
        <f>(L40-K40)*10000</f>
        <v>-190.79985435126014</v>
      </c>
      <c r="M41" s="7">
        <f>(M40-L40)*10000</f>
        <v>266.13965744400446</v>
      </c>
      <c r="N41" s="7">
        <f>(N40-M40)*10000</f>
        <v>-180.57816011779914</v>
      </c>
      <c r="O41" s="7">
        <f>(O40-N40)*10000</f>
        <v>77.967281587187912</v>
      </c>
    </row>
    <row r="42" spans="1:25" x14ac:dyDescent="0.45">
      <c r="C42" s="4" t="s">
        <v>23</v>
      </c>
      <c r="D42" s="1"/>
      <c r="E42" s="6"/>
      <c r="F42" s="6"/>
      <c r="G42" s="6"/>
      <c r="H42" s="6"/>
      <c r="I42" s="6"/>
      <c r="J42" s="6"/>
      <c r="K42" s="6"/>
      <c r="L42" s="7">
        <f>(L40-H40)*10000</f>
        <v>39.904454123929071</v>
      </c>
      <c r="M42" s="7">
        <f>(M40-I40)*10000</f>
        <v>388.8406558675461</v>
      </c>
      <c r="N42" s="7">
        <f>(N40-J40)*10000</f>
        <v>-221.5322648317497</v>
      </c>
      <c r="O42" s="7">
        <f>(O40-K40)*10000</f>
        <v>-27.271075437866887</v>
      </c>
    </row>
    <row r="43" spans="1:25" x14ac:dyDescent="0.45">
      <c r="C43" s="4" t="s">
        <v>5</v>
      </c>
      <c r="D43" s="1"/>
      <c r="L43" s="12">
        <f>L39/K39-1</f>
        <v>-6.1538461538461764E-2</v>
      </c>
      <c r="M43" s="12">
        <f>M39/L39-1</f>
        <v>8.7011349306431285E-2</v>
      </c>
      <c r="N43" s="12">
        <f>N39/M39-1</f>
        <v>3.5962877030162543E-2</v>
      </c>
      <c r="O43" s="12">
        <f>O39/N39-1</f>
        <v>6.4949608062709885E-2</v>
      </c>
    </row>
    <row r="44" spans="1:25" x14ac:dyDescent="0.45">
      <c r="C44" s="4"/>
      <c r="D44" s="1"/>
      <c r="G44" s="1"/>
    </row>
    <row r="45" spans="1:25" x14ac:dyDescent="0.45">
      <c r="C45" s="13" t="s">
        <v>12</v>
      </c>
      <c r="D45" s="14">
        <f t="shared" ref="D45:L45" si="10">EOMONTH(DATE(YEAR(D46),ROUNDUP(MONTH(D46)/3,0)*3,1),0)</f>
        <v>45016</v>
      </c>
      <c r="E45" s="14">
        <f t="shared" si="10"/>
        <v>45107</v>
      </c>
      <c r="F45" s="14">
        <f t="shared" si="10"/>
        <v>45199</v>
      </c>
      <c r="G45" s="14">
        <f t="shared" si="10"/>
        <v>45291</v>
      </c>
      <c r="H45" s="14">
        <f t="shared" si="10"/>
        <v>45382</v>
      </c>
      <c r="I45" s="14">
        <f t="shared" si="10"/>
        <v>45473</v>
      </c>
      <c r="J45" s="14">
        <f t="shared" si="10"/>
        <v>45565</v>
      </c>
      <c r="K45" s="14">
        <f t="shared" si="10"/>
        <v>45657</v>
      </c>
      <c r="L45" s="14">
        <f t="shared" si="10"/>
        <v>45747</v>
      </c>
      <c r="M45" s="14">
        <f>EOMONTH(DATE(YEAR(M46),ROUNDUP(MONTH(M46)/3,0)*3,1),0)</f>
        <v>45838</v>
      </c>
      <c r="N45" s="14">
        <f>EOMONTH(DATE(YEAR(N46),ROUNDUP(MONTH(N46)/3,0)*3,1),0)</f>
        <v>45930</v>
      </c>
      <c r="O45" s="14">
        <f>EOMONTH(DATE(YEAR(O46),ROUNDUP(MONTH(O46)/3,0)*3,1),0)</f>
        <v>46022</v>
      </c>
    </row>
    <row r="46" spans="1:25" x14ac:dyDescent="0.45">
      <c r="D46" s="2">
        <v>45016</v>
      </c>
      <c r="E46" s="2">
        <v>45107</v>
      </c>
      <c r="F46" s="2">
        <v>45199</v>
      </c>
      <c r="G46" s="2">
        <v>45291</v>
      </c>
      <c r="H46" s="2">
        <v>45382</v>
      </c>
      <c r="I46" s="2">
        <v>45473</v>
      </c>
      <c r="J46" s="2">
        <v>45565</v>
      </c>
      <c r="K46" s="2">
        <v>45657</v>
      </c>
      <c r="L46" s="2">
        <v>45747</v>
      </c>
      <c r="M46" s="2">
        <v>45838</v>
      </c>
      <c r="N46" s="2">
        <v>45930</v>
      </c>
      <c r="O46" s="2">
        <v>46022</v>
      </c>
    </row>
    <row r="47" spans="1:25" x14ac:dyDescent="0.45">
      <c r="A47" s="16" t="s">
        <v>21</v>
      </c>
      <c r="B47" s="16" t="s">
        <v>42</v>
      </c>
      <c r="C47" s="2" t="s">
        <v>43</v>
      </c>
      <c r="D47" s="10">
        <v>66700</v>
      </c>
      <c r="E47" s="10">
        <v>66900</v>
      </c>
      <c r="F47" s="10">
        <v>62400</v>
      </c>
      <c r="G47" s="36">
        <v>63400</v>
      </c>
      <c r="H47" s="36">
        <v>65600</v>
      </c>
      <c r="I47" s="36">
        <v>65800</v>
      </c>
      <c r="J47" s="36">
        <v>67383</v>
      </c>
      <c r="K47" s="36">
        <v>67721</v>
      </c>
      <c r="L47" s="36">
        <v>68115</v>
      </c>
      <c r="M47" s="36">
        <v>68787</v>
      </c>
      <c r="N47" s="36">
        <v>70823</v>
      </c>
      <c r="O47" s="36">
        <v>72100</v>
      </c>
    </row>
    <row r="48" spans="1:25" x14ac:dyDescent="0.45">
      <c r="C48" s="4" t="s">
        <v>4</v>
      </c>
      <c r="D48" s="5"/>
      <c r="E48" s="4"/>
      <c r="F48" s="4"/>
      <c r="G48" s="12"/>
      <c r="H48" s="12">
        <f t="shared" ref="H48:O48" si="11">+H47/D47-1</f>
        <v>-1.6491754122938573E-2</v>
      </c>
      <c r="I48" s="12">
        <f t="shared" si="11"/>
        <v>-1.6442451420029869E-2</v>
      </c>
      <c r="J48" s="12">
        <f t="shared" si="11"/>
        <v>7.9855769230769313E-2</v>
      </c>
      <c r="K48" s="12">
        <f t="shared" si="11"/>
        <v>6.8154574132492041E-2</v>
      </c>
      <c r="L48" s="12">
        <f t="shared" si="11"/>
        <v>3.8338414634146334E-2</v>
      </c>
      <c r="M48" s="12">
        <f t="shared" si="11"/>
        <v>4.5395136778115575E-2</v>
      </c>
      <c r="N48" s="12">
        <f t="shared" si="11"/>
        <v>5.1051452146683829E-2</v>
      </c>
      <c r="O48" s="12">
        <f t="shared" si="11"/>
        <v>6.4662364702234187E-2</v>
      </c>
    </row>
    <row r="49" spans="1:15" x14ac:dyDescent="0.45">
      <c r="C49" s="4" t="s">
        <v>19</v>
      </c>
      <c r="D49" s="1"/>
      <c r="L49" s="7">
        <f>(L48-K48)*10000</f>
        <v>-298.16159498345706</v>
      </c>
      <c r="M49" s="7">
        <f>(M48-L48)*10000</f>
        <v>70.567221439692403</v>
      </c>
      <c r="N49" s="7">
        <f>(N48-M48)*10000</f>
        <v>56.563153685682543</v>
      </c>
      <c r="O49" s="7">
        <f>(O48-N48)*10000</f>
        <v>136.1091255555036</v>
      </c>
    </row>
    <row r="50" spans="1:15" x14ac:dyDescent="0.45">
      <c r="C50" s="4" t="s">
        <v>23</v>
      </c>
      <c r="D50" s="1"/>
      <c r="E50" s="6"/>
      <c r="F50" s="6"/>
      <c r="G50" s="6"/>
      <c r="H50" s="6"/>
      <c r="I50" s="6"/>
      <c r="J50" s="6"/>
      <c r="K50" s="6"/>
      <c r="L50" s="7">
        <f>(L48-H48)*10000</f>
        <v>548.30168757084903</v>
      </c>
      <c r="M50" s="7">
        <f>(M48-I48)*10000</f>
        <v>618.37588198145443</v>
      </c>
      <c r="N50" s="7">
        <f>(N48-J48)*10000</f>
        <v>-288.04317084085483</v>
      </c>
      <c r="O50" s="7">
        <f>(O48-K48)*10000</f>
        <v>-34.922094302578529</v>
      </c>
    </row>
    <row r="51" spans="1:15" x14ac:dyDescent="0.45">
      <c r="C51" s="4" t="s">
        <v>5</v>
      </c>
      <c r="D51" s="1"/>
      <c r="L51" s="12">
        <f>L47/K47-1</f>
        <v>5.8179885116875774E-3</v>
      </c>
      <c r="M51" s="12">
        <f>M47/L47-1</f>
        <v>9.865668354987811E-3</v>
      </c>
      <c r="N51" s="12">
        <f>N47/M47-1</f>
        <v>2.9598616017561419E-2</v>
      </c>
      <c r="O51" s="12">
        <f>O47/N47-1</f>
        <v>1.8030865679228514E-2</v>
      </c>
    </row>
    <row r="52" spans="1:15" x14ac:dyDescent="0.45">
      <c r="C52" s="4"/>
      <c r="D52" s="1"/>
      <c r="G52" s="1"/>
    </row>
    <row r="53" spans="1:15" x14ac:dyDescent="0.4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4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4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4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45">
      <c r="C57" s="4"/>
      <c r="D57" s="1"/>
      <c r="K57" s="7"/>
      <c r="L57" s="7"/>
      <c r="M57" s="7"/>
      <c r="N57" s="7"/>
      <c r="O57" s="7"/>
    </row>
    <row r="58" spans="1:15" x14ac:dyDescent="0.4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45">
      <c r="C59" s="4"/>
      <c r="D59" s="1"/>
      <c r="K59" s="7"/>
      <c r="L59" s="7"/>
      <c r="M59" s="7"/>
      <c r="N59" s="7"/>
      <c r="O59" s="7"/>
    </row>
    <row r="64" spans="1:15" x14ac:dyDescent="0.4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45">
      <c r="C65" s="4"/>
      <c r="D65" s="1"/>
      <c r="K65" s="7"/>
      <c r="L65" s="7"/>
      <c r="M65" s="7"/>
      <c r="N65" s="7"/>
      <c r="O65" s="7"/>
    </row>
    <row r="66" spans="3:15" x14ac:dyDescent="0.4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4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255C4-5C3F-41A6-8824-F71A8DCDCF8B}">
  <dimension ref="A1:Y67"/>
  <sheetViews>
    <sheetView tabSelected="1" topLeftCell="A5" zoomScale="85" zoomScaleNormal="85" workbookViewId="0">
      <selection activeCell="F5" sqref="F5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14" width="10.1328125" bestFit="1" customWidth="1"/>
    <col min="15" max="15" width="10.3984375" bestFit="1" customWidth="1"/>
    <col min="16" max="16" width="9" customWidth="1"/>
    <col min="17" max="17" width="12.3984375" bestFit="1" customWidth="1"/>
    <col min="18" max="18" width="14.3984375" bestFit="1" customWidth="1"/>
    <col min="19" max="19" width="8.59765625" bestFit="1" customWidth="1"/>
    <col min="20" max="20" width="20.265625" bestFit="1" customWidth="1"/>
    <col min="21" max="21" width="7.3984375" bestFit="1" customWidth="1"/>
    <col min="22" max="22" width="10.73046875" bestFit="1" customWidth="1"/>
    <col min="23" max="23" width="9.1328125" bestFit="1" customWidth="1"/>
    <col min="24" max="24" width="10.3984375" bestFit="1" customWidth="1"/>
    <col min="25" max="25" width="9.1328125" bestFit="1" customWidth="1"/>
  </cols>
  <sheetData>
    <row r="1" spans="1:25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45">
      <c r="A2" s="17" t="s">
        <v>1</v>
      </c>
      <c r="B2" s="31" t="s">
        <v>44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DOCU US EQUITY</v>
      </c>
      <c r="R2" s="24">
        <f ca="1"/>
        <v>45747</v>
      </c>
      <c r="S2" s="25" t="str">
        <f ca="1"/>
        <v>canonical</v>
      </c>
      <c r="T2" s="26" t="str">
        <f ca="1"/>
        <v>revenue</v>
      </c>
      <c r="U2" s="27" t="str">
        <f ca="1"/>
        <v>776.252</v>
      </c>
      <c r="V2" s="28" t="str">
        <f ca="1"/>
        <v>0.089650835361728</v>
      </c>
      <c r="W2" s="29" t="str">
        <f ca="1"/>
        <v>119.846888584108</v>
      </c>
      <c r="X2" s="28" t="str">
        <f ca="1"/>
        <v>95.8424712928796</v>
      </c>
      <c r="Y2" s="29" t="str">
        <f ca="1"/>
        <v>0.028393524283935</v>
      </c>
    </row>
    <row r="3" spans="1:25" x14ac:dyDescent="0.45">
      <c r="A3" s="18" t="s">
        <v>3</v>
      </c>
      <c r="B3" s="19">
        <f ca="1">+B4-365*3</f>
        <v>44909.75</v>
      </c>
      <c r="Q3" s="24" t="str">
        <f ca="1"/>
        <v>DOCU US EQUITY</v>
      </c>
      <c r="R3" s="24">
        <f ca="1"/>
        <v>45838</v>
      </c>
      <c r="S3" s="25" t="str">
        <f ca="1"/>
        <v>canonical</v>
      </c>
      <c r="T3" s="26" t="str">
        <f ca="1"/>
        <v>revenue</v>
      </c>
      <c r="U3" s="27" t="str">
        <f ca="1"/>
        <v>763.654</v>
      </c>
      <c r="V3" s="28" t="str">
        <f ca="1"/>
        <v>0.0761146496815286</v>
      </c>
      <c r="W3" s="29" t="str">
        <f ca="1"/>
        <v>-135.361856801994</v>
      </c>
      <c r="X3" s="29" t="str">
        <f ca="1"/>
        <v>31.5898674237647</v>
      </c>
      <c r="Y3" s="29" t="str">
        <f ca="1"/>
        <v>-0.0162292657539046</v>
      </c>
    </row>
    <row r="4" spans="1:25" x14ac:dyDescent="0.45">
      <c r="A4" s="20" t="s">
        <v>2</v>
      </c>
      <c r="B4" s="21">
        <f ca="1">TODAY()-365/4</f>
        <v>46004.75</v>
      </c>
      <c r="Q4" s="24" t="str">
        <f ca="1"/>
        <v>DOCU US EQUITY</v>
      </c>
      <c r="R4" s="24">
        <f ca="1"/>
        <v>45930</v>
      </c>
      <c r="S4" s="25" t="str">
        <f ca="1"/>
        <v>canonical</v>
      </c>
      <c r="T4" s="26" t="str">
        <f ca="1"/>
        <v>revenue</v>
      </c>
      <c r="U4" s="27" t="str">
        <f ca="1"/>
        <v>800.636</v>
      </c>
      <c r="V4" s="28" t="str">
        <f ca="1"/>
        <v>0.0877807471736769</v>
      </c>
      <c r="W4" s="29" t="str">
        <f ca="1"/>
        <v>116.660974921483</v>
      </c>
      <c r="X4" s="29" t="str">
        <f ca="1"/>
        <v>174.871397621654</v>
      </c>
      <c r="Y4" s="29" t="str">
        <f ca="1"/>
        <v>0.0484276910747536</v>
      </c>
    </row>
    <row r="5" spans="1:25" x14ac:dyDescent="0.45">
      <c r="C5" s="13" t="s">
        <v>12</v>
      </c>
      <c r="D5" s="14">
        <f t="shared" ref="D5:O5" ca="1" si="0">EOMONTH(DATE(YEAR(D6),ROUNDUP(MONTH(D6)/3,0)*3,1),0)</f>
        <v>45016</v>
      </c>
      <c r="E5" s="14">
        <f t="shared" ca="1" si="0"/>
        <v>45107</v>
      </c>
      <c r="F5" s="14">
        <f t="shared" ca="1" si="0"/>
        <v>45199</v>
      </c>
      <c r="G5" s="14">
        <f t="shared" ca="1" si="0"/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t="shared" ca="1" si="0"/>
        <v>45747</v>
      </c>
      <c r="M5" s="14">
        <f t="shared" ca="1" si="0"/>
        <v>45838</v>
      </c>
      <c r="N5" s="14">
        <f t="shared" ca="1" si="0"/>
        <v>45930</v>
      </c>
      <c r="O5" s="14">
        <f t="shared" ca="1" si="0"/>
        <v>46022</v>
      </c>
      <c r="Q5" s="24" t="str">
        <f ca="1"/>
        <v>DOCU US EQUITY</v>
      </c>
      <c r="R5" s="24">
        <f ca="1"/>
        <v>46022</v>
      </c>
      <c r="S5" s="25" t="str">
        <f ca="1"/>
        <v>canonical</v>
      </c>
      <c r="T5" s="26" t="str">
        <f ca="1"/>
        <v>revenue</v>
      </c>
      <c r="U5" s="27" t="str">
        <f ca="1"/>
        <v>818.35</v>
      </c>
      <c r="V5" s="28" t="str">
        <f ca="1"/>
        <v>0.0841657613735725</v>
      </c>
      <c r="W5" s="29" t="str">
        <f ca="1"/>
        <v>-36.1498580010444</v>
      </c>
      <c r="X5" s="29" t="str">
        <f ca="1"/>
        <v>64.9961487025519</v>
      </c>
      <c r="Y5" s="29" t="str">
        <f ca="1"/>
        <v>0.0221249106959966</v>
      </c>
    </row>
    <row r="6" spans="1:25" x14ac:dyDescent="0.45">
      <c r="D6" s="15" cm="1">
        <f t="array" aca="1" ref="D6:O7" ca="1">+_xll.BDH($B$2,C7,$B$3,$B$4,"DIR=H")</f>
        <v>44957</v>
      </c>
      <c r="E6" s="1">
        <f ca="1"/>
        <v>45046</v>
      </c>
      <c r="F6" s="1">
        <f ca="1"/>
        <v>45138</v>
      </c>
      <c r="G6" s="1">
        <f ca="1"/>
        <v>45230</v>
      </c>
      <c r="H6" s="1">
        <f ca="1"/>
        <v>45322</v>
      </c>
      <c r="I6" s="1">
        <f ca="1"/>
        <v>45412</v>
      </c>
      <c r="J6" s="1">
        <f ca="1"/>
        <v>45504</v>
      </c>
      <c r="K6" s="1">
        <f ca="1"/>
        <v>45596</v>
      </c>
      <c r="L6" s="1">
        <f ca="1"/>
        <v>45688</v>
      </c>
      <c r="M6" s="1">
        <f ca="1"/>
        <v>45777</v>
      </c>
      <c r="N6" s="1">
        <f ca="1"/>
        <v>45869</v>
      </c>
      <c r="O6" s="1">
        <f ca="1"/>
        <v>45961</v>
      </c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DOCU US EQUITY</v>
      </c>
      <c r="R6" s="24">
        <f ca="1"/>
        <v>45747</v>
      </c>
      <c r="S6" s="25" t="str">
        <f ca="1"/>
        <v>canonical</v>
      </c>
      <c r="T6" s="26" t="str">
        <f ca="1"/>
        <v>gross_margin_gaap</v>
      </c>
      <c r="U6" s="30" t="str">
        <f ca="1"/>
        <v>79.361</v>
      </c>
      <c r="V6" s="29" t="str">
        <f ca="1"/>
        <v>12.3200000000011</v>
      </c>
      <c r="W6" s="29" t="str">
        <f ca="1"/>
        <v/>
      </c>
      <c r="X6" s="29" t="str">
        <f ca="1"/>
        <v/>
      </c>
      <c r="Y6" s="29" t="str">
        <f ca="1"/>
        <v>9.92999999999995</v>
      </c>
    </row>
    <row r="7" spans="1:25" x14ac:dyDescent="0.45">
      <c r="A7" s="16" t="s">
        <v>9</v>
      </c>
      <c r="B7" s="16" t="s">
        <v>8</v>
      </c>
      <c r="C7" s="9" t="s">
        <v>0</v>
      </c>
      <c r="D7" s="11">
        <f ca="1"/>
        <v>659.57600000000002</v>
      </c>
      <c r="E7" s="11">
        <f ca="1"/>
        <v>661.38800000000003</v>
      </c>
      <c r="F7" s="11">
        <f ca="1"/>
        <v>687.68700000000001</v>
      </c>
      <c r="G7" s="11">
        <f ca="1"/>
        <v>700.42100000000005</v>
      </c>
      <c r="H7" s="11">
        <f ca="1"/>
        <v>712.38599999999997</v>
      </c>
      <c r="I7" s="11">
        <f ca="1"/>
        <v>709.64</v>
      </c>
      <c r="J7" s="11">
        <f ca="1"/>
        <v>736.02700000000004</v>
      </c>
      <c r="K7" s="11">
        <f ca="1"/>
        <v>754.82</v>
      </c>
      <c r="L7" s="11">
        <f ca="1"/>
        <v>776.25199999999995</v>
      </c>
      <c r="M7" s="11">
        <f ca="1"/>
        <v>763.654</v>
      </c>
      <c r="N7" s="11">
        <f ca="1"/>
        <v>800.63599999999997</v>
      </c>
      <c r="O7" s="3">
        <f ca="1"/>
        <v>818.35</v>
      </c>
      <c r="P7" s="1"/>
      <c r="Q7" s="24" t="str">
        <f ca="1"/>
        <v>DOCU US EQUITY</v>
      </c>
      <c r="R7" s="24">
        <f ca="1"/>
        <v>45838</v>
      </c>
      <c r="S7" s="25" t="str">
        <f ca="1"/>
        <v>canonical</v>
      </c>
      <c r="T7" s="26" t="str">
        <f ca="1"/>
        <v>gross_margin_gaap</v>
      </c>
      <c r="U7" s="30" t="str">
        <f ca="1"/>
        <v>79.4057</v>
      </c>
      <c r="V7" s="29" t="str">
        <f ca="1"/>
        <v>46.5099999999993</v>
      </c>
      <c r="W7" s="29" t="str">
        <f ca="1"/>
        <v/>
      </c>
      <c r="X7" s="29" t="str">
        <f ca="1"/>
        <v/>
      </c>
      <c r="Y7" s="29" t="str">
        <f ca="1"/>
        <v>4.46999999999917</v>
      </c>
    </row>
    <row r="8" spans="1:25" x14ac:dyDescent="0.45">
      <c r="C8" s="4" t="s">
        <v>4</v>
      </c>
      <c r="D8" s="5"/>
      <c r="E8" s="4"/>
      <c r="F8" s="4"/>
      <c r="G8" s="12"/>
      <c r="H8" s="12">
        <f t="shared" ref="H8:O8" ca="1" si="1">+H7/D7-1</f>
        <v>8.0066588232440061E-2</v>
      </c>
      <c r="I8" s="12">
        <f t="shared" ca="1" si="1"/>
        <v>7.2955662939152122E-2</v>
      </c>
      <c r="J8" s="12">
        <f t="shared" ca="1" si="1"/>
        <v>7.0293607411511472E-2</v>
      </c>
      <c r="K8" s="12">
        <f t="shared" ca="1" si="1"/>
        <v>7.7666146503317268E-2</v>
      </c>
      <c r="L8" s="12">
        <f t="shared" ca="1" si="1"/>
        <v>8.9650835361728021E-2</v>
      </c>
      <c r="M8" s="12">
        <f t="shared" ca="1" si="1"/>
        <v>7.611464968152859E-2</v>
      </c>
      <c r="N8" s="12">
        <f t="shared" ca="1" si="1"/>
        <v>8.7780747173676898E-2</v>
      </c>
      <c r="O8" s="12">
        <f t="shared" ca="1" si="1"/>
        <v>8.4165761373572456E-2</v>
      </c>
      <c r="P8" s="3"/>
      <c r="Q8" s="24" t="str">
        <f ca="1"/>
        <v>DOCU US EQUITY</v>
      </c>
      <c r="R8" s="24">
        <f ca="1"/>
        <v>45930</v>
      </c>
      <c r="S8" s="25" t="str">
        <f ca="1"/>
        <v>canonical</v>
      </c>
      <c r="T8" s="26" t="str">
        <f ca="1"/>
        <v>gross_margin_gaap</v>
      </c>
      <c r="U8" s="30" t="str">
        <f ca="1"/>
        <v>79.3336</v>
      </c>
      <c r="V8" s="29" t="str">
        <f ca="1"/>
        <v>45.5800000000011</v>
      </c>
      <c r="W8" s="29" t="str">
        <f ca="1"/>
        <v/>
      </c>
      <c r="X8" s="29" t="str">
        <f ca="1"/>
        <v/>
      </c>
      <c r="Y8" s="29" t="str">
        <f ca="1"/>
        <v>-7.20999999999918</v>
      </c>
    </row>
    <row r="9" spans="1:25" x14ac:dyDescent="0.45">
      <c r="C9" s="4" t="s">
        <v>19</v>
      </c>
      <c r="D9" s="1"/>
      <c r="L9" s="7">
        <f ca="1">(L8-K8)*10000</f>
        <v>119.84688858410752</v>
      </c>
      <c r="M9" s="7">
        <f ca="1">(M8-L8)*10000</f>
        <v>-135.36185680199429</v>
      </c>
      <c r="N9" s="7">
        <f ca="1">(N8-M8)*10000</f>
        <v>116.66097492148309</v>
      </c>
      <c r="O9" s="7">
        <f ca="1">(O8-N8)*10000</f>
        <v>-36.149858001044421</v>
      </c>
      <c r="Q9" s="22" t="str">
        <f ca="1"/>
        <v>DOCU US EQUITY</v>
      </c>
      <c r="R9" s="24">
        <f ca="1"/>
        <v>46022</v>
      </c>
      <c r="S9" s="25" t="str">
        <f ca="1"/>
        <v>canonical</v>
      </c>
      <c r="T9" s="26" t="str">
        <f ca="1"/>
        <v>gross_margin_gaap</v>
      </c>
      <c r="U9" s="30" t="str">
        <f ca="1"/>
        <v>79.1598</v>
      </c>
      <c r="V9" s="29" t="str">
        <f ca="1"/>
        <v>-10.1900000000001</v>
      </c>
      <c r="W9" s="29" t="str">
        <f ca="1"/>
        <v/>
      </c>
      <c r="X9" s="29" t="str">
        <f ca="1"/>
        <v/>
      </c>
      <c r="Y9" s="29" t="str">
        <f ca="1"/>
        <v>-17.38</v>
      </c>
    </row>
    <row r="10" spans="1:25" x14ac:dyDescent="0.4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95.842471292879594</v>
      </c>
      <c r="M10" s="7">
        <f ca="1">(M8-I8)*10000</f>
        <v>31.589867423764684</v>
      </c>
      <c r="N10" s="7">
        <f ca="1">(N8-J8)*10000</f>
        <v>174.87139762165427</v>
      </c>
      <c r="O10" s="7">
        <f ca="1">(O8-K8)*10000</f>
        <v>64.996148702551878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DOCU US EQUITY</v>
      </c>
      <c r="R10" s="24">
        <f ca="1"/>
        <v>45747</v>
      </c>
      <c r="S10" s="25" t="str">
        <f ca="1"/>
        <v>canonical</v>
      </c>
      <c r="T10" s="26" t="str">
        <f ca="1"/>
        <v>operating_margin_gaap</v>
      </c>
      <c r="U10" s="30" t="str">
        <f ca="1"/>
        <v>7.7899</v>
      </c>
      <c r="V10" s="29" t="str">
        <f ca="1"/>
        <v>639.53</v>
      </c>
      <c r="W10" s="29" t="str">
        <f ca="1"/>
        <v/>
      </c>
      <c r="X10" s="29" t="str">
        <f ca="1"/>
        <v/>
      </c>
      <c r="Y10" s="29" t="str">
        <f ca="1"/>
        <v>-3.05</v>
      </c>
    </row>
    <row r="11" spans="1:25" x14ac:dyDescent="0.45">
      <c r="C11" s="4" t="s">
        <v>5</v>
      </c>
      <c r="D11" s="1"/>
      <c r="L11" s="12">
        <f ca="1">L7/K7-1</f>
        <v>2.8393524283935045E-2</v>
      </c>
      <c r="M11" s="12">
        <f ca="1">M7/L7-1</f>
        <v>-1.6229265753904598E-2</v>
      </c>
      <c r="N11" s="12">
        <f ca="1">N7/M7-1</f>
        <v>4.8427691074753643E-2</v>
      </c>
      <c r="O11" s="12">
        <f ca="1">O7/N7-1</f>
        <v>2.2124910695996647E-2</v>
      </c>
      <c r="Q11" s="24" t="str">
        <f ca="1"/>
        <v>DOCU US EQUITY</v>
      </c>
      <c r="R11" s="24">
        <f ca="1"/>
        <v>45838</v>
      </c>
      <c r="S11" s="25" t="str">
        <f ca="1"/>
        <v>canonical</v>
      </c>
      <c r="T11" s="26" t="str">
        <f ca="1"/>
        <v>operating_margin_gaap</v>
      </c>
      <c r="U11" s="30" t="str">
        <f ca="1"/>
        <v>7.8904</v>
      </c>
      <c r="V11" s="29" t="str">
        <f ca="1"/>
        <v>470.17</v>
      </c>
      <c r="W11" s="29" t="str">
        <f ca="1"/>
        <v/>
      </c>
      <c r="X11" s="29" t="str">
        <f ca="1"/>
        <v/>
      </c>
      <c r="Y11" s="29" t="str">
        <f ca="1"/>
        <v>10.0499999999999</v>
      </c>
    </row>
    <row r="12" spans="1:25" x14ac:dyDescent="0.45">
      <c r="Q12" s="24" t="str">
        <f ca="1"/>
        <v>DOCU US EQUITY</v>
      </c>
      <c r="R12" s="24">
        <f ca="1"/>
        <v>45930</v>
      </c>
      <c r="S12" s="25" t="str">
        <f ca="1"/>
        <v>canonical</v>
      </c>
      <c r="T12" s="26" t="str">
        <f ca="1"/>
        <v>operating_margin_gaap</v>
      </c>
      <c r="U12" s="30" t="str">
        <f ca="1"/>
        <v>8.1469</v>
      </c>
      <c r="V12" s="29" t="str">
        <f ca="1"/>
        <v>29.38</v>
      </c>
      <c r="W12" s="29" t="str">
        <f ca="1"/>
        <v/>
      </c>
      <c r="X12" s="29" t="str">
        <f ca="1"/>
        <v/>
      </c>
      <c r="Y12" s="29" t="str">
        <f ca="1"/>
        <v>25.6500000000001</v>
      </c>
    </row>
    <row r="13" spans="1:25" x14ac:dyDescent="0.45">
      <c r="C13" s="13" t="s">
        <v>12</v>
      </c>
      <c r="D13" s="14">
        <f t="shared" ref="D13:O13" ca="1" si="2">EOMONTH(DATE(YEAR(D14),ROUNDUP(MONTH(D14)/3,0)*3,1),0)</f>
        <v>45016</v>
      </c>
      <c r="E13" s="14">
        <f t="shared" ca="1" si="2"/>
        <v>45107</v>
      </c>
      <c r="F13" s="14">
        <f t="shared" ca="1" si="2"/>
        <v>45199</v>
      </c>
      <c r="G13" s="14">
        <f t="shared" ca="1" si="2"/>
        <v>45291</v>
      </c>
      <c r="H13" s="14">
        <f t="shared" ca="1" si="2"/>
        <v>45382</v>
      </c>
      <c r="I13" s="14">
        <f t="shared" ca="1" si="2"/>
        <v>45473</v>
      </c>
      <c r="J13" s="14">
        <f t="shared" ca="1" si="2"/>
        <v>45565</v>
      </c>
      <c r="K13" s="14">
        <f t="shared" ca="1" si="2"/>
        <v>45657</v>
      </c>
      <c r="L13" s="14">
        <f t="shared" ca="1" si="2"/>
        <v>45747</v>
      </c>
      <c r="M13" s="14">
        <f t="shared" ca="1" si="2"/>
        <v>45838</v>
      </c>
      <c r="N13" s="14">
        <f t="shared" ca="1" si="2"/>
        <v>45930</v>
      </c>
      <c r="O13" s="14">
        <f t="shared" ca="1" si="2"/>
        <v>46022</v>
      </c>
      <c r="Q13" s="24" t="str">
        <f ca="1"/>
        <v>DOCU US EQUITY</v>
      </c>
      <c r="R13" s="24">
        <f ca="1"/>
        <v>46022</v>
      </c>
      <c r="S13" s="25" t="str">
        <f ca="1"/>
        <v>canonical</v>
      </c>
      <c r="T13" s="26" t="str">
        <f ca="1"/>
        <v>operating_margin_gaap</v>
      </c>
      <c r="U13" s="30" t="str">
        <f ca="1"/>
        <v>10.4301</v>
      </c>
      <c r="V13" s="29" t="str">
        <f ca="1"/>
        <v>260.97</v>
      </c>
      <c r="W13" s="29" t="str">
        <f ca="1"/>
        <v/>
      </c>
      <c r="X13" s="29" t="str">
        <f ca="1"/>
        <v/>
      </c>
      <c r="Y13" s="29" t="str">
        <f ca="1"/>
        <v>228.32</v>
      </c>
    </row>
    <row r="14" spans="1:25" x14ac:dyDescent="0.45">
      <c r="D14" s="1" cm="1">
        <f t="array" aca="1" ref="D14:O15" ca="1">+_xll.BDH($B$2,C15,$B$3,$B$4,"DIR=H")</f>
        <v>44957</v>
      </c>
      <c r="E14" s="1">
        <f ca="1"/>
        <v>45046</v>
      </c>
      <c r="F14" s="1">
        <f ca="1"/>
        <v>45138</v>
      </c>
      <c r="G14" s="1">
        <f ca="1"/>
        <v>45230</v>
      </c>
      <c r="H14" s="1">
        <f ca="1"/>
        <v>45322</v>
      </c>
      <c r="I14" s="1">
        <f ca="1"/>
        <v>45412</v>
      </c>
      <c r="J14" s="1">
        <f ca="1"/>
        <v>45504</v>
      </c>
      <c r="K14" s="1">
        <f ca="1"/>
        <v>45596</v>
      </c>
      <c r="L14" s="1">
        <f ca="1"/>
        <v>45688</v>
      </c>
      <c r="M14" s="1">
        <f ca="1"/>
        <v>45777</v>
      </c>
      <c r="N14" s="1">
        <f ca="1"/>
        <v>45869</v>
      </c>
      <c r="O14" s="1">
        <f ca="1"/>
        <v>45961</v>
      </c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DOCU US EQUITY</v>
      </c>
      <c r="R14" s="24">
        <v>45747</v>
      </c>
      <c r="S14" s="25" t="str">
        <v>custom</v>
      </c>
      <c r="T14" s="26" t="str">
        <v>customers</v>
      </c>
      <c r="U14" s="30" t="str">
        <v>1660000</v>
      </c>
      <c r="V14" s="29" t="str">
        <v>0.0993377483443709</v>
      </c>
      <c r="W14" s="29" t="str">
        <v/>
      </c>
      <c r="X14" s="29" t="str">
        <v/>
      </c>
      <c r="Y14" s="29" t="str">
        <v/>
      </c>
    </row>
    <row r="15" spans="1:25" x14ac:dyDescent="0.45">
      <c r="A15" s="16" t="s">
        <v>9</v>
      </c>
      <c r="B15" s="16" t="s">
        <v>14</v>
      </c>
      <c r="C15" s="9" t="s">
        <v>6</v>
      </c>
      <c r="D15" s="3">
        <f ca="1"/>
        <v>79.164500000000004</v>
      </c>
      <c r="E15" s="3">
        <f ca="1"/>
        <v>79.363600000000005</v>
      </c>
      <c r="F15" s="3">
        <f ca="1"/>
        <v>78.830200000000005</v>
      </c>
      <c r="G15" s="3">
        <f ca="1"/>
        <v>79.634399999999999</v>
      </c>
      <c r="H15" s="3">
        <f ca="1"/>
        <v>79.237799999999993</v>
      </c>
      <c r="I15" s="3">
        <f ca="1"/>
        <v>78.940600000000003</v>
      </c>
      <c r="J15" s="3">
        <f ca="1"/>
        <v>78.877799999999993</v>
      </c>
      <c r="K15" s="3">
        <f ca="1"/>
        <v>79.261700000000005</v>
      </c>
      <c r="L15" s="3">
        <f ca="1"/>
        <v>79.361000000000004</v>
      </c>
      <c r="M15" s="3">
        <f ca="1"/>
        <v>79.405699999999996</v>
      </c>
      <c r="N15" s="3">
        <f ca="1"/>
        <v>79.333600000000004</v>
      </c>
      <c r="O15">
        <f ca="1"/>
        <v>79.159800000000004</v>
      </c>
      <c r="Q15" s="24" t="str">
        <v>DOCU US EQUITY</v>
      </c>
      <c r="R15" s="24">
        <v>45838</v>
      </c>
      <c r="S15" s="25" t="str">
        <v>custom</v>
      </c>
      <c r="T15" s="26" t="str">
        <v>customers</v>
      </c>
      <c r="U15" s="30" t="str">
        <v>1710000</v>
      </c>
      <c r="V15" s="29" t="str">
        <v>0.0961538461538463</v>
      </c>
      <c r="W15" s="29" t="str">
        <v>-31.8390219052467</v>
      </c>
      <c r="X15" s="29" t="str">
        <v>-181.318681318681</v>
      </c>
      <c r="Y15" s="29" t="str">
        <v>0.0301204819277108</v>
      </c>
    </row>
    <row r="16" spans="1:25" x14ac:dyDescent="0.45">
      <c r="C16" s="4" t="s">
        <v>4</v>
      </c>
      <c r="D16" s="5"/>
      <c r="E16" s="4"/>
      <c r="F16" s="4"/>
      <c r="G16" s="4"/>
      <c r="H16" s="7">
        <f t="shared" ref="H16:O16" ca="1" si="3">(H15-D15)*100</f>
        <v>7.3299999999989041</v>
      </c>
      <c r="I16" s="7">
        <f t="shared" ca="1" si="3"/>
        <v>-42.300000000000182</v>
      </c>
      <c r="J16" s="7">
        <f t="shared" ca="1" si="3"/>
        <v>4.759999999998854</v>
      </c>
      <c r="K16" s="7">
        <f t="shared" ca="1" si="3"/>
        <v>-37.26999999999947</v>
      </c>
      <c r="L16" s="7">
        <f t="shared" ca="1" si="3"/>
        <v>12.32000000000113</v>
      </c>
      <c r="M16" s="7">
        <f t="shared" ca="1" si="3"/>
        <v>46.509999999999252</v>
      </c>
      <c r="N16" s="7">
        <f t="shared" ca="1" si="3"/>
        <v>45.580000000001064</v>
      </c>
      <c r="O16" s="7">
        <f t="shared" ca="1" si="3"/>
        <v>-10.190000000000055</v>
      </c>
      <c r="Q16" s="24" t="str">
        <v>DOCU US EQUITY</v>
      </c>
      <c r="R16" s="24">
        <v>45930</v>
      </c>
      <c r="S16" s="25" t="str">
        <v>custom</v>
      </c>
      <c r="T16" s="26" t="str">
        <v>customers</v>
      </c>
      <c r="U16" s="30" t="str">
        <v>1740000</v>
      </c>
      <c r="V16" s="29" t="str">
        <v>0.0874999999999999</v>
      </c>
      <c r="W16" s="29" t="str">
        <v>-86.5384615384635</v>
      </c>
      <c r="X16" s="29" t="str">
        <v>-236.111111111113</v>
      </c>
      <c r="Y16" s="29" t="str">
        <v>0.0175438596491229</v>
      </c>
    </row>
    <row r="17" spans="1:25" x14ac:dyDescent="0.45">
      <c r="C17" s="4" t="s">
        <v>19</v>
      </c>
      <c r="D17" s="1"/>
      <c r="K17" s="7"/>
      <c r="L17" s="7"/>
      <c r="M17" s="7"/>
      <c r="N17" s="7"/>
      <c r="O17" s="7"/>
      <c r="Q17" s="24" t="str">
        <v>DOCU US EQUITY</v>
      </c>
      <c r="R17" s="24">
        <v>46022</v>
      </c>
      <c r="S17" s="25" t="str">
        <v>custom</v>
      </c>
      <c r="T17" s="26" t="str">
        <v>customers</v>
      </c>
      <c r="U17" s="30" t="str">
        <v>1780000</v>
      </c>
      <c r="V17" s="29" t="str">
        <v>0.0920245398773005</v>
      </c>
      <c r="W17" s="29" t="str">
        <v>45.2453987730062</v>
      </c>
      <c r="X17" s="29" t="str">
        <v>-168.189975376654</v>
      </c>
      <c r="Y17" s="29" t="str">
        <v>0.0229885057471264</v>
      </c>
    </row>
    <row r="18" spans="1:25" x14ac:dyDescent="0.4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DOCU US EQUITY</v>
      </c>
      <c r="R18" s="24">
        <v>45747</v>
      </c>
      <c r="S18" s="25" t="str">
        <v>custom</v>
      </c>
      <c r="T18" s="26" t="str">
        <v>billings_in_k</v>
      </c>
      <c r="U18" s="30" t="str">
        <v>923206</v>
      </c>
      <c r="V18" s="29" t="str">
        <v>0.108200050896205</v>
      </c>
      <c r="W18" s="29" t="str">
        <v/>
      </c>
      <c r="X18" s="29" t="str">
        <v/>
      </c>
      <c r="Y18" s="29" t="str">
        <v/>
      </c>
    </row>
    <row r="19" spans="1:25" x14ac:dyDescent="0.45">
      <c r="C19" s="4" t="s">
        <v>5</v>
      </c>
      <c r="D19" s="1"/>
      <c r="K19" s="7"/>
      <c r="L19" s="7">
        <f ca="1">(L15-K15)*100</f>
        <v>9.92999999999995</v>
      </c>
      <c r="M19" s="7">
        <f ca="1">(M15-L15)*100</f>
        <v>4.4699999999991746</v>
      </c>
      <c r="N19" s="7">
        <f ca="1">(N15-M15)*100</f>
        <v>-7.2099999999991837</v>
      </c>
      <c r="O19" s="7">
        <f ca="1">(O15-N15)*100</f>
        <v>-17.379999999999995</v>
      </c>
      <c r="Q19" s="24" t="str">
        <v>DOCU US EQUITY</v>
      </c>
      <c r="R19" s="24">
        <v>45838</v>
      </c>
      <c r="S19" s="25" t="str">
        <v>custom</v>
      </c>
      <c r="T19" s="26" t="str">
        <v>billings_in_k</v>
      </c>
      <c r="U19" s="30" t="str">
        <v>739612</v>
      </c>
      <c r="V19" s="29" t="str">
        <v>0.0423853267901084</v>
      </c>
      <c r="W19" s="29" t="str">
        <v>-658.147241060969</v>
      </c>
      <c r="X19" s="29" t="str">
        <v>-91.512868060728</v>
      </c>
      <c r="Y19" s="29" t="str">
        <v>-0.198865691947409</v>
      </c>
    </row>
    <row r="20" spans="1:25" x14ac:dyDescent="0.45">
      <c r="Q20" s="24" t="str">
        <v>DOCU US EQUITY</v>
      </c>
      <c r="R20" s="24">
        <v>45930</v>
      </c>
      <c r="S20" s="25" t="str">
        <v>custom</v>
      </c>
      <c r="T20" s="26" t="str">
        <v>billings_in_k</v>
      </c>
      <c r="U20" s="30" t="str">
        <v>818031</v>
      </c>
      <c r="V20" s="29" t="str">
        <v>0.12908484102315</v>
      </c>
      <c r="W20" s="29" t="str">
        <v>866.995142330411</v>
      </c>
      <c r="X20" s="29" t="str">
        <v>1103.64210646628</v>
      </c>
      <c r="Y20" s="29" t="str">
        <v>0.106027214269103</v>
      </c>
    </row>
    <row r="21" spans="1:25" x14ac:dyDescent="0.45">
      <c r="C21" s="13" t="s">
        <v>12</v>
      </c>
      <c r="D21" s="14">
        <f t="shared" ref="D21:O21" ca="1" si="4">EOMONTH(DATE(YEAR(D22),ROUNDUP(MONTH(D22)/3,0)*3,1),0)</f>
        <v>45016</v>
      </c>
      <c r="E21" s="14">
        <f t="shared" ca="1" si="4"/>
        <v>45107</v>
      </c>
      <c r="F21" s="14">
        <f t="shared" ca="1" si="4"/>
        <v>45199</v>
      </c>
      <c r="G21" s="14">
        <f t="shared" ca="1" si="4"/>
        <v>45291</v>
      </c>
      <c r="H21" s="14">
        <f t="shared" ca="1" si="4"/>
        <v>45382</v>
      </c>
      <c r="I21" s="14">
        <f t="shared" ca="1" si="4"/>
        <v>45473</v>
      </c>
      <c r="J21" s="14">
        <f t="shared" ca="1" si="4"/>
        <v>45565</v>
      </c>
      <c r="K21" s="14">
        <f t="shared" ca="1" si="4"/>
        <v>45657</v>
      </c>
      <c r="L21" s="14">
        <f t="shared" ca="1" si="4"/>
        <v>45747</v>
      </c>
      <c r="M21" s="14">
        <f t="shared" ca="1" si="4"/>
        <v>45838</v>
      </c>
      <c r="N21" s="14">
        <f t="shared" ca="1" si="4"/>
        <v>45930</v>
      </c>
      <c r="O21" s="14">
        <f t="shared" ca="1" si="4"/>
        <v>46022</v>
      </c>
      <c r="Q21" s="24" t="str">
        <v>DOCU US EQUITY</v>
      </c>
      <c r="R21" s="24">
        <v>46022</v>
      </c>
      <c r="S21" s="25" t="str">
        <v>custom</v>
      </c>
      <c r="T21" s="26" t="str">
        <v>billings_in_k</v>
      </c>
      <c r="U21" s="30" t="str">
        <v>829459</v>
      </c>
      <c r="V21" s="29" t="str">
        <v>0.102553877605818</v>
      </c>
      <c r="W21" s="29" t="str">
        <v>-265.309634173316</v>
      </c>
      <c r="X21" s="29" t="str">
        <v>151.001694853332</v>
      </c>
      <c r="Y21" s="29" t="str">
        <v>0.0139701307163176</v>
      </c>
    </row>
    <row r="22" spans="1:25" x14ac:dyDescent="0.45">
      <c r="D22" s="1" cm="1">
        <f t="array" aca="1" ref="D22:O23" ca="1">+_xll.BDH($B$2,C23,$B$3,$B$4,"DIR=H")</f>
        <v>44957</v>
      </c>
      <c r="E22" s="1">
        <f ca="1"/>
        <v>45046</v>
      </c>
      <c r="F22" s="1">
        <f ca="1"/>
        <v>45138</v>
      </c>
      <c r="G22" s="1">
        <f ca="1"/>
        <v>45230</v>
      </c>
      <c r="H22" s="1">
        <f ca="1"/>
        <v>45322</v>
      </c>
      <c r="I22" s="1">
        <f ca="1"/>
        <v>45412</v>
      </c>
      <c r="J22" s="1">
        <f ca="1"/>
        <v>45504</v>
      </c>
      <c r="K22" s="1">
        <f ca="1"/>
        <v>45596</v>
      </c>
      <c r="L22" s="1">
        <f ca="1"/>
        <v>45688</v>
      </c>
      <c r="M22" s="1">
        <f ca="1"/>
        <v>45777</v>
      </c>
      <c r="N22" s="1">
        <f ca="1"/>
        <v>45869</v>
      </c>
      <c r="O22" s="1">
        <f ca="1"/>
        <v>45961</v>
      </c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DOCU US EQUITY</v>
      </c>
      <c r="R22" s="24">
        <v>45747</v>
      </c>
      <c r="S22" s="25" t="str">
        <v>custom</v>
      </c>
      <c r="T22" s="26" t="str">
        <v>net_retention_pct</v>
      </c>
      <c r="U22" s="27" t="str">
        <v>1.01</v>
      </c>
      <c r="V22" s="28" t="str">
        <v>300</v>
      </c>
      <c r="W22" s="29" t="str">
        <v/>
      </c>
      <c r="X22" s="28" t="str">
        <v/>
      </c>
      <c r="Y22" s="29" t="str">
        <v/>
      </c>
    </row>
    <row r="23" spans="1:25" x14ac:dyDescent="0.45">
      <c r="A23" s="16" t="s">
        <v>9</v>
      </c>
      <c r="B23" s="16" t="s">
        <v>15</v>
      </c>
      <c r="C23" s="9" t="s">
        <v>7</v>
      </c>
      <c r="D23" s="3">
        <f ca="1"/>
        <v>-4.3099999999999999E-2</v>
      </c>
      <c r="E23" s="3">
        <f ca="1"/>
        <v>-0.70320000000000005</v>
      </c>
      <c r="F23" s="3">
        <f ca="1"/>
        <v>0.96150000000000002</v>
      </c>
      <c r="G23" s="3">
        <f ca="1"/>
        <v>2.8180000000000001</v>
      </c>
      <c r="H23" s="3">
        <f ca="1"/>
        <v>1.3946000000000001</v>
      </c>
      <c r="I23" s="3">
        <f ca="1"/>
        <v>3.1886999999999999</v>
      </c>
      <c r="J23" s="3">
        <f ca="1"/>
        <v>7.8531000000000004</v>
      </c>
      <c r="K23" s="3">
        <f ca="1"/>
        <v>7.8204000000000002</v>
      </c>
      <c r="L23" s="3">
        <f ca="1"/>
        <v>7.7899000000000003</v>
      </c>
      <c r="M23" s="3">
        <f ca="1"/>
        <v>7.8903999999999996</v>
      </c>
      <c r="N23" s="3">
        <f ca="1"/>
        <v>8.1469000000000005</v>
      </c>
      <c r="O23">
        <f ca="1"/>
        <v>10.430099999999999</v>
      </c>
      <c r="Q23" s="24" t="str">
        <v>DOCU US EQUITY</v>
      </c>
      <c r="R23" s="24">
        <v>45838</v>
      </c>
      <c r="S23" s="25" t="str">
        <v>custom</v>
      </c>
      <c r="T23" s="26" t="str">
        <v>net_retention_pct</v>
      </c>
      <c r="U23" s="27" t="str">
        <v>1.01</v>
      </c>
      <c r="V23" s="28" t="str">
        <v>200</v>
      </c>
      <c r="W23" s="29" t="str">
        <v/>
      </c>
      <c r="X23" s="28" t="str">
        <v/>
      </c>
      <c r="Y23" s="29" t="str">
        <v>0</v>
      </c>
    </row>
    <row r="24" spans="1:25" x14ac:dyDescent="0.45">
      <c r="C24" s="4" t="s">
        <v>4</v>
      </c>
      <c r="D24" s="5"/>
      <c r="E24" s="4"/>
      <c r="F24" s="4"/>
      <c r="G24" s="4"/>
      <c r="H24" s="7">
        <f t="shared" ref="H24:O24" ca="1" si="5">(H23-D23)*100</f>
        <v>143.77000000000001</v>
      </c>
      <c r="I24" s="7">
        <f t="shared" ca="1" si="5"/>
        <v>389.18999999999994</v>
      </c>
      <c r="J24" s="7">
        <f t="shared" ca="1" si="5"/>
        <v>689.16000000000008</v>
      </c>
      <c r="K24" s="7">
        <f t="shared" ca="1" si="5"/>
        <v>500.23999999999995</v>
      </c>
      <c r="L24" s="7">
        <f t="shared" ca="1" si="5"/>
        <v>639.53000000000009</v>
      </c>
      <c r="M24" s="7">
        <f t="shared" ca="1" si="5"/>
        <v>470.16999999999996</v>
      </c>
      <c r="N24" s="7">
        <f t="shared" ca="1" si="5"/>
        <v>29.380000000000006</v>
      </c>
      <c r="O24" s="7">
        <f t="shared" ca="1" si="5"/>
        <v>260.96999999999991</v>
      </c>
      <c r="Q24" s="24" t="str">
        <v>DOCU US EQUITY</v>
      </c>
      <c r="R24" s="24">
        <v>45930</v>
      </c>
      <c r="S24" s="25" t="str">
        <v>custom</v>
      </c>
      <c r="T24" s="26" t="str">
        <v>net_retention_pct</v>
      </c>
      <c r="U24" s="27" t="str">
        <v>1.02</v>
      </c>
      <c r="V24" s="28" t="str">
        <v>300</v>
      </c>
      <c r="W24" s="29" t="str">
        <v/>
      </c>
      <c r="X24" s="28" t="str">
        <v/>
      </c>
      <c r="Y24" s="29" t="str">
        <v>100</v>
      </c>
    </row>
    <row r="25" spans="1:25" x14ac:dyDescent="0.45">
      <c r="C25" s="4" t="s">
        <v>19</v>
      </c>
      <c r="D25" s="1"/>
      <c r="K25" s="7"/>
      <c r="L25" s="7"/>
      <c r="M25" s="7"/>
      <c r="N25" s="7"/>
      <c r="O25" s="7"/>
      <c r="Q25" s="24" t="str">
        <v>DOCU US EQUITY</v>
      </c>
      <c r="R25" s="24">
        <v>46022</v>
      </c>
      <c r="S25" s="25" t="str">
        <v>custom</v>
      </c>
      <c r="T25" s="26" t="str">
        <v>net_retention_pct</v>
      </c>
      <c r="U25" s="27" t="str">
        <v>1.02</v>
      </c>
      <c r="V25" s="28" t="str">
        <v>200</v>
      </c>
      <c r="W25" s="29" t="str">
        <v/>
      </c>
      <c r="X25" s="28" t="str">
        <v/>
      </c>
      <c r="Y25" s="29" t="str">
        <v>0</v>
      </c>
    </row>
    <row r="26" spans="1:25" x14ac:dyDescent="0.4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DOCU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45">
      <c r="C27" s="4" t="s">
        <v>5</v>
      </c>
      <c r="D27" s="1"/>
      <c r="K27" s="7"/>
      <c r="L27" s="7">
        <f ca="1">(L23-K23)*100</f>
        <v>-3.0499999999999972</v>
      </c>
      <c r="M27" s="7">
        <f ca="1">(M23-L23)*100</f>
        <v>10.049999999999937</v>
      </c>
      <c r="N27" s="7">
        <f ca="1">(N23-M23)*100</f>
        <v>25.650000000000084</v>
      </c>
      <c r="O27" s="7">
        <f ca="1">(O23-N23)*100</f>
        <v>228.31999999999991</v>
      </c>
      <c r="Q27" s="24" t="str">
        <v>DOCU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45">
      <c r="C28" s="4"/>
      <c r="D28" s="1"/>
      <c r="K28" s="7"/>
      <c r="L28" s="7"/>
      <c r="M28" s="7"/>
      <c r="N28" s="7"/>
      <c r="O28" s="7"/>
      <c r="Q28" s="24" t="str">
        <v>DOCU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45">
      <c r="C29" s="13" t="s">
        <v>12</v>
      </c>
      <c r="D29" s="14">
        <f t="shared" ref="D29:M29" si="6">EOMONTH(DATE(YEAR(D30),ROUNDUP(MONTH(D30)/3,0)*3,1),0)</f>
        <v>45107</v>
      </c>
      <c r="E29" s="14">
        <f t="shared" si="6"/>
        <v>45107</v>
      </c>
      <c r="F29" s="14">
        <f t="shared" si="6"/>
        <v>45199</v>
      </c>
      <c r="G29" s="14">
        <f t="shared" si="6"/>
        <v>45291</v>
      </c>
      <c r="H29" s="14">
        <f t="shared" si="6"/>
        <v>45382</v>
      </c>
      <c r="I29" s="14">
        <f t="shared" si="6"/>
        <v>45473</v>
      </c>
      <c r="J29" s="14">
        <f t="shared" si="6"/>
        <v>45565</v>
      </c>
      <c r="K29" s="14">
        <f t="shared" si="6"/>
        <v>45657</v>
      </c>
      <c r="L29" s="14">
        <f t="shared" si="6"/>
        <v>45747</v>
      </c>
      <c r="M29" s="14">
        <f t="shared" si="6"/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DOCU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45">
      <c r="D30" s="2">
        <v>45046</v>
      </c>
      <c r="E30" s="2">
        <v>45046</v>
      </c>
      <c r="F30" s="2">
        <v>45138</v>
      </c>
      <c r="G30" s="2">
        <v>45230</v>
      </c>
      <c r="H30" s="2">
        <v>45322</v>
      </c>
      <c r="I30" s="2">
        <v>45412</v>
      </c>
      <c r="J30" s="2">
        <v>45504</v>
      </c>
      <c r="K30" s="2">
        <v>45596</v>
      </c>
      <c r="L30" s="2">
        <v>45688</v>
      </c>
      <c r="M30" s="2">
        <v>45777</v>
      </c>
      <c r="N30" s="2">
        <v>45869</v>
      </c>
      <c r="O30" s="2">
        <v>45961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DOCU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45">
      <c r="A31" s="16" t="s">
        <v>21</v>
      </c>
      <c r="B31" s="16" t="s">
        <v>38</v>
      </c>
      <c r="C31" s="2" t="s">
        <v>39</v>
      </c>
      <c r="D31" s="32">
        <v>1400000</v>
      </c>
      <c r="E31" s="32">
        <v>1400000</v>
      </c>
      <c r="F31" s="32">
        <v>1440000</v>
      </c>
      <c r="G31" s="32">
        <v>1470000</v>
      </c>
      <c r="H31" s="32">
        <v>1510000</v>
      </c>
      <c r="I31" s="32">
        <v>1560000</v>
      </c>
      <c r="J31" s="32">
        <v>1600000</v>
      </c>
      <c r="K31" s="32">
        <v>1630000</v>
      </c>
      <c r="L31" s="32">
        <v>1660000</v>
      </c>
      <c r="M31" s="32">
        <v>1710000</v>
      </c>
      <c r="N31" s="32">
        <v>1740000</v>
      </c>
      <c r="O31" s="32">
        <v>1780000</v>
      </c>
      <c r="Q31" s="24" t="str">
        <v>DOCU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45">
      <c r="C32" s="4" t="s">
        <v>4</v>
      </c>
      <c r="D32" s="5"/>
      <c r="E32" s="5"/>
      <c r="F32" s="4"/>
      <c r="G32" s="4"/>
      <c r="H32" s="12"/>
      <c r="I32" s="12">
        <f t="shared" ref="I32" si="7">+I31/E31-1</f>
        <v>0.11428571428571432</v>
      </c>
      <c r="J32" s="12">
        <f t="shared" ref="J32" si="8">+J31/F31-1</f>
        <v>0.11111111111111116</v>
      </c>
      <c r="K32" s="12">
        <f t="shared" ref="K32" si="9">+K31/G31-1</f>
        <v>0.10884353741496589</v>
      </c>
      <c r="L32" s="12">
        <f t="shared" ref="L32" si="10">+L31/H31-1</f>
        <v>9.9337748344370924E-2</v>
      </c>
      <c r="M32" s="12">
        <f t="shared" ref="M32" si="11">+M31/I31-1</f>
        <v>9.6153846153846256E-2</v>
      </c>
      <c r="N32" s="12">
        <f t="shared" ref="N32" si="12">+N31/J31-1</f>
        <v>8.7499999999999911E-2</v>
      </c>
      <c r="O32" s="12">
        <f t="shared" ref="O32" si="13">+O31/K31-1</f>
        <v>9.2024539877300526E-2</v>
      </c>
      <c r="Q32" s="24" t="str">
        <v>DOCU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45">
      <c r="C33" s="4" t="s">
        <v>19</v>
      </c>
      <c r="D33" s="1"/>
      <c r="E33" s="1"/>
      <c r="M33" s="7">
        <f>(M32-L32)*10000</f>
        <v>-31.839021905246678</v>
      </c>
      <c r="N33" s="7">
        <f>(N32-M32)*10000</f>
        <v>-86.538461538463451</v>
      </c>
      <c r="O33" s="7">
        <f>(O32-N32)*10000</f>
        <v>45.245398773006151</v>
      </c>
      <c r="Q33" s="24" t="str">
        <v>DOCU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45">
      <c r="C34" s="4" t="s">
        <v>23</v>
      </c>
      <c r="D34" s="1"/>
      <c r="E34" s="1"/>
      <c r="F34" s="6"/>
      <c r="G34" s="6"/>
      <c r="H34" s="6"/>
      <c r="I34" s="6"/>
      <c r="J34" s="6"/>
      <c r="K34" s="6"/>
      <c r="L34" s="6"/>
      <c r="M34" s="7">
        <f>(M32-I32)*10000</f>
        <v>-181.31868131868066</v>
      </c>
      <c r="N34" s="7">
        <f>(N32-J32)*10000</f>
        <v>-236.11111111111251</v>
      </c>
      <c r="O34" s="7">
        <f>(O32-K32)*10000</f>
        <v>-168.18997537665359</v>
      </c>
    </row>
    <row r="35" spans="1:25" x14ac:dyDescent="0.45">
      <c r="C35" s="4" t="s">
        <v>5</v>
      </c>
      <c r="D35" s="1"/>
      <c r="E35" s="1"/>
      <c r="M35" s="12">
        <f>M31/L31-1</f>
        <v>3.0120481927710774E-2</v>
      </c>
      <c r="N35" s="12">
        <f>N31/M31-1</f>
        <v>1.7543859649122862E-2</v>
      </c>
      <c r="O35" s="12">
        <f>O31/N31-1</f>
        <v>2.2988505747126409E-2</v>
      </c>
    </row>
    <row r="36" spans="1:25" x14ac:dyDescent="0.45">
      <c r="C36" s="4"/>
      <c r="D36" s="1"/>
      <c r="E36" s="1"/>
      <c r="M36" s="7"/>
      <c r="N36" s="7"/>
      <c r="O36" s="7"/>
    </row>
    <row r="37" spans="1:25" x14ac:dyDescent="0.45">
      <c r="C37" s="13" t="s">
        <v>12</v>
      </c>
      <c r="D37" s="14">
        <f t="shared" ref="D37:M37" si="14">EOMONTH(DATE(YEAR(D38),ROUNDUP(MONTH(D38)/3,0)*3,1),0)</f>
        <v>45107</v>
      </c>
      <c r="E37" s="14">
        <f t="shared" si="14"/>
        <v>45107</v>
      </c>
      <c r="F37" s="14">
        <f t="shared" si="14"/>
        <v>45199</v>
      </c>
      <c r="G37" s="14">
        <f t="shared" si="14"/>
        <v>45291</v>
      </c>
      <c r="H37" s="14">
        <f t="shared" si="14"/>
        <v>45382</v>
      </c>
      <c r="I37" s="14">
        <f t="shared" si="14"/>
        <v>45473</v>
      </c>
      <c r="J37" s="14">
        <f t="shared" si="14"/>
        <v>45565</v>
      </c>
      <c r="K37" s="14">
        <f t="shared" si="14"/>
        <v>45657</v>
      </c>
      <c r="L37" s="14">
        <f t="shared" si="14"/>
        <v>45747</v>
      </c>
      <c r="M37" s="14">
        <f t="shared" si="14"/>
        <v>45838</v>
      </c>
      <c r="N37" s="14">
        <f>EOMONTH(DATE(YEAR(N38),ROUNDUP(MONTH(N38)/3,0)*3,1),0)</f>
        <v>45930</v>
      </c>
      <c r="O37" s="14">
        <f>EOMONTH(DATE(YEAR(O38),ROUNDUP(MONTH(O38)/3,0)*3,1),0)</f>
        <v>46022</v>
      </c>
    </row>
    <row r="38" spans="1:25" x14ac:dyDescent="0.45">
      <c r="D38" s="2">
        <v>45046</v>
      </c>
      <c r="E38" s="2">
        <v>45046</v>
      </c>
      <c r="F38" s="2">
        <v>45138</v>
      </c>
      <c r="G38" s="2">
        <v>45230</v>
      </c>
      <c r="H38" s="2">
        <v>45322</v>
      </c>
      <c r="I38" s="2">
        <v>45412</v>
      </c>
      <c r="J38" s="2">
        <v>45504</v>
      </c>
      <c r="K38" s="2">
        <v>45596</v>
      </c>
      <c r="L38" s="2">
        <v>45688</v>
      </c>
      <c r="M38" s="2">
        <v>45777</v>
      </c>
      <c r="N38" s="2">
        <v>45869</v>
      </c>
      <c r="O38" s="2">
        <v>45961</v>
      </c>
    </row>
    <row r="39" spans="1:25" x14ac:dyDescent="0.45">
      <c r="A39" s="16" t="s">
        <v>21</v>
      </c>
      <c r="B39" s="16" t="s">
        <v>45</v>
      </c>
      <c r="C39" s="2" t="s">
        <v>46</v>
      </c>
      <c r="D39" s="10">
        <v>674763</v>
      </c>
      <c r="E39" s="10">
        <v>674763</v>
      </c>
      <c r="F39" s="10">
        <v>711194</v>
      </c>
      <c r="G39" s="10">
        <v>691806</v>
      </c>
      <c r="H39" s="10">
        <v>833068</v>
      </c>
      <c r="I39" s="10">
        <v>709538</v>
      </c>
      <c r="J39" s="10">
        <v>724508</v>
      </c>
      <c r="K39" s="10">
        <v>752307</v>
      </c>
      <c r="L39" s="10">
        <v>923206</v>
      </c>
      <c r="M39" s="10">
        <v>739612</v>
      </c>
      <c r="N39" s="10">
        <v>818031</v>
      </c>
      <c r="O39" s="10">
        <v>829459</v>
      </c>
    </row>
    <row r="40" spans="1:25" x14ac:dyDescent="0.45">
      <c r="C40" s="4" t="s">
        <v>4</v>
      </c>
      <c r="D40" s="5"/>
      <c r="E40" s="5"/>
      <c r="F40" s="4"/>
      <c r="G40" s="4"/>
      <c r="H40" s="12"/>
      <c r="I40" s="12">
        <f t="shared" ref="I40" si="15">+I39/E39-1</f>
        <v>5.1536613596181224E-2</v>
      </c>
      <c r="J40" s="12">
        <f t="shared" ref="J40" si="16">+J39/F39-1</f>
        <v>1.8720630376521719E-2</v>
      </c>
      <c r="K40" s="12">
        <f t="shared" ref="K40" si="17">+K39/G39-1</f>
        <v>8.7453708120484697E-2</v>
      </c>
      <c r="L40" s="12">
        <f t="shared" ref="L40" si="18">+L39/H39-1</f>
        <v>0.10820005089620532</v>
      </c>
      <c r="M40" s="12">
        <f t="shared" ref="M40" si="19">+M39/I39-1</f>
        <v>4.2385326790108424E-2</v>
      </c>
      <c r="N40" s="12">
        <f t="shared" ref="N40" si="20">+N39/J39-1</f>
        <v>0.12908484102314954</v>
      </c>
      <c r="O40" s="12">
        <f t="shared" ref="O40" si="21">+O39/K39-1</f>
        <v>0.10255387760581791</v>
      </c>
    </row>
    <row r="41" spans="1:25" x14ac:dyDescent="0.45">
      <c r="C41" s="4" t="s">
        <v>19</v>
      </c>
      <c r="D41" s="1"/>
      <c r="E41" s="1"/>
      <c r="M41" s="7">
        <f>(M40-L40)*10000</f>
        <v>-658.14724106096901</v>
      </c>
      <c r="N41" s="7">
        <f>(N40-M40)*10000</f>
        <v>866.99514233041123</v>
      </c>
      <c r="O41" s="7">
        <f>(O40-N40)*10000</f>
        <v>-265.30963417331634</v>
      </c>
    </row>
    <row r="42" spans="1:25" x14ac:dyDescent="0.45">
      <c r="C42" s="4" t="s">
        <v>23</v>
      </c>
      <c r="D42" s="1"/>
      <c r="E42" s="1"/>
      <c r="F42" s="6"/>
      <c r="G42" s="6"/>
      <c r="H42" s="6"/>
      <c r="I42" s="6"/>
      <c r="J42" s="6"/>
      <c r="K42" s="6"/>
      <c r="L42" s="6"/>
      <c r="M42" s="7">
        <f>(M40-I40)*10000</f>
        <v>-91.51286806072801</v>
      </c>
      <c r="N42" s="7">
        <f>(N40-J40)*10000</f>
        <v>1103.6421064662782</v>
      </c>
      <c r="O42" s="7">
        <f>(O40-K40)*10000</f>
        <v>151.00169485333214</v>
      </c>
    </row>
    <row r="43" spans="1:25" x14ac:dyDescent="0.45">
      <c r="C43" s="4" t="s">
        <v>5</v>
      </c>
      <c r="D43" s="1"/>
      <c r="E43" s="1"/>
      <c r="M43" s="12">
        <f>M39/L39-1</f>
        <v>-0.19886569194740933</v>
      </c>
      <c r="N43" s="12">
        <f>N39/M39-1</f>
        <v>0.10602721426910322</v>
      </c>
      <c r="O43" s="12">
        <f>O39/N39-1</f>
        <v>1.3970130716317586E-2</v>
      </c>
    </row>
    <row r="44" spans="1:25" x14ac:dyDescent="0.45">
      <c r="C44" s="4"/>
      <c r="D44" s="1"/>
      <c r="E44" s="1"/>
      <c r="H44" s="1"/>
    </row>
    <row r="45" spans="1:25" x14ac:dyDescent="0.45">
      <c r="C45" s="13" t="s">
        <v>12</v>
      </c>
      <c r="D45" s="14">
        <f t="shared" ref="D45:M45" si="22">EOMONTH(DATE(YEAR(D46),ROUNDUP(MONTH(D46)/3,0)*3,1),0)</f>
        <v>45107</v>
      </c>
      <c r="E45" s="14">
        <f t="shared" si="22"/>
        <v>45107</v>
      </c>
      <c r="F45" s="14">
        <f t="shared" si="22"/>
        <v>45199</v>
      </c>
      <c r="G45" s="14">
        <f t="shared" si="22"/>
        <v>45291</v>
      </c>
      <c r="H45" s="14">
        <f t="shared" si="22"/>
        <v>45382</v>
      </c>
      <c r="I45" s="14">
        <f t="shared" si="22"/>
        <v>45473</v>
      </c>
      <c r="J45" s="14">
        <f t="shared" si="22"/>
        <v>45565</v>
      </c>
      <c r="K45" s="14">
        <f t="shared" si="22"/>
        <v>45657</v>
      </c>
      <c r="L45" s="14">
        <f t="shared" si="22"/>
        <v>45747</v>
      </c>
      <c r="M45" s="14">
        <f t="shared" si="22"/>
        <v>45838</v>
      </c>
      <c r="N45" s="14">
        <f>EOMONTH(DATE(YEAR(N46),ROUNDUP(MONTH(N46)/3,0)*3,1),0)</f>
        <v>45930</v>
      </c>
      <c r="O45" s="14">
        <f>EOMONTH(DATE(YEAR(O46),ROUNDUP(MONTH(O46)/3,0)*3,1),0)</f>
        <v>46022</v>
      </c>
    </row>
    <row r="46" spans="1:25" x14ac:dyDescent="0.45">
      <c r="D46" s="2">
        <v>45046</v>
      </c>
      <c r="E46" s="2">
        <v>45046</v>
      </c>
      <c r="F46" s="2">
        <v>45138</v>
      </c>
      <c r="G46" s="2">
        <v>45230</v>
      </c>
      <c r="H46" s="2">
        <v>45322</v>
      </c>
      <c r="I46" s="2">
        <v>45412</v>
      </c>
      <c r="J46" s="2">
        <v>45504</v>
      </c>
      <c r="K46" s="2">
        <v>45596</v>
      </c>
      <c r="L46" s="2">
        <v>45688</v>
      </c>
      <c r="M46" s="2">
        <v>45777</v>
      </c>
      <c r="N46" s="2">
        <v>45869</v>
      </c>
      <c r="O46" s="2">
        <v>45961</v>
      </c>
    </row>
    <row r="47" spans="1:25" x14ac:dyDescent="0.45">
      <c r="A47" s="16" t="s">
        <v>21</v>
      </c>
      <c r="B47" s="16" t="s">
        <v>68</v>
      </c>
      <c r="C47" s="2" t="s">
        <v>47</v>
      </c>
      <c r="D47" s="34">
        <v>1.05</v>
      </c>
      <c r="E47" s="34">
        <v>1.05</v>
      </c>
      <c r="F47" s="34">
        <v>1.02</v>
      </c>
      <c r="G47" s="34">
        <v>1</v>
      </c>
      <c r="H47" s="35">
        <v>0.98</v>
      </c>
      <c r="I47" s="35">
        <v>0.99</v>
      </c>
      <c r="J47" s="35">
        <v>0.99</v>
      </c>
      <c r="K47" s="35">
        <v>1</v>
      </c>
      <c r="L47" s="35">
        <v>1.01</v>
      </c>
      <c r="M47" s="35">
        <v>1.01</v>
      </c>
      <c r="N47" s="35">
        <v>1.02</v>
      </c>
      <c r="O47" s="35">
        <v>1.02</v>
      </c>
    </row>
    <row r="48" spans="1:25" x14ac:dyDescent="0.45">
      <c r="C48" s="4" t="s">
        <v>4</v>
      </c>
      <c r="D48" s="5"/>
      <c r="E48" s="5"/>
      <c r="F48" s="4"/>
      <c r="G48" s="4"/>
      <c r="H48" s="4"/>
      <c r="I48" s="7">
        <f t="shared" ref="I48" si="23">(I47-E47)*10000</f>
        <v>-600.00000000000057</v>
      </c>
      <c r="J48" s="7">
        <f t="shared" ref="J48" si="24">(J47-F47)*10000</f>
        <v>-300.00000000000028</v>
      </c>
      <c r="K48" s="7">
        <f t="shared" ref="K48" si="25">(K47-G47)*10000</f>
        <v>0</v>
      </c>
      <c r="L48" s="7">
        <f t="shared" ref="L48" si="26">(L47-H47)*10000</f>
        <v>300.00000000000028</v>
      </c>
      <c r="M48" s="7">
        <f t="shared" ref="M48" si="27">(M47-I47)*10000</f>
        <v>200.00000000000017</v>
      </c>
      <c r="N48" s="7">
        <f t="shared" ref="N48" si="28">(N47-J47)*10000</f>
        <v>300.00000000000028</v>
      </c>
      <c r="O48" s="7">
        <f t="shared" ref="O48" si="29">(O47-K47)*10000</f>
        <v>200.00000000000017</v>
      </c>
    </row>
    <row r="49" spans="1:15" x14ac:dyDescent="0.45">
      <c r="C49" s="4" t="s">
        <v>19</v>
      </c>
      <c r="D49" s="1"/>
      <c r="E49" s="1"/>
      <c r="L49" s="7"/>
      <c r="M49" s="7"/>
      <c r="N49" s="7"/>
      <c r="O49" s="7"/>
    </row>
    <row r="50" spans="1:15" x14ac:dyDescent="0.45">
      <c r="C50" s="4" t="s">
        <v>23</v>
      </c>
      <c r="D50" s="1"/>
      <c r="E50" s="1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45">
      <c r="C51" s="4" t="s">
        <v>5</v>
      </c>
      <c r="D51" s="1"/>
      <c r="E51" s="1"/>
      <c r="L51" s="7"/>
      <c r="M51" s="7">
        <f>(M47-L47)*10000</f>
        <v>0</v>
      </c>
      <c r="N51" s="7">
        <f>(N47-M47)*10000</f>
        <v>100.00000000000009</v>
      </c>
      <c r="O51" s="7">
        <f>(O47-N47)*10000</f>
        <v>0</v>
      </c>
    </row>
    <row r="52" spans="1:15" x14ac:dyDescent="0.45">
      <c r="C52" s="4"/>
      <c r="D52" s="1"/>
      <c r="G52" s="1"/>
    </row>
    <row r="53" spans="1:15" x14ac:dyDescent="0.4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4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4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4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45">
      <c r="C57" s="4"/>
      <c r="D57" s="1"/>
      <c r="K57" s="7"/>
      <c r="L57" s="7"/>
      <c r="M57" s="7"/>
      <c r="N57" s="7"/>
      <c r="O57" s="7"/>
    </row>
    <row r="58" spans="1:15" x14ac:dyDescent="0.4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45">
      <c r="C59" s="4"/>
      <c r="D59" s="1"/>
      <c r="K59" s="7"/>
      <c r="L59" s="7"/>
      <c r="M59" s="7"/>
      <c r="N59" s="7"/>
      <c r="O59" s="7"/>
    </row>
    <row r="64" spans="1:15" x14ac:dyDescent="0.4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45">
      <c r="C65" s="4"/>
      <c r="D65" s="1"/>
      <c r="K65" s="7"/>
      <c r="L65" s="7"/>
      <c r="M65" s="7"/>
      <c r="N65" s="7"/>
      <c r="O65" s="7"/>
    </row>
    <row r="66" spans="3:15" x14ac:dyDescent="0.4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4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686D3-7C76-4625-991B-0C8AC834A03F}">
  <dimension ref="A1:Y67"/>
  <sheetViews>
    <sheetView topLeftCell="A23" zoomScale="85" zoomScaleNormal="85" workbookViewId="0">
      <selection activeCell="A31" sqref="A31:A39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15" width="10.1328125" bestFit="1" customWidth="1"/>
    <col min="16" max="16" width="9" customWidth="1"/>
    <col min="17" max="17" width="12.3984375" bestFit="1" customWidth="1"/>
    <col min="18" max="18" width="14.3984375" bestFit="1" customWidth="1"/>
    <col min="19" max="19" width="8.59765625" bestFit="1" customWidth="1"/>
    <col min="20" max="20" width="20.265625" bestFit="1" customWidth="1"/>
    <col min="21" max="21" width="7.3984375" bestFit="1" customWidth="1"/>
    <col min="22" max="22" width="10.73046875" bestFit="1" customWidth="1"/>
    <col min="23" max="23" width="9.1328125" bestFit="1" customWidth="1"/>
    <col min="24" max="24" width="10.3984375" bestFit="1" customWidth="1"/>
    <col min="25" max="25" width="9.1328125" bestFit="1" customWidth="1"/>
  </cols>
  <sheetData>
    <row r="1" spans="1:25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45">
      <c r="A2" s="17" t="s">
        <v>1</v>
      </c>
      <c r="B2" s="31" t="s">
        <v>48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FIVN US EQUITY</v>
      </c>
      <c r="R2" s="24">
        <f ca="1"/>
        <v>45747</v>
      </c>
      <c r="S2" s="25" t="str">
        <f ca="1"/>
        <v>canonical</v>
      </c>
      <c r="T2" s="26" t="str">
        <f ca="1"/>
        <v>revenue</v>
      </c>
      <c r="U2" s="27" t="str">
        <f ca="1"/>
        <v>279.705</v>
      </c>
      <c r="V2" s="28" t="str">
        <f ca="1"/>
        <v>0.132363062224201</v>
      </c>
      <c r="W2" s="29" t="str">
        <f ca="1"/>
        <v>-332.759770208482</v>
      </c>
      <c r="X2" s="28" t="str">
        <f ca="1"/>
        <v>15.6682162613975</v>
      </c>
      <c r="Y2" s="29" t="str">
        <f ca="1"/>
        <v>0.00375008971506485</v>
      </c>
    </row>
    <row r="3" spans="1:25" x14ac:dyDescent="0.45">
      <c r="A3" s="18" t="s">
        <v>3</v>
      </c>
      <c r="B3" s="19">
        <f ca="1">+B4-365*3</f>
        <v>45001</v>
      </c>
      <c r="Q3" s="24" t="str">
        <f ca="1"/>
        <v>FIVN US EQUITY</v>
      </c>
      <c r="R3" s="24">
        <f ca="1"/>
        <v>45838</v>
      </c>
      <c r="S3" s="25" t="str">
        <f ca="1"/>
        <v>canonical</v>
      </c>
      <c r="T3" s="26" t="str">
        <f ca="1"/>
        <v>revenue</v>
      </c>
      <c r="U3" s="27" t="str">
        <f ca="1"/>
        <v>283.269</v>
      </c>
      <c r="V3" s="28" t="str">
        <f ca="1"/>
        <v>0.123699848464413</v>
      </c>
      <c r="W3" s="29" t="str">
        <f ca="1"/>
        <v>-86.632137597884</v>
      </c>
      <c r="X3" s="29" t="str">
        <f ca="1"/>
        <v>-73.2912650889128</v>
      </c>
      <c r="Y3" s="29" t="str">
        <f ca="1"/>
        <v>0.0127419960315334</v>
      </c>
    </row>
    <row r="4" spans="1:25" x14ac:dyDescent="0.45">
      <c r="A4" s="20" t="s">
        <v>2</v>
      </c>
      <c r="B4" s="21">
        <f ca="1">TODAY()</f>
        <v>46096</v>
      </c>
      <c r="Q4" s="24" t="str">
        <f ca="1"/>
        <v>FIVN US EQUITY</v>
      </c>
      <c r="R4" s="24">
        <f ca="1"/>
        <v>45930</v>
      </c>
      <c r="S4" s="25" t="str">
        <f ca="1"/>
        <v>canonical</v>
      </c>
      <c r="T4" s="26" t="str">
        <f ca="1"/>
        <v>revenue</v>
      </c>
      <c r="U4" s="27" t="str">
        <f ca="1"/>
        <v>285.832</v>
      </c>
      <c r="V4" s="28" t="str">
        <f ca="1"/>
        <v>0.081951079180262</v>
      </c>
      <c r="W4" s="29" t="str">
        <f ca="1"/>
        <v>-417.487692841509</v>
      </c>
      <c r="X4" s="29" t="str">
        <f ca="1"/>
        <v>-661.42182591538</v>
      </c>
      <c r="Y4" s="29" t="str">
        <f ca="1"/>
        <v>0.00904793676681881</v>
      </c>
    </row>
    <row r="5" spans="1:25" x14ac:dyDescent="0.45">
      <c r="C5" s="13" t="s">
        <v>12</v>
      </c>
      <c r="D5" s="14">
        <f t="shared" ref="D5:O5" ca="1" si="0">EOMONTH(DATE(YEAR(D6),ROUNDUP(MONTH(D6)/3,0)*3,1),0)</f>
        <v>45016</v>
      </c>
      <c r="E5" s="14">
        <f t="shared" ca="1" si="0"/>
        <v>45107</v>
      </c>
      <c r="F5" s="14">
        <f t="shared" ca="1" si="0"/>
        <v>45199</v>
      </c>
      <c r="G5" s="14">
        <f t="shared" ca="1" si="0"/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t="shared" ca="1" si="0"/>
        <v>45747</v>
      </c>
      <c r="M5" s="14">
        <f t="shared" ca="1" si="0"/>
        <v>45838</v>
      </c>
      <c r="N5" s="14">
        <f t="shared" ca="1" si="0"/>
        <v>45930</v>
      </c>
      <c r="O5" s="14">
        <f t="shared" ca="1" si="0"/>
        <v>46022</v>
      </c>
      <c r="Q5" s="24" t="str">
        <f ca="1"/>
        <v>FIVN US EQUITY</v>
      </c>
      <c r="R5" s="24">
        <f ca="1"/>
        <v>46022</v>
      </c>
      <c r="S5" s="25" t="str">
        <f ca="1"/>
        <v>canonical</v>
      </c>
      <c r="T5" s="26" t="str">
        <f ca="1"/>
        <v>revenue</v>
      </c>
      <c r="U5" s="27" t="str">
        <f ca="1"/>
        <v>300.282</v>
      </c>
      <c r="V5" s="28" t="str">
        <f ca="1"/>
        <v>0.077592765377162</v>
      </c>
      <c r="W5" s="29" t="str">
        <f ca="1"/>
        <v>-43.5831380310003</v>
      </c>
      <c r="X5" s="29" t="str">
        <f ca="1"/>
        <v>-880.462738678875</v>
      </c>
      <c r="Y5" s="29" t="str">
        <f ca="1"/>
        <v>0.0505541716812672</v>
      </c>
    </row>
    <row r="6" spans="1:25" x14ac:dyDescent="0.45">
      <c r="D6" s="15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FIVN US EQUITY</v>
      </c>
      <c r="R6" s="24">
        <f ca="1"/>
        <v>45747</v>
      </c>
      <c r="S6" s="25" t="str">
        <f ca="1"/>
        <v>canonical</v>
      </c>
      <c r="T6" s="26" t="str">
        <f ca="1"/>
        <v>gross_margin_gaap</v>
      </c>
      <c r="U6" s="30" t="str">
        <f ca="1"/>
        <v>54.9622</v>
      </c>
      <c r="V6" s="29" t="str">
        <f ca="1"/>
        <v>132.87</v>
      </c>
      <c r="W6" s="29" t="str">
        <f ca="1"/>
        <v/>
      </c>
      <c r="X6" s="29" t="str">
        <f ca="1"/>
        <v/>
      </c>
      <c r="Y6" s="29" t="str">
        <f ca="1"/>
        <v>-101.89</v>
      </c>
    </row>
    <row r="7" spans="1:25" x14ac:dyDescent="0.45">
      <c r="A7" s="16" t="s">
        <v>9</v>
      </c>
      <c r="B7" s="16" t="s">
        <v>8</v>
      </c>
      <c r="C7" s="9" t="s">
        <v>0</v>
      </c>
      <c r="D7" s="11">
        <f ca="1"/>
        <v>218.43899999999999</v>
      </c>
      <c r="E7" s="11">
        <f ca="1"/>
        <v>222.88200000000001</v>
      </c>
      <c r="F7" s="11">
        <f ca="1"/>
        <v>230.10499999999999</v>
      </c>
      <c r="G7" s="11">
        <f ca="1"/>
        <v>239.06200000000001</v>
      </c>
      <c r="H7" s="11">
        <f ca="1"/>
        <v>247.01</v>
      </c>
      <c r="I7" s="11">
        <f ca="1"/>
        <v>252.08600000000001</v>
      </c>
      <c r="J7" s="11">
        <f ca="1"/>
        <v>264.18200000000002</v>
      </c>
      <c r="K7" s="11">
        <f ca="1"/>
        <v>278.66000000000003</v>
      </c>
      <c r="L7" s="11">
        <f ca="1"/>
        <v>279.70499999999998</v>
      </c>
      <c r="M7" s="11">
        <f ca="1"/>
        <v>283.26900000000001</v>
      </c>
      <c r="N7" s="11">
        <f ca="1"/>
        <v>285.83199999999999</v>
      </c>
      <c r="O7" s="3">
        <f ca="1"/>
        <v>300.28199999999998</v>
      </c>
      <c r="P7" s="1"/>
      <c r="Q7" s="24" t="str">
        <f ca="1"/>
        <v>FIVN US EQUITY</v>
      </c>
      <c r="R7" s="24">
        <f ca="1"/>
        <v>45838</v>
      </c>
      <c r="S7" s="25" t="str">
        <f ca="1"/>
        <v>canonical</v>
      </c>
      <c r="T7" s="26" t="str">
        <f ca="1"/>
        <v>gross_margin_gaap</v>
      </c>
      <c r="U7" s="30" t="str">
        <f ca="1"/>
        <v>54.8609</v>
      </c>
      <c r="V7" s="29" t="str">
        <f ca="1"/>
        <v>183.46</v>
      </c>
      <c r="W7" s="29" t="str">
        <f ca="1"/>
        <v/>
      </c>
      <c r="X7" s="29" t="str">
        <f ca="1"/>
        <v/>
      </c>
      <c r="Y7" s="29" t="str">
        <f ca="1"/>
        <v>-10.1300000000002</v>
      </c>
    </row>
    <row r="8" spans="1:25" x14ac:dyDescent="0.45">
      <c r="C8" s="4" t="s">
        <v>4</v>
      </c>
      <c r="D8" s="5"/>
      <c r="E8" s="4"/>
      <c r="F8" s="4"/>
      <c r="G8" s="12"/>
      <c r="H8" s="12">
        <f t="shared" ref="H8:O8" ca="1" si="1">+H7/D7-1</f>
        <v>0.13079624059806161</v>
      </c>
      <c r="I8" s="12">
        <f t="shared" ca="1" si="1"/>
        <v>0.13102897497330424</v>
      </c>
      <c r="J8" s="12">
        <f t="shared" ca="1" si="1"/>
        <v>0.14809326177180004</v>
      </c>
      <c r="K8" s="12">
        <f t="shared" ca="1" si="1"/>
        <v>0.16563903924504952</v>
      </c>
      <c r="L8" s="12">
        <f t="shared" ca="1" si="1"/>
        <v>0.13236306222420136</v>
      </c>
      <c r="M8" s="12">
        <f t="shared" ca="1" si="1"/>
        <v>0.12369984846441295</v>
      </c>
      <c r="N8" s="12">
        <f t="shared" ca="1" si="1"/>
        <v>8.195107918026201E-2</v>
      </c>
      <c r="O8" s="12">
        <f t="shared" ca="1" si="1"/>
        <v>7.7592765377161976E-2</v>
      </c>
      <c r="P8" s="3"/>
      <c r="Q8" s="24" t="str">
        <f ca="1"/>
        <v>FIVN US EQUITY</v>
      </c>
      <c r="R8" s="24">
        <f ca="1"/>
        <v>45930</v>
      </c>
      <c r="S8" s="25" t="str">
        <f ca="1"/>
        <v>canonical</v>
      </c>
      <c r="T8" s="26" t="str">
        <f ca="1"/>
        <v>gross_margin_gaap</v>
      </c>
      <c r="U8" s="30" t="str">
        <f ca="1"/>
        <v>55.0253</v>
      </c>
      <c r="V8" s="29" t="str">
        <f ca="1"/>
        <v>118.02</v>
      </c>
      <c r="W8" s="29" t="str">
        <f ca="1"/>
        <v/>
      </c>
      <c r="X8" s="29" t="str">
        <f ca="1"/>
        <v/>
      </c>
      <c r="Y8" s="29" t="str">
        <f ca="1"/>
        <v>16.4400000000001</v>
      </c>
    </row>
    <row r="9" spans="1:25" x14ac:dyDescent="0.45">
      <c r="C9" s="4" t="s">
        <v>19</v>
      </c>
      <c r="D9" s="1"/>
      <c r="L9" s="7">
        <f ca="1">(L8-K8)*10000</f>
        <v>-332.75977020848171</v>
      </c>
      <c r="M9" s="7">
        <f ca="1">(M8-L8)*10000</f>
        <v>-86.632137597884025</v>
      </c>
      <c r="N9" s="7">
        <f ca="1">(N8-M8)*10000</f>
        <v>-417.48769284150944</v>
      </c>
      <c r="O9" s="7">
        <f ca="1">(O8-N8)*10000</f>
        <v>-43.583138031000331</v>
      </c>
      <c r="Q9" s="22" t="str">
        <f ca="1"/>
        <v>FIVN US EQUITY</v>
      </c>
      <c r="R9" s="24">
        <f ca="1"/>
        <v>46022</v>
      </c>
      <c r="S9" s="25" t="str">
        <f ca="1"/>
        <v>canonical</v>
      </c>
      <c r="T9" s="26" t="str">
        <f ca="1"/>
        <v>gross_margin_gaap</v>
      </c>
      <c r="U9" s="30" t="str">
        <f ca="1"/>
        <v>55.4272</v>
      </c>
      <c r="V9" s="29" t="str">
        <f ca="1"/>
        <v>-55.3899999999999</v>
      </c>
      <c r="W9" s="29" t="str">
        <f ca="1"/>
        <v/>
      </c>
      <c r="X9" s="29" t="str">
        <f ca="1"/>
        <v/>
      </c>
      <c r="Y9" s="29" t="str">
        <f ca="1"/>
        <v>40.1899999999998</v>
      </c>
    </row>
    <row r="10" spans="1:25" x14ac:dyDescent="0.4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15.668216261397472</v>
      </c>
      <c r="M10" s="7">
        <f ca="1">(M8-I8)*10000</f>
        <v>-73.291265088912809</v>
      </c>
      <c r="N10" s="7">
        <f ca="1">(N8-J8)*10000</f>
        <v>-661.4218259153804</v>
      </c>
      <c r="O10" s="7">
        <f ca="1">(O8-K8)*10000</f>
        <v>-880.46273867887544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FIVN US EQUITY</v>
      </c>
      <c r="R10" s="24">
        <f ca="1"/>
        <v>45747</v>
      </c>
      <c r="S10" s="25" t="str">
        <f ca="1"/>
        <v>canonical</v>
      </c>
      <c r="T10" s="26" t="str">
        <f ca="1"/>
        <v>operating_margin_gaap</v>
      </c>
      <c r="U10" s="30" t="str">
        <f ca="1"/>
        <v>-1.9406</v>
      </c>
      <c r="V10" s="29" t="str">
        <f ca="1"/>
        <v>643.76</v>
      </c>
      <c r="W10" s="29" t="str">
        <f ca="1"/>
        <v/>
      </c>
      <c r="X10" s="29" t="str">
        <f ca="1"/>
        <v/>
      </c>
      <c r="Y10" s="29" t="str">
        <f ca="1"/>
        <v>-344.06</v>
      </c>
    </row>
    <row r="11" spans="1:25" x14ac:dyDescent="0.45">
      <c r="C11" s="4" t="s">
        <v>5</v>
      </c>
      <c r="D11" s="1"/>
      <c r="L11" s="12">
        <f ca="1">L7/K7-1</f>
        <v>3.7500897150648527E-3</v>
      </c>
      <c r="M11" s="12">
        <f ca="1">M7/L7-1</f>
        <v>1.2741996031533365E-2</v>
      </c>
      <c r="N11" s="12">
        <f ca="1">N7/M7-1</f>
        <v>9.0479367668188093E-3</v>
      </c>
      <c r="O11" s="12">
        <f ca="1">O7/N7-1</f>
        <v>5.055417168126719E-2</v>
      </c>
      <c r="Q11" s="24" t="str">
        <f ca="1"/>
        <v>FIVN US EQUITY</v>
      </c>
      <c r="R11" s="24">
        <f ca="1"/>
        <v>45838</v>
      </c>
      <c r="S11" s="25" t="str">
        <f ca="1"/>
        <v>canonical</v>
      </c>
      <c r="T11" s="26" t="str">
        <f ca="1"/>
        <v>operating_margin_gaap</v>
      </c>
      <c r="U11" s="30" t="str">
        <f ca="1"/>
        <v>-0.5511</v>
      </c>
      <c r="V11" s="29" t="str">
        <f ca="1"/>
        <v>713.08</v>
      </c>
      <c r="W11" s="29" t="str">
        <f ca="1"/>
        <v/>
      </c>
      <c r="X11" s="29" t="str">
        <f ca="1"/>
        <v/>
      </c>
      <c r="Y11" s="29" t="str">
        <f ca="1"/>
        <v>138.95</v>
      </c>
    </row>
    <row r="12" spans="1:25" x14ac:dyDescent="0.45">
      <c r="Q12" s="24" t="str">
        <f ca="1"/>
        <v>FIVN US EQUITY</v>
      </c>
      <c r="R12" s="24">
        <f ca="1"/>
        <v>45930</v>
      </c>
      <c r="S12" s="25" t="str">
        <f ca="1"/>
        <v>canonical</v>
      </c>
      <c r="T12" s="26" t="str">
        <f ca="1"/>
        <v>operating_margin_gaap</v>
      </c>
      <c r="U12" s="30" t="str">
        <f ca="1"/>
        <v>5.6127</v>
      </c>
      <c r="V12" s="29" t="str">
        <f ca="1"/>
        <v>1145.07</v>
      </c>
      <c r="W12" s="29" t="str">
        <f ca="1"/>
        <v/>
      </c>
      <c r="X12" s="29" t="str">
        <f ca="1"/>
        <v/>
      </c>
      <c r="Y12" s="29" t="str">
        <f ca="1"/>
        <v>616.38</v>
      </c>
    </row>
    <row r="13" spans="1:25" x14ac:dyDescent="0.45">
      <c r="C13" s="13" t="s">
        <v>12</v>
      </c>
      <c r="D13" s="14">
        <f t="shared" ref="D13:O13" ca="1" si="2">EOMONTH(DATE(YEAR(D14),ROUNDUP(MONTH(D14)/3,0)*3,1),0)</f>
        <v>45016</v>
      </c>
      <c r="E13" s="14">
        <f t="shared" ca="1" si="2"/>
        <v>45107</v>
      </c>
      <c r="F13" s="14">
        <f t="shared" ca="1" si="2"/>
        <v>45199</v>
      </c>
      <c r="G13" s="14">
        <f t="shared" ca="1" si="2"/>
        <v>45291</v>
      </c>
      <c r="H13" s="14">
        <f t="shared" ca="1" si="2"/>
        <v>45382</v>
      </c>
      <c r="I13" s="14">
        <f t="shared" ca="1" si="2"/>
        <v>45473</v>
      </c>
      <c r="J13" s="14">
        <f t="shared" ca="1" si="2"/>
        <v>45565</v>
      </c>
      <c r="K13" s="14">
        <f t="shared" ca="1" si="2"/>
        <v>45657</v>
      </c>
      <c r="L13" s="14">
        <f t="shared" ca="1" si="2"/>
        <v>45747</v>
      </c>
      <c r="M13" s="14">
        <f t="shared" ca="1" si="2"/>
        <v>45838</v>
      </c>
      <c r="N13" s="14">
        <f t="shared" ca="1" si="2"/>
        <v>45930</v>
      </c>
      <c r="O13" s="14">
        <f t="shared" ca="1" si="2"/>
        <v>46022</v>
      </c>
      <c r="Q13" s="24" t="str">
        <f ca="1"/>
        <v>FIVN US EQUITY</v>
      </c>
      <c r="R13" s="24">
        <f ca="1"/>
        <v>46022</v>
      </c>
      <c r="S13" s="25" t="str">
        <f ca="1"/>
        <v>canonical</v>
      </c>
      <c r="T13" s="26" t="str">
        <f ca="1"/>
        <v>operating_margin_gaap</v>
      </c>
      <c r="U13" s="30" t="str">
        <f ca="1"/>
        <v>6.5925</v>
      </c>
      <c r="V13" s="29" t="str">
        <f ca="1"/>
        <v>509.25</v>
      </c>
      <c r="W13" s="29" t="str">
        <f ca="1"/>
        <v/>
      </c>
      <c r="X13" s="29" t="str">
        <f ca="1"/>
        <v/>
      </c>
      <c r="Y13" s="29" t="str">
        <f ca="1"/>
        <v>97.98</v>
      </c>
    </row>
    <row r="14" spans="1:25" x14ac:dyDescent="0.4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FIVN US EQUITY</v>
      </c>
      <c r="R14" s="24">
        <v>0</v>
      </c>
      <c r="S14" s="25">
        <v>0</v>
      </c>
      <c r="T14" s="26">
        <v>0</v>
      </c>
      <c r="U14" s="30" t="str">
        <v/>
      </c>
      <c r="V14" s="29" t="str">
        <v/>
      </c>
      <c r="W14" s="29" t="str">
        <v/>
      </c>
      <c r="X14" s="29" t="str">
        <v/>
      </c>
      <c r="Y14" s="29" t="str">
        <v/>
      </c>
    </row>
    <row r="15" spans="1:25" x14ac:dyDescent="0.45">
      <c r="A15" s="16" t="s">
        <v>9</v>
      </c>
      <c r="B15" s="16" t="s">
        <v>14</v>
      </c>
      <c r="C15" s="9" t="s">
        <v>6</v>
      </c>
      <c r="D15" s="3">
        <f ca="1"/>
        <v>52.043399999999998</v>
      </c>
      <c r="E15" s="3">
        <f ca="1"/>
        <v>53.176600000000001</v>
      </c>
      <c r="F15" s="3">
        <f ca="1"/>
        <v>51.726399999999998</v>
      </c>
      <c r="G15" s="3">
        <f ca="1"/>
        <v>52.944000000000003</v>
      </c>
      <c r="H15" s="3">
        <f ca="1"/>
        <v>53.633499999999998</v>
      </c>
      <c r="I15" s="3">
        <f ca="1"/>
        <v>53.026299999999999</v>
      </c>
      <c r="J15" s="3">
        <f ca="1"/>
        <v>53.845100000000002</v>
      </c>
      <c r="K15" s="3">
        <f ca="1"/>
        <v>55.981099999999998</v>
      </c>
      <c r="L15" s="3">
        <f ca="1"/>
        <v>54.962200000000003</v>
      </c>
      <c r="M15" s="3">
        <f ca="1"/>
        <v>54.860900000000001</v>
      </c>
      <c r="N15" s="3">
        <f ca="1"/>
        <v>55.025300000000001</v>
      </c>
      <c r="O15">
        <f ca="1"/>
        <v>55.427199999999999</v>
      </c>
      <c r="Q15" s="24" t="str">
        <v>FIVN US EQUITY</v>
      </c>
      <c r="R15" s="24">
        <v>0</v>
      </c>
      <c r="S15" s="25">
        <v>0</v>
      </c>
      <c r="T15" s="26">
        <v>0</v>
      </c>
      <c r="U15" s="30" t="str">
        <v/>
      </c>
      <c r="V15" s="29" t="str">
        <v/>
      </c>
      <c r="W15" s="29" t="str">
        <v/>
      </c>
      <c r="X15" s="29" t="str">
        <v/>
      </c>
      <c r="Y15" s="29" t="str">
        <v/>
      </c>
    </row>
    <row r="16" spans="1:25" x14ac:dyDescent="0.45">
      <c r="C16" s="4" t="s">
        <v>4</v>
      </c>
      <c r="D16" s="5"/>
      <c r="E16" s="4"/>
      <c r="F16" s="4"/>
      <c r="G16" s="4"/>
      <c r="H16" s="7">
        <f t="shared" ref="H16:O16" ca="1" si="3">(H15-D15)*100</f>
        <v>159.00999999999996</v>
      </c>
      <c r="I16" s="7">
        <f t="shared" ca="1" si="3"/>
        <v>-15.030000000000143</v>
      </c>
      <c r="J16" s="7">
        <f t="shared" ca="1" si="3"/>
        <v>211.8700000000004</v>
      </c>
      <c r="K16" s="7">
        <f t="shared" ca="1" si="3"/>
        <v>303.70999999999952</v>
      </c>
      <c r="L16" s="7">
        <f t="shared" ca="1" si="3"/>
        <v>132.87000000000049</v>
      </c>
      <c r="M16" s="7">
        <f t="shared" ca="1" si="3"/>
        <v>183.46000000000018</v>
      </c>
      <c r="N16" s="7">
        <f t="shared" ca="1" si="3"/>
        <v>118.01999999999992</v>
      </c>
      <c r="O16" s="7">
        <f t="shared" ca="1" si="3"/>
        <v>-55.389999999999873</v>
      </c>
      <c r="Q16" s="24" t="str">
        <v>FIVN US EQUITY</v>
      </c>
      <c r="R16" s="24">
        <v>0</v>
      </c>
      <c r="S16" s="25">
        <v>0</v>
      </c>
      <c r="T16" s="26">
        <v>0</v>
      </c>
      <c r="U16" s="30" t="str">
        <v/>
      </c>
      <c r="V16" s="29" t="str">
        <v/>
      </c>
      <c r="W16" s="29" t="str">
        <v/>
      </c>
      <c r="X16" s="29" t="str">
        <v/>
      </c>
      <c r="Y16" s="29" t="str">
        <v/>
      </c>
    </row>
    <row r="17" spans="1:25" x14ac:dyDescent="0.45">
      <c r="C17" s="4" t="s">
        <v>19</v>
      </c>
      <c r="D17" s="1"/>
      <c r="K17" s="7"/>
      <c r="L17" s="7"/>
      <c r="M17" s="7"/>
      <c r="N17" s="7"/>
      <c r="O17" s="7"/>
      <c r="Q17" s="24" t="str">
        <v>FIVN US EQUITY</v>
      </c>
      <c r="R17" s="24">
        <v>0</v>
      </c>
      <c r="S17" s="25">
        <v>0</v>
      </c>
      <c r="T17" s="26">
        <v>0</v>
      </c>
      <c r="U17" s="30" t="str">
        <v/>
      </c>
      <c r="V17" s="29" t="str">
        <v/>
      </c>
      <c r="W17" s="29" t="str">
        <v/>
      </c>
      <c r="X17" s="29" t="str">
        <v/>
      </c>
      <c r="Y17" s="29" t="str">
        <v/>
      </c>
    </row>
    <row r="18" spans="1:25" x14ac:dyDescent="0.4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FIVN US EQUITY</v>
      </c>
      <c r="R18" s="24">
        <v>0</v>
      </c>
      <c r="S18" s="25">
        <v>0</v>
      </c>
      <c r="T18" s="26">
        <v>0</v>
      </c>
      <c r="U18" s="30" t="str">
        <v/>
      </c>
      <c r="V18" s="29" t="str">
        <v/>
      </c>
      <c r="W18" s="29" t="str">
        <v/>
      </c>
      <c r="X18" s="29" t="str">
        <v/>
      </c>
      <c r="Y18" s="29" t="str">
        <v/>
      </c>
    </row>
    <row r="19" spans="1:25" x14ac:dyDescent="0.45">
      <c r="C19" s="4" t="s">
        <v>5</v>
      </c>
      <c r="D19" s="1"/>
      <c r="K19" s="7"/>
      <c r="L19" s="7">
        <f ca="1">(L15-K15)*100</f>
        <v>-101.8899999999995</v>
      </c>
      <c r="M19" s="7">
        <f ca="1">(M15-L15)*100</f>
        <v>-10.130000000000194</v>
      </c>
      <c r="N19" s="7">
        <f ca="1">(N15-M15)*100</f>
        <v>16.440000000000055</v>
      </c>
      <c r="O19" s="7">
        <f ca="1">(O15-N15)*100</f>
        <v>40.18999999999977</v>
      </c>
      <c r="Q19" s="24" t="str">
        <v>FIVN US EQUITY</v>
      </c>
      <c r="R19" s="24">
        <v>0</v>
      </c>
      <c r="S19" s="25">
        <v>0</v>
      </c>
      <c r="T19" s="26">
        <v>0</v>
      </c>
      <c r="U19" s="30" t="str">
        <v/>
      </c>
      <c r="V19" s="29" t="str">
        <v/>
      </c>
      <c r="W19" s="29" t="str">
        <v/>
      </c>
      <c r="X19" s="29" t="str">
        <v/>
      </c>
      <c r="Y19" s="29" t="str">
        <v/>
      </c>
    </row>
    <row r="20" spans="1:25" x14ac:dyDescent="0.45">
      <c r="Q20" s="24" t="str">
        <v>FIVN US EQUITY</v>
      </c>
      <c r="R20" s="24">
        <v>0</v>
      </c>
      <c r="S20" s="25">
        <v>0</v>
      </c>
      <c r="T20" s="26">
        <v>0</v>
      </c>
      <c r="U20" s="30" t="str">
        <v/>
      </c>
      <c r="V20" s="29" t="str">
        <v/>
      </c>
      <c r="W20" s="29" t="str">
        <v/>
      </c>
      <c r="X20" s="29" t="str">
        <v/>
      </c>
      <c r="Y20" s="29" t="str">
        <v/>
      </c>
    </row>
    <row r="21" spans="1:25" x14ac:dyDescent="0.45">
      <c r="C21" s="13" t="s">
        <v>12</v>
      </c>
      <c r="D21" s="14">
        <f t="shared" ref="D21:O21" ca="1" si="4">EOMONTH(DATE(YEAR(D22),ROUNDUP(MONTH(D22)/3,0)*3,1),0)</f>
        <v>45016</v>
      </c>
      <c r="E21" s="14">
        <f t="shared" ca="1" si="4"/>
        <v>45107</v>
      </c>
      <c r="F21" s="14">
        <f t="shared" ca="1" si="4"/>
        <v>45199</v>
      </c>
      <c r="G21" s="14">
        <f t="shared" ca="1" si="4"/>
        <v>45291</v>
      </c>
      <c r="H21" s="14">
        <f t="shared" ca="1" si="4"/>
        <v>45382</v>
      </c>
      <c r="I21" s="14">
        <f t="shared" ca="1" si="4"/>
        <v>45473</v>
      </c>
      <c r="J21" s="14">
        <f t="shared" ca="1" si="4"/>
        <v>45565</v>
      </c>
      <c r="K21" s="14">
        <f t="shared" ca="1" si="4"/>
        <v>45657</v>
      </c>
      <c r="L21" s="14">
        <f t="shared" ca="1" si="4"/>
        <v>45747</v>
      </c>
      <c r="M21" s="14">
        <f t="shared" ca="1" si="4"/>
        <v>45838</v>
      </c>
      <c r="N21" s="14">
        <f t="shared" ca="1" si="4"/>
        <v>45930</v>
      </c>
      <c r="O21" s="14">
        <f t="shared" ca="1" si="4"/>
        <v>46022</v>
      </c>
      <c r="Q21" s="24" t="str">
        <v>FIVN US EQUITY</v>
      </c>
      <c r="R21" s="24">
        <v>0</v>
      </c>
      <c r="S21" s="25">
        <v>0</v>
      </c>
      <c r="T21" s="26">
        <v>0</v>
      </c>
      <c r="U21" s="30" t="str">
        <v/>
      </c>
      <c r="V21" s="29" t="str">
        <v/>
      </c>
      <c r="W21" s="29" t="str">
        <v/>
      </c>
      <c r="X21" s="29" t="str">
        <v/>
      </c>
      <c r="Y21" s="29" t="str">
        <v/>
      </c>
    </row>
    <row r="22" spans="1:25" x14ac:dyDescent="0.45">
      <c r="D22" s="1" cm="1">
        <f t="array" aca="1" ref="D22:O23" ca="1">+_xll.BDH($B$2,C23,$B$3,$B$4,"DIR=H")</f>
        <v>45016</v>
      </c>
      <c r="E22" s="1">
        <f ca="1"/>
        <v>45107</v>
      </c>
      <c r="F22" s="1">
        <f ca="1"/>
        <v>45199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45565</v>
      </c>
      <c r="K22" s="1">
        <f ca="1"/>
        <v>45657</v>
      </c>
      <c r="L22" s="1">
        <f ca="1"/>
        <v>45747</v>
      </c>
      <c r="M22" s="1">
        <f ca="1"/>
        <v>45838</v>
      </c>
      <c r="N22" s="1">
        <f ca="1"/>
        <v>45930</v>
      </c>
      <c r="O22" s="1">
        <f ca="1"/>
        <v>46022</v>
      </c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FIVN US EQUITY</v>
      </c>
      <c r="R22" s="24">
        <v>45747</v>
      </c>
      <c r="S22" s="25" t="str">
        <v>custom</v>
      </c>
      <c r="T22" s="26" t="str">
        <v>net_retention_pct</v>
      </c>
      <c r="U22" s="27" t="str">
        <v>1.07</v>
      </c>
      <c r="V22" s="28" t="str">
        <v>-200</v>
      </c>
      <c r="W22" s="29" t="str">
        <v/>
      </c>
      <c r="X22" s="28" t="str">
        <v/>
      </c>
      <c r="Y22" s="29" t="str">
        <v>-100</v>
      </c>
    </row>
    <row r="23" spans="1:25" x14ac:dyDescent="0.45">
      <c r="A23" s="16" t="s">
        <v>9</v>
      </c>
      <c r="B23" s="16" t="s">
        <v>15</v>
      </c>
      <c r="C23" s="9" t="s">
        <v>7</v>
      </c>
      <c r="D23" s="3">
        <f ca="1"/>
        <v>-13.2746</v>
      </c>
      <c r="E23" s="3">
        <f ca="1"/>
        <v>-11.325699999999999</v>
      </c>
      <c r="F23" s="3">
        <f ca="1"/>
        <v>-11.1853</v>
      </c>
      <c r="G23" s="3">
        <f ca="1"/>
        <v>-7.7796000000000003</v>
      </c>
      <c r="H23" s="3">
        <f ca="1"/>
        <v>-8.3781999999999996</v>
      </c>
      <c r="I23" s="3">
        <f ca="1"/>
        <v>-7.6818999999999997</v>
      </c>
      <c r="J23" s="3">
        <f ca="1"/>
        <v>-5.8380000000000001</v>
      </c>
      <c r="K23" s="3">
        <f ca="1"/>
        <v>1.5</v>
      </c>
      <c r="L23" s="3">
        <f ca="1"/>
        <v>-1.9406000000000001</v>
      </c>
      <c r="M23" s="3">
        <f ca="1"/>
        <v>-0.55110000000000003</v>
      </c>
      <c r="N23" s="3">
        <f ca="1"/>
        <v>5.6127000000000002</v>
      </c>
      <c r="O23">
        <f ca="1"/>
        <v>6.5925000000000002</v>
      </c>
      <c r="Q23" s="24" t="str">
        <v>FIVN US EQUITY</v>
      </c>
      <c r="R23" s="24">
        <v>45838</v>
      </c>
      <c r="S23" s="25" t="str">
        <v>custom</v>
      </c>
      <c r="T23" s="26" t="str">
        <v>net_retention_pct</v>
      </c>
      <c r="U23" s="27" t="str">
        <v>1.08</v>
      </c>
      <c r="V23" s="28" t="str">
        <v>0</v>
      </c>
      <c r="W23" s="29" t="str">
        <v/>
      </c>
      <c r="X23" s="28" t="str">
        <v/>
      </c>
      <c r="Y23" s="29" t="str">
        <v>100</v>
      </c>
    </row>
    <row r="24" spans="1:25" x14ac:dyDescent="0.45">
      <c r="C24" s="4" t="s">
        <v>4</v>
      </c>
      <c r="D24" s="5"/>
      <c r="E24" s="4"/>
      <c r="F24" s="4"/>
      <c r="G24" s="4"/>
      <c r="H24" s="7">
        <f t="shared" ref="H24:O24" ca="1" si="5">(H23-D23)*100</f>
        <v>489.64</v>
      </c>
      <c r="I24" s="7">
        <f t="shared" ca="1" si="5"/>
        <v>364.38</v>
      </c>
      <c r="J24" s="7">
        <f t="shared" ca="1" si="5"/>
        <v>534.73</v>
      </c>
      <c r="K24" s="7">
        <f t="shared" ca="1" si="5"/>
        <v>927.96</v>
      </c>
      <c r="L24" s="7">
        <f t="shared" ca="1" si="5"/>
        <v>643.76</v>
      </c>
      <c r="M24" s="7">
        <f t="shared" ca="1" si="5"/>
        <v>713.07999999999993</v>
      </c>
      <c r="N24" s="7">
        <f t="shared" ca="1" si="5"/>
        <v>1145.0700000000002</v>
      </c>
      <c r="O24" s="7">
        <f t="shared" ca="1" si="5"/>
        <v>509.25</v>
      </c>
      <c r="Q24" s="24" t="str">
        <v>FIVN US EQUITY</v>
      </c>
      <c r="R24" s="24">
        <v>45930</v>
      </c>
      <c r="S24" s="25" t="str">
        <v>custom</v>
      </c>
      <c r="T24" s="26" t="str">
        <v>net_retention_pct</v>
      </c>
      <c r="U24" s="27" t="str">
        <v>1.07</v>
      </c>
      <c r="V24" s="28" t="str">
        <v>-100</v>
      </c>
      <c r="W24" s="29" t="str">
        <v/>
      </c>
      <c r="X24" s="28" t="str">
        <v/>
      </c>
      <c r="Y24" s="29" t="str">
        <v>-100</v>
      </c>
    </row>
    <row r="25" spans="1:25" x14ac:dyDescent="0.45">
      <c r="C25" s="4" t="s">
        <v>19</v>
      </c>
      <c r="D25" s="1"/>
      <c r="K25" s="7"/>
      <c r="L25" s="7"/>
      <c r="M25" s="7"/>
      <c r="N25" s="7"/>
      <c r="O25" s="7"/>
      <c r="Q25" s="24" t="str">
        <v>FIVN US EQUITY</v>
      </c>
      <c r="R25" s="24">
        <v>46022</v>
      </c>
      <c r="S25" s="25" t="str">
        <v>custom</v>
      </c>
      <c r="T25" s="26" t="str">
        <v>net_retention_pct</v>
      </c>
      <c r="U25" s="27" t="str">
        <v>1.05</v>
      </c>
      <c r="V25" s="28" t="str">
        <v>-300</v>
      </c>
      <c r="W25" s="29" t="str">
        <v/>
      </c>
      <c r="X25" s="28" t="str">
        <v/>
      </c>
      <c r="Y25" s="29" t="str">
        <v>-200</v>
      </c>
    </row>
    <row r="26" spans="1:25" x14ac:dyDescent="0.4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FIVN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45">
      <c r="C27" s="4" t="s">
        <v>5</v>
      </c>
      <c r="D27" s="1"/>
      <c r="K27" s="7"/>
      <c r="L27" s="7">
        <f ca="1">(L23-K23)*100</f>
        <v>-344.06</v>
      </c>
      <c r="M27" s="7">
        <f ca="1">(M23-L23)*100</f>
        <v>138.94999999999999</v>
      </c>
      <c r="N27" s="7">
        <f ca="1">(N23-M23)*100</f>
        <v>616.38</v>
      </c>
      <c r="O27" s="7">
        <f ca="1">(O23-N23)*100</f>
        <v>97.98</v>
      </c>
      <c r="Q27" s="24" t="str">
        <v>FIVN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45">
      <c r="C28" s="4"/>
      <c r="D28" s="1"/>
      <c r="K28" s="7"/>
      <c r="L28" s="7"/>
      <c r="M28" s="7"/>
      <c r="N28" s="7"/>
      <c r="O28" s="7"/>
      <c r="Q28" s="24" t="str">
        <v>FIVN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45">
      <c r="C29" s="13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Q29" s="24" t="str">
        <v>FIVN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45"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FIVN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45">
      <c r="A31" s="16"/>
      <c r="B31" s="16"/>
      <c r="C31" s="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Q31" s="24" t="str">
        <v>FIVN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45">
      <c r="C32" s="4"/>
      <c r="D32" s="5"/>
      <c r="E32" s="4"/>
      <c r="F32" s="4"/>
      <c r="G32" s="12"/>
      <c r="H32" s="12"/>
      <c r="I32" s="12"/>
      <c r="J32" s="12"/>
      <c r="K32" s="12"/>
      <c r="L32" s="12"/>
      <c r="M32" s="12"/>
      <c r="N32" s="12"/>
      <c r="O32" s="12"/>
      <c r="Q32" s="24" t="str">
        <v>FIVN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45">
      <c r="C33" s="4"/>
      <c r="D33" s="1"/>
      <c r="L33" s="7"/>
      <c r="M33" s="7"/>
      <c r="N33" s="7"/>
      <c r="O33" s="7"/>
      <c r="Q33" s="24" t="str">
        <v>FIVN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45">
      <c r="C34" s="4"/>
      <c r="D34" s="1"/>
      <c r="E34" s="6"/>
      <c r="F34" s="6"/>
      <c r="G34" s="6"/>
      <c r="H34" s="6"/>
      <c r="I34" s="6"/>
      <c r="J34" s="6"/>
      <c r="K34" s="6"/>
      <c r="L34" s="7"/>
      <c r="M34" s="7"/>
      <c r="N34" s="7"/>
      <c r="O34" s="7"/>
    </row>
    <row r="35" spans="1:25" x14ac:dyDescent="0.45">
      <c r="C35" s="4"/>
      <c r="D35" s="1"/>
      <c r="L35" s="12"/>
      <c r="M35" s="12"/>
      <c r="N35" s="12"/>
      <c r="O35" s="12"/>
    </row>
    <row r="36" spans="1:25" x14ac:dyDescent="0.45">
      <c r="C36" s="4"/>
      <c r="D36" s="1"/>
      <c r="L36" s="7"/>
      <c r="M36" s="7"/>
      <c r="N36" s="7"/>
      <c r="O36" s="7"/>
    </row>
    <row r="37" spans="1:25" x14ac:dyDescent="0.45">
      <c r="C37" s="13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25" x14ac:dyDescent="0.45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25" x14ac:dyDescent="0.45">
      <c r="A39" s="16"/>
      <c r="B39" s="16"/>
      <c r="C39" s="2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25" x14ac:dyDescent="0.45">
      <c r="C40" s="4"/>
      <c r="D40" s="5"/>
      <c r="E40" s="4"/>
      <c r="F40" s="4"/>
      <c r="G40" s="12"/>
      <c r="H40" s="12"/>
      <c r="I40" s="12"/>
      <c r="J40" s="12"/>
      <c r="K40" s="12"/>
      <c r="L40" s="12"/>
      <c r="M40" s="12"/>
      <c r="N40" s="12"/>
      <c r="O40" s="12"/>
    </row>
    <row r="41" spans="1:25" x14ac:dyDescent="0.45">
      <c r="C41" s="4"/>
      <c r="D41" s="1"/>
      <c r="L41" s="7"/>
      <c r="M41" s="7"/>
      <c r="N41" s="7"/>
      <c r="O41" s="7"/>
    </row>
    <row r="42" spans="1:25" x14ac:dyDescent="0.45">
      <c r="C42" s="4"/>
      <c r="D42" s="1"/>
      <c r="E42" s="6"/>
      <c r="F42" s="6"/>
      <c r="G42" s="6"/>
      <c r="H42" s="6"/>
      <c r="I42" s="6"/>
      <c r="J42" s="6"/>
      <c r="K42" s="6"/>
      <c r="L42" s="7"/>
      <c r="M42" s="7"/>
      <c r="N42" s="7"/>
      <c r="O42" s="7"/>
    </row>
    <row r="43" spans="1:25" x14ac:dyDescent="0.45">
      <c r="C43" s="4"/>
      <c r="D43" s="1"/>
      <c r="L43" s="12"/>
      <c r="M43" s="12"/>
      <c r="N43" s="12"/>
      <c r="O43" s="12"/>
    </row>
    <row r="44" spans="1:25" x14ac:dyDescent="0.45">
      <c r="C44" s="4"/>
      <c r="D44" s="1"/>
      <c r="G44" s="1"/>
    </row>
    <row r="45" spans="1:25" x14ac:dyDescent="0.45">
      <c r="C45" s="13" t="s">
        <v>12</v>
      </c>
      <c r="D45" s="14">
        <f t="shared" ref="D45:L45" si="6">EOMONTH(DATE(YEAR(D46),ROUNDUP(MONTH(D46)/3,0)*3,1),0)</f>
        <v>45016</v>
      </c>
      <c r="E45" s="14">
        <f t="shared" si="6"/>
        <v>45107</v>
      </c>
      <c r="F45" s="14">
        <f t="shared" si="6"/>
        <v>45199</v>
      </c>
      <c r="G45" s="14">
        <f t="shared" si="6"/>
        <v>45291</v>
      </c>
      <c r="H45" s="14">
        <f t="shared" si="6"/>
        <v>45382</v>
      </c>
      <c r="I45" s="14">
        <f t="shared" si="6"/>
        <v>45473</v>
      </c>
      <c r="J45" s="14">
        <f t="shared" si="6"/>
        <v>45565</v>
      </c>
      <c r="K45" s="14">
        <f t="shared" si="6"/>
        <v>45657</v>
      </c>
      <c r="L45" s="14">
        <f t="shared" si="6"/>
        <v>45747</v>
      </c>
      <c r="M45" s="14">
        <f>EOMONTH(DATE(YEAR(M46),ROUNDUP(MONTH(M46)/3,0)*3,1),0)</f>
        <v>45838</v>
      </c>
      <c r="N45" s="14">
        <f>EOMONTH(DATE(YEAR(N46),ROUNDUP(MONTH(N46)/3,0)*3,1),0)</f>
        <v>45930</v>
      </c>
      <c r="O45" s="14">
        <f>EOMONTH(DATE(YEAR(O46),ROUNDUP(MONTH(O46)/3,0)*3,1),0)</f>
        <v>46022</v>
      </c>
    </row>
    <row r="46" spans="1:25" x14ac:dyDescent="0.45">
      <c r="D46" s="2">
        <v>45016</v>
      </c>
      <c r="E46" s="2">
        <v>45107</v>
      </c>
      <c r="F46" s="2">
        <v>45199</v>
      </c>
      <c r="G46" s="2">
        <v>45291</v>
      </c>
      <c r="H46" s="2">
        <v>45382</v>
      </c>
      <c r="I46" s="2">
        <v>45473</v>
      </c>
      <c r="J46" s="2">
        <v>45565</v>
      </c>
      <c r="K46" s="2">
        <v>45657</v>
      </c>
      <c r="L46" s="2">
        <v>45747</v>
      </c>
      <c r="M46" s="2">
        <v>45838</v>
      </c>
      <c r="N46" s="2">
        <v>45930</v>
      </c>
      <c r="O46" s="2">
        <v>46022</v>
      </c>
    </row>
    <row r="47" spans="1:25" x14ac:dyDescent="0.45">
      <c r="A47" s="16" t="s">
        <v>21</v>
      </c>
      <c r="B47" s="16" t="s">
        <v>68</v>
      </c>
      <c r="C47" s="2" t="s">
        <v>47</v>
      </c>
      <c r="D47" s="34">
        <v>1.1399999999999999</v>
      </c>
      <c r="E47" s="34">
        <v>1.1200000000000001</v>
      </c>
      <c r="F47" s="34">
        <v>1.1000000000000001</v>
      </c>
      <c r="G47" s="35">
        <v>1.1000000000000001</v>
      </c>
      <c r="H47" s="35">
        <v>1.0900000000000001</v>
      </c>
      <c r="I47" s="35">
        <v>1.08</v>
      </c>
      <c r="J47" s="35">
        <v>1.08</v>
      </c>
      <c r="K47" s="35">
        <v>1.08</v>
      </c>
      <c r="L47" s="35">
        <v>1.07</v>
      </c>
      <c r="M47" s="35">
        <v>1.08</v>
      </c>
      <c r="N47" s="35">
        <v>1.07</v>
      </c>
      <c r="O47" s="35">
        <v>1.05</v>
      </c>
    </row>
    <row r="48" spans="1:25" x14ac:dyDescent="0.45">
      <c r="C48" s="4" t="s">
        <v>4</v>
      </c>
      <c r="D48" s="5"/>
      <c r="E48" s="4"/>
      <c r="F48" s="4"/>
      <c r="G48" s="4"/>
      <c r="H48" s="7">
        <f t="shared" ref="H48:O48" si="7">(H47-D47)*10000</f>
        <v>-499.99999999999824</v>
      </c>
      <c r="I48" s="7">
        <f t="shared" si="7"/>
        <v>-400.00000000000034</v>
      </c>
      <c r="J48" s="7">
        <f t="shared" si="7"/>
        <v>-200.00000000000017</v>
      </c>
      <c r="K48" s="7">
        <f t="shared" si="7"/>
        <v>-200.00000000000017</v>
      </c>
      <c r="L48" s="7">
        <f t="shared" si="7"/>
        <v>-200.00000000000017</v>
      </c>
      <c r="M48" s="7">
        <f t="shared" si="7"/>
        <v>0</v>
      </c>
      <c r="N48" s="7">
        <f t="shared" si="7"/>
        <v>-100.00000000000009</v>
      </c>
      <c r="O48" s="7">
        <f t="shared" si="7"/>
        <v>-300.00000000000028</v>
      </c>
    </row>
    <row r="49" spans="1:15" x14ac:dyDescent="0.45">
      <c r="C49" s="4" t="s">
        <v>19</v>
      </c>
      <c r="D49" s="1"/>
      <c r="K49" s="7"/>
      <c r="L49" s="7"/>
      <c r="M49" s="7"/>
      <c r="N49" s="7"/>
      <c r="O49" s="7"/>
    </row>
    <row r="50" spans="1:15" x14ac:dyDescent="0.45">
      <c r="C50" s="4" t="s">
        <v>23</v>
      </c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45">
      <c r="C51" s="4" t="s">
        <v>5</v>
      </c>
      <c r="D51" s="1"/>
      <c r="K51" s="7"/>
      <c r="L51" s="7">
        <f>(L47-K47)*10000</f>
        <v>-100.00000000000009</v>
      </c>
      <c r="M51" s="7">
        <f>(M47-L47)*10000</f>
        <v>100.00000000000009</v>
      </c>
      <c r="N51" s="7">
        <f>(N47-M47)*10000</f>
        <v>-100.00000000000009</v>
      </c>
      <c r="O51" s="7">
        <f>(O47-N47)*10000</f>
        <v>-200.00000000000017</v>
      </c>
    </row>
    <row r="52" spans="1:15" x14ac:dyDescent="0.45">
      <c r="C52" s="4"/>
      <c r="D52" s="1"/>
      <c r="G52" s="1"/>
    </row>
    <row r="53" spans="1:15" x14ac:dyDescent="0.4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4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4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4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45">
      <c r="C57" s="4"/>
      <c r="D57" s="1"/>
      <c r="K57" s="7"/>
      <c r="L57" s="7"/>
      <c r="M57" s="7"/>
      <c r="N57" s="7"/>
      <c r="O57" s="7"/>
    </row>
    <row r="58" spans="1:15" x14ac:dyDescent="0.4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45">
      <c r="C59" s="4"/>
      <c r="D59" s="1"/>
      <c r="K59" s="7"/>
      <c r="L59" s="7"/>
      <c r="M59" s="7"/>
      <c r="N59" s="7"/>
      <c r="O59" s="7"/>
    </row>
    <row r="64" spans="1:15" x14ac:dyDescent="0.4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45">
      <c r="C65" s="4"/>
      <c r="D65" s="1"/>
      <c r="K65" s="7"/>
      <c r="L65" s="7"/>
      <c r="M65" s="7"/>
      <c r="N65" s="7"/>
      <c r="O65" s="7"/>
    </row>
    <row r="66" spans="3:15" x14ac:dyDescent="0.4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4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83F7-14B8-4B86-AA4D-69F193F83B43}">
  <dimension ref="A1:Y67"/>
  <sheetViews>
    <sheetView topLeftCell="A25" zoomScale="85" zoomScaleNormal="85" workbookViewId="0">
      <selection activeCell="B31" sqref="B31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14" width="10.1328125" bestFit="1" customWidth="1"/>
    <col min="15" max="15" width="10.59765625" bestFit="1" customWidth="1"/>
    <col min="16" max="16" width="9" customWidth="1"/>
    <col min="17" max="17" width="12.3984375" bestFit="1" customWidth="1"/>
    <col min="18" max="18" width="14.3984375" bestFit="1" customWidth="1"/>
    <col min="19" max="19" width="8.59765625" bestFit="1" customWidth="1"/>
    <col min="20" max="20" width="20.265625" bestFit="1" customWidth="1"/>
    <col min="21" max="21" width="7.3984375" bestFit="1" customWidth="1"/>
    <col min="22" max="22" width="10.73046875" bestFit="1" customWidth="1"/>
    <col min="23" max="23" width="9.1328125" bestFit="1" customWidth="1"/>
    <col min="24" max="24" width="10.3984375" bestFit="1" customWidth="1"/>
    <col min="25" max="25" width="9.1328125" bestFit="1" customWidth="1"/>
  </cols>
  <sheetData>
    <row r="1" spans="1:25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45">
      <c r="A2" s="17" t="s">
        <v>1</v>
      </c>
      <c r="B2" s="31" t="s">
        <v>49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FRSH US EQUITY</v>
      </c>
      <c r="R2" s="24">
        <f ca="1"/>
        <v>45747</v>
      </c>
      <c r="S2" s="25" t="str">
        <f ca="1"/>
        <v>canonical</v>
      </c>
      <c r="T2" s="26" t="str">
        <f ca="1"/>
        <v>revenue</v>
      </c>
      <c r="U2" s="27" t="str">
        <f ca="1"/>
        <v>196.273</v>
      </c>
      <c r="V2" s="28" t="str">
        <f ca="1"/>
        <v>0.188503297142476</v>
      </c>
      <c r="W2" s="29" t="str">
        <f ca="1"/>
        <v>-267.223900370428</v>
      </c>
      <c r="X2" s="28" t="str">
        <f ca="1"/>
        <v>-108.619528357357</v>
      </c>
      <c r="Y2" s="29" t="str">
        <f ca="1"/>
        <v>0.0087474495171429</v>
      </c>
    </row>
    <row r="3" spans="1:25" x14ac:dyDescent="0.45">
      <c r="A3" s="18" t="s">
        <v>3</v>
      </c>
      <c r="B3" s="19">
        <f ca="1">+B4-365*3</f>
        <v>45001</v>
      </c>
      <c r="Q3" s="24" t="str">
        <f ca="1"/>
        <v>FRSH US EQUITY</v>
      </c>
      <c r="R3" s="24">
        <f ca="1"/>
        <v>45838</v>
      </c>
      <c r="S3" s="25" t="str">
        <f ca="1"/>
        <v>canonical</v>
      </c>
      <c r="T3" s="26" t="str">
        <f ca="1"/>
        <v>revenue</v>
      </c>
      <c r="U3" s="27" t="str">
        <f ca="1"/>
        <v>204.678</v>
      </c>
      <c r="V3" s="28" t="str">
        <f ca="1"/>
        <v>0.175425398119806</v>
      </c>
      <c r="W3" s="29" t="str">
        <f ca="1"/>
        <v>-130.778990226701</v>
      </c>
      <c r="X3" s="29" t="str">
        <f ca="1"/>
        <v>-248.24121107649</v>
      </c>
      <c r="Y3" s="29" t="str">
        <f ca="1"/>
        <v>0.0428230067304214</v>
      </c>
    </row>
    <row r="4" spans="1:25" x14ac:dyDescent="0.45">
      <c r="A4" s="20" t="s">
        <v>2</v>
      </c>
      <c r="B4" s="21">
        <f ca="1">TODAY()</f>
        <v>46096</v>
      </c>
      <c r="Q4" s="24" t="str">
        <f ca="1"/>
        <v>FRSH US EQUITY</v>
      </c>
      <c r="R4" s="24">
        <f ca="1"/>
        <v>45930</v>
      </c>
      <c r="S4" s="25" t="str">
        <f ca="1"/>
        <v>canonical</v>
      </c>
      <c r="T4" s="26" t="str">
        <f ca="1"/>
        <v>revenue</v>
      </c>
      <c r="U4" s="27" t="str">
        <f ca="1"/>
        <v>215.118</v>
      </c>
      <c r="V4" s="28" t="str">
        <f ca="1"/>
        <v>0.152984054669704</v>
      </c>
      <c r="W4" s="29" t="str">
        <f ca="1"/>
        <v>-224.413434501025</v>
      </c>
      <c r="X4" s="29" t="str">
        <f ca="1"/>
        <v>-620.92467635734</v>
      </c>
      <c r="Y4" s="29" t="str">
        <f ca="1"/>
        <v>0.0510069474980213</v>
      </c>
    </row>
    <row r="5" spans="1:25" x14ac:dyDescent="0.45">
      <c r="C5" s="13" t="s">
        <v>12</v>
      </c>
      <c r="D5" s="14">
        <f t="shared" ref="D5:O5" ca="1" si="0">EOMONTH(DATE(YEAR(D6),ROUNDUP(MONTH(D6)/3,0)*3,1),0)</f>
        <v>45016</v>
      </c>
      <c r="E5" s="14">
        <f t="shared" ca="1" si="0"/>
        <v>45107</v>
      </c>
      <c r="F5" s="14">
        <f t="shared" ca="1" si="0"/>
        <v>45199</v>
      </c>
      <c r="G5" s="14">
        <f t="shared" ca="1" si="0"/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t="shared" ca="1" si="0"/>
        <v>45747</v>
      </c>
      <c r="M5" s="14">
        <f t="shared" ca="1" si="0"/>
        <v>45838</v>
      </c>
      <c r="N5" s="14">
        <f t="shared" ca="1" si="0"/>
        <v>45930</v>
      </c>
      <c r="O5" s="14">
        <f t="shared" ca="1" si="0"/>
        <v>46022</v>
      </c>
      <c r="Q5" s="24" t="str">
        <f ca="1"/>
        <v>FRSH US EQUITY</v>
      </c>
      <c r="R5" s="24">
        <f ca="1"/>
        <v>46022</v>
      </c>
      <c r="S5" s="25" t="str">
        <f ca="1"/>
        <v>canonical</v>
      </c>
      <c r="T5" s="26" t="str">
        <f ca="1"/>
        <v>revenue</v>
      </c>
      <c r="U5" s="27" t="str">
        <f ca="1"/>
        <v>222.74</v>
      </c>
      <c r="V5" s="28" t="str">
        <f ca="1"/>
        <v>0.144774915069563</v>
      </c>
      <c r="W5" s="29" t="str">
        <f ca="1"/>
        <v>-82.0913960014047</v>
      </c>
      <c r="X5" s="29" t="str">
        <f ca="1"/>
        <v>-704.507721099559</v>
      </c>
      <c r="Y5" s="29" t="str">
        <f ca="1"/>
        <v>0.0354317165462676</v>
      </c>
    </row>
    <row r="6" spans="1:25" x14ac:dyDescent="0.45">
      <c r="D6" s="15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FRSH US EQUITY</v>
      </c>
      <c r="R6" s="24">
        <f ca="1"/>
        <v>45747</v>
      </c>
      <c r="S6" s="25" t="str">
        <f ca="1"/>
        <v>canonical</v>
      </c>
      <c r="T6" s="26" t="str">
        <f ca="1"/>
        <v>gross_margin_gaap</v>
      </c>
      <c r="U6" s="30" t="str">
        <f ca="1"/>
        <v>84.7773</v>
      </c>
      <c r="V6" s="29" t="str">
        <f ca="1"/>
        <v>45.4599999999999</v>
      </c>
      <c r="W6" s="29" t="str">
        <f ca="1"/>
        <v/>
      </c>
      <c r="X6" s="29" t="str">
        <f ca="1"/>
        <v/>
      </c>
      <c r="Y6" s="29" t="str">
        <f ca="1"/>
        <v>-8.22000000000003</v>
      </c>
    </row>
    <row r="7" spans="1:25" x14ac:dyDescent="0.45">
      <c r="A7" s="16" t="s">
        <v>9</v>
      </c>
      <c r="B7" s="16" t="s">
        <v>8</v>
      </c>
      <c r="C7" s="9" t="s">
        <v>0</v>
      </c>
      <c r="D7" s="11">
        <f ca="1"/>
        <v>137.69200000000001</v>
      </c>
      <c r="E7" s="11">
        <f ca="1"/>
        <v>145.07900000000001</v>
      </c>
      <c r="F7" s="11">
        <f ca="1"/>
        <v>153.55000000000001</v>
      </c>
      <c r="G7" s="11">
        <f ca="1"/>
        <v>160.11099999999999</v>
      </c>
      <c r="H7" s="11">
        <f ca="1"/>
        <v>165.143</v>
      </c>
      <c r="I7" s="11">
        <f ca="1"/>
        <v>174.131</v>
      </c>
      <c r="J7" s="11">
        <f ca="1"/>
        <v>186.57499999999999</v>
      </c>
      <c r="K7" s="11">
        <f ca="1"/>
        <v>194.571</v>
      </c>
      <c r="L7" s="11">
        <f ca="1"/>
        <v>196.273</v>
      </c>
      <c r="M7" s="11">
        <f ca="1"/>
        <v>204.678</v>
      </c>
      <c r="N7" s="11">
        <f ca="1"/>
        <v>215.11799999999999</v>
      </c>
      <c r="O7" s="3">
        <f ca="1"/>
        <v>222.74</v>
      </c>
      <c r="P7" s="1"/>
      <c r="Q7" s="24" t="str">
        <f ca="1"/>
        <v>FRSH US EQUITY</v>
      </c>
      <c r="R7" s="24">
        <f ca="1"/>
        <v>45838</v>
      </c>
      <c r="S7" s="25" t="str">
        <f ca="1"/>
        <v>canonical</v>
      </c>
      <c r="T7" s="26" t="str">
        <f ca="1"/>
        <v>gross_margin_gaap</v>
      </c>
      <c r="U7" s="30" t="str">
        <f ca="1"/>
        <v>84.7849</v>
      </c>
      <c r="V7" s="29" t="str">
        <f ca="1"/>
        <v>96.5199999999996</v>
      </c>
      <c r="W7" s="29" t="str">
        <f ca="1"/>
        <v/>
      </c>
      <c r="X7" s="29" t="str">
        <f ca="1"/>
        <v/>
      </c>
      <c r="Y7" s="29" t="str">
        <f ca="1"/>
        <v>0.75999999999965</v>
      </c>
    </row>
    <row r="8" spans="1:25" x14ac:dyDescent="0.45">
      <c r="C8" s="4" t="s">
        <v>4</v>
      </c>
      <c r="D8" s="5"/>
      <c r="E8" s="4"/>
      <c r="F8" s="4"/>
      <c r="G8" s="12"/>
      <c r="H8" s="12">
        <f t="shared" ref="H8:O8" ca="1" si="1">+H7/D7-1</f>
        <v>0.19936524997821214</v>
      </c>
      <c r="I8" s="12">
        <f t="shared" ca="1" si="1"/>
        <v>0.20024951922745537</v>
      </c>
      <c r="J8" s="12">
        <f t="shared" ca="1" si="1"/>
        <v>0.21507652230543783</v>
      </c>
      <c r="K8" s="12">
        <f t="shared" ca="1" si="1"/>
        <v>0.21522568717951929</v>
      </c>
      <c r="L8" s="12">
        <f t="shared" ca="1" si="1"/>
        <v>0.18850329714247649</v>
      </c>
      <c r="M8" s="12">
        <f t="shared" ca="1" si="1"/>
        <v>0.1754253981198064</v>
      </c>
      <c r="N8" s="12">
        <f t="shared" ca="1" si="1"/>
        <v>0.15298405466970388</v>
      </c>
      <c r="O8" s="12">
        <f t="shared" ca="1" si="1"/>
        <v>0.14477491506956341</v>
      </c>
      <c r="P8" s="3"/>
      <c r="Q8" s="24" t="str">
        <f ca="1"/>
        <v>FRSH US EQUITY</v>
      </c>
      <c r="R8" s="24">
        <f ca="1"/>
        <v>45930</v>
      </c>
      <c r="S8" s="25" t="str">
        <f ca="1"/>
        <v>canonical</v>
      </c>
      <c r="T8" s="26" t="str">
        <f ca="1"/>
        <v>gross_margin_gaap</v>
      </c>
      <c r="U8" s="30" t="str">
        <f ca="1"/>
        <v>84.6805</v>
      </c>
      <c r="V8" s="29" t="str">
        <f ca="1"/>
        <v>65.5799999999999</v>
      </c>
      <c r="W8" s="29" t="str">
        <f ca="1"/>
        <v/>
      </c>
      <c r="X8" s="29" t="str">
        <f ca="1"/>
        <v/>
      </c>
      <c r="Y8" s="29" t="str">
        <f ca="1"/>
        <v>-10.4399999999998</v>
      </c>
    </row>
    <row r="9" spans="1:25" x14ac:dyDescent="0.45">
      <c r="C9" s="4" t="s">
        <v>19</v>
      </c>
      <c r="D9" s="1"/>
      <c r="L9" s="7">
        <f ca="1">(L8-K8)*10000</f>
        <v>-267.223900370428</v>
      </c>
      <c r="M9" s="7">
        <f ca="1">(M8-L8)*10000</f>
        <v>-130.77899022670093</v>
      </c>
      <c r="N9" s="7">
        <f ca="1">(N8-M8)*10000</f>
        <v>-224.41343450102514</v>
      </c>
      <c r="O9" s="7">
        <f ca="1">(O8-N8)*10000</f>
        <v>-82.091396001404689</v>
      </c>
      <c r="Q9" s="22" t="str">
        <f ca="1"/>
        <v>FRSH US EQUITY</v>
      </c>
      <c r="R9" s="24">
        <f ca="1"/>
        <v>46022</v>
      </c>
      <c r="S9" s="25" t="str">
        <f ca="1"/>
        <v>canonical</v>
      </c>
      <c r="T9" s="26" t="str">
        <f ca="1"/>
        <v>gross_margin_gaap</v>
      </c>
      <c r="U9" s="30" t="str">
        <f ca="1"/>
        <v>85.5572</v>
      </c>
      <c r="V9" s="29" t="str">
        <f ca="1"/>
        <v>69.7699999999998</v>
      </c>
      <c r="W9" s="29" t="str">
        <f ca="1"/>
        <v/>
      </c>
      <c r="X9" s="29" t="str">
        <f ca="1"/>
        <v/>
      </c>
      <c r="Y9" s="29" t="str">
        <f ca="1"/>
        <v>87.67</v>
      </c>
    </row>
    <row r="10" spans="1:25" x14ac:dyDescent="0.4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-108.61952835735656</v>
      </c>
      <c r="M10" s="7">
        <f ca="1">(M8-I8)*10000</f>
        <v>-248.24121107648978</v>
      </c>
      <c r="N10" s="7">
        <f ca="1">(N8-J8)*10000</f>
        <v>-620.92467635733954</v>
      </c>
      <c r="O10" s="7">
        <f ca="1">(O8-K8)*10000</f>
        <v>-704.50772109955869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FRSH US EQUITY</v>
      </c>
      <c r="R10" s="24">
        <f ca="1"/>
        <v>45747</v>
      </c>
      <c r="S10" s="25" t="str">
        <f ca="1"/>
        <v>canonical</v>
      </c>
      <c r="T10" s="26" t="str">
        <f ca="1"/>
        <v>operating_margin_gaap</v>
      </c>
      <c r="U10" s="30" t="str">
        <f ca="1"/>
        <v>-5.3069</v>
      </c>
      <c r="V10" s="29" t="str">
        <f ca="1"/>
        <v>1417.14</v>
      </c>
      <c r="W10" s="29" t="str">
        <f ca="1"/>
        <v/>
      </c>
      <c r="X10" s="29" t="str">
        <f ca="1"/>
        <v/>
      </c>
      <c r="Y10" s="29" t="str">
        <f ca="1"/>
        <v>692.1</v>
      </c>
    </row>
    <row r="11" spans="1:25" x14ac:dyDescent="0.45">
      <c r="C11" s="4" t="s">
        <v>5</v>
      </c>
      <c r="D11" s="1"/>
      <c r="L11" s="12">
        <f ca="1">L7/K7-1</f>
        <v>8.7474495171429023E-3</v>
      </c>
      <c r="M11" s="12">
        <f ca="1">M7/L7-1</f>
        <v>4.2823006730421387E-2</v>
      </c>
      <c r="N11" s="12">
        <f ca="1">N7/M7-1</f>
        <v>5.100694749802126E-2</v>
      </c>
      <c r="O11" s="12">
        <f ca="1">O7/N7-1</f>
        <v>3.5431716546267644E-2</v>
      </c>
      <c r="Q11" s="24" t="str">
        <f ca="1"/>
        <v>FRSH US EQUITY</v>
      </c>
      <c r="R11" s="24">
        <f ca="1"/>
        <v>45838</v>
      </c>
      <c r="S11" s="25" t="str">
        <f ca="1"/>
        <v>canonical</v>
      </c>
      <c r="T11" s="26" t="str">
        <f ca="1"/>
        <v>operating_margin_gaap</v>
      </c>
      <c r="U11" s="30" t="str">
        <f ca="1"/>
        <v>-4.2291</v>
      </c>
      <c r="V11" s="29" t="str">
        <f ca="1"/>
        <v>2091.69</v>
      </c>
      <c r="W11" s="29" t="str">
        <f ca="1"/>
        <v/>
      </c>
      <c r="X11" s="29" t="str">
        <f ca="1"/>
        <v/>
      </c>
      <c r="Y11" s="29" t="str">
        <f ca="1"/>
        <v>107.78</v>
      </c>
    </row>
    <row r="12" spans="1:25" x14ac:dyDescent="0.45">
      <c r="Q12" s="24" t="str">
        <f ca="1"/>
        <v>FRSH US EQUITY</v>
      </c>
      <c r="R12" s="24">
        <f ca="1"/>
        <v>45930</v>
      </c>
      <c r="S12" s="25" t="str">
        <f ca="1"/>
        <v>canonical</v>
      </c>
      <c r="T12" s="26" t="str">
        <f ca="1"/>
        <v>operating_margin_gaap</v>
      </c>
      <c r="U12" s="30" t="str">
        <f ca="1"/>
        <v>-3.4665</v>
      </c>
      <c r="V12" s="29" t="str">
        <f ca="1"/>
        <v>1736.37</v>
      </c>
      <c r="W12" s="29" t="str">
        <f ca="1"/>
        <v/>
      </c>
      <c r="X12" s="29" t="str">
        <f ca="1"/>
        <v/>
      </c>
      <c r="Y12" s="29" t="str">
        <f ca="1"/>
        <v>76.26</v>
      </c>
    </row>
    <row r="13" spans="1:25" x14ac:dyDescent="0.45">
      <c r="C13" s="13" t="s">
        <v>12</v>
      </c>
      <c r="D13" s="14">
        <f t="shared" ref="D13:O13" ca="1" si="2">EOMONTH(DATE(YEAR(D14),ROUNDUP(MONTH(D14)/3,0)*3,1),0)</f>
        <v>45016</v>
      </c>
      <c r="E13" s="14">
        <f t="shared" ca="1" si="2"/>
        <v>45107</v>
      </c>
      <c r="F13" s="14">
        <f t="shared" ca="1" si="2"/>
        <v>45199</v>
      </c>
      <c r="G13" s="14">
        <f t="shared" ca="1" si="2"/>
        <v>45291</v>
      </c>
      <c r="H13" s="14">
        <f t="shared" ca="1" si="2"/>
        <v>45382</v>
      </c>
      <c r="I13" s="14">
        <f t="shared" ca="1" si="2"/>
        <v>45473</v>
      </c>
      <c r="J13" s="14">
        <f t="shared" ca="1" si="2"/>
        <v>45565</v>
      </c>
      <c r="K13" s="14">
        <f t="shared" ca="1" si="2"/>
        <v>45657</v>
      </c>
      <c r="L13" s="14">
        <f t="shared" ca="1" si="2"/>
        <v>45747</v>
      </c>
      <c r="M13" s="14">
        <f t="shared" ca="1" si="2"/>
        <v>45838</v>
      </c>
      <c r="N13" s="14">
        <f t="shared" ca="1" si="2"/>
        <v>45930</v>
      </c>
      <c r="O13" s="14">
        <f t="shared" ca="1" si="2"/>
        <v>46022</v>
      </c>
      <c r="Q13" s="24" t="str">
        <f ca="1"/>
        <v>FRSH US EQUITY</v>
      </c>
      <c r="R13" s="24">
        <f ca="1"/>
        <v>46022</v>
      </c>
      <c r="S13" s="25" t="str">
        <f ca="1"/>
        <v>canonical</v>
      </c>
      <c r="T13" s="26" t="str">
        <f ca="1"/>
        <v>operating_margin_gaap</v>
      </c>
      <c r="U13" s="30" t="str">
        <f ca="1"/>
        <v>17.8387</v>
      </c>
      <c r="V13" s="29" t="str">
        <f ca="1"/>
        <v>3006.66</v>
      </c>
      <c r="W13" s="29" t="str">
        <f ca="1"/>
        <v/>
      </c>
      <c r="X13" s="29" t="str">
        <f ca="1"/>
        <v/>
      </c>
      <c r="Y13" s="29" t="str">
        <f ca="1"/>
        <v>2130.52</v>
      </c>
    </row>
    <row r="14" spans="1:25" x14ac:dyDescent="0.4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FRSH US EQUITY</v>
      </c>
      <c r="R14" s="24">
        <v>45747</v>
      </c>
      <c r="S14" s="25" t="str">
        <v>custom</v>
      </c>
      <c r="T14" s="26" t="str">
        <v>net_retention_pct</v>
      </c>
      <c r="U14" s="30" t="str">
        <v>1.05</v>
      </c>
      <c r="V14" s="29" t="str">
        <v>-100</v>
      </c>
      <c r="W14" s="29" t="str">
        <v/>
      </c>
      <c r="X14" s="29" t="str">
        <v/>
      </c>
      <c r="Y14" s="29" t="str">
        <v>200</v>
      </c>
    </row>
    <row r="15" spans="1:25" x14ac:dyDescent="0.45">
      <c r="A15" s="16" t="s">
        <v>9</v>
      </c>
      <c r="B15" s="16" t="s">
        <v>14</v>
      </c>
      <c r="C15" s="9" t="s">
        <v>6</v>
      </c>
      <c r="D15" s="3">
        <f ca="1"/>
        <v>81.6721</v>
      </c>
      <c r="E15" s="3">
        <f ca="1"/>
        <v>82.863799999999998</v>
      </c>
      <c r="F15" s="3">
        <f ca="1"/>
        <v>82.896100000000004</v>
      </c>
      <c r="G15" s="3">
        <f ca="1"/>
        <v>83.131100000000004</v>
      </c>
      <c r="H15" s="3">
        <f ca="1"/>
        <v>84.322699999999998</v>
      </c>
      <c r="I15" s="3">
        <f ca="1"/>
        <v>83.819699999999997</v>
      </c>
      <c r="J15" s="3">
        <f ca="1"/>
        <v>84.024699999999996</v>
      </c>
      <c r="K15" s="3">
        <f ca="1"/>
        <v>84.859499999999997</v>
      </c>
      <c r="L15" s="3">
        <f ca="1"/>
        <v>84.777299999999997</v>
      </c>
      <c r="M15" s="3">
        <f ca="1"/>
        <v>84.784899999999993</v>
      </c>
      <c r="N15" s="3">
        <f ca="1"/>
        <v>84.680499999999995</v>
      </c>
      <c r="O15">
        <f ca="1"/>
        <v>85.557199999999995</v>
      </c>
      <c r="Q15" s="24" t="str">
        <v>FRSH US EQUITY</v>
      </c>
      <c r="R15" s="24">
        <v>45838</v>
      </c>
      <c r="S15" s="25" t="str">
        <v>custom</v>
      </c>
      <c r="T15" s="26" t="str">
        <v>net_retention_pct</v>
      </c>
      <c r="U15" s="30" t="str">
        <v>1.06</v>
      </c>
      <c r="V15" s="29" t="str">
        <v>0</v>
      </c>
      <c r="W15" s="29" t="str">
        <v/>
      </c>
      <c r="X15" s="29" t="str">
        <v/>
      </c>
      <c r="Y15" s="29" t="str">
        <v>100</v>
      </c>
    </row>
    <row r="16" spans="1:25" x14ac:dyDescent="0.45">
      <c r="C16" s="4" t="s">
        <v>4</v>
      </c>
      <c r="D16" s="5"/>
      <c r="E16" s="4"/>
      <c r="F16" s="4"/>
      <c r="G16" s="4"/>
      <c r="H16" s="7">
        <f t="shared" ref="H16:O16" ca="1" si="3">(H15-D15)*100</f>
        <v>265.05999999999972</v>
      </c>
      <c r="I16" s="7">
        <f t="shared" ca="1" si="3"/>
        <v>95.589999999999975</v>
      </c>
      <c r="J16" s="7">
        <f t="shared" ca="1" si="3"/>
        <v>112.85999999999916</v>
      </c>
      <c r="K16" s="7">
        <f t="shared" ca="1" si="3"/>
        <v>172.83999999999935</v>
      </c>
      <c r="L16" s="7">
        <f t="shared" ca="1" si="3"/>
        <v>45.459999999999923</v>
      </c>
      <c r="M16" s="7">
        <f t="shared" ca="1" si="3"/>
        <v>96.519999999999584</v>
      </c>
      <c r="N16" s="7">
        <f t="shared" ca="1" si="3"/>
        <v>65.579999999999927</v>
      </c>
      <c r="O16" s="7">
        <f t="shared" ca="1" si="3"/>
        <v>69.769999999999754</v>
      </c>
      <c r="Q16" s="24" t="str">
        <v>FRSH US EQUITY</v>
      </c>
      <c r="R16" s="24">
        <v>45930</v>
      </c>
      <c r="S16" s="25" t="str">
        <v>custom</v>
      </c>
      <c r="T16" s="26" t="str">
        <v>net_retention_pct</v>
      </c>
      <c r="U16" s="30" t="str">
        <v>1.05</v>
      </c>
      <c r="V16" s="29" t="str">
        <v>-200</v>
      </c>
      <c r="W16" s="29" t="str">
        <v/>
      </c>
      <c r="X16" s="29" t="str">
        <v/>
      </c>
      <c r="Y16" s="29" t="str">
        <v>-100</v>
      </c>
    </row>
    <row r="17" spans="1:25" x14ac:dyDescent="0.45">
      <c r="C17" s="4" t="s">
        <v>19</v>
      </c>
      <c r="D17" s="1"/>
      <c r="K17" s="7"/>
      <c r="L17" s="7"/>
      <c r="M17" s="7"/>
      <c r="N17" s="7"/>
      <c r="O17" s="7"/>
      <c r="Q17" s="24" t="str">
        <v>FRSH US EQUITY</v>
      </c>
      <c r="R17" s="24">
        <v>46022</v>
      </c>
      <c r="S17" s="25" t="str">
        <v>custom</v>
      </c>
      <c r="T17" s="26" t="str">
        <v>net_retention_pct</v>
      </c>
      <c r="U17" s="30" t="str">
        <v>1.08</v>
      </c>
      <c r="V17" s="29" t="str">
        <v>500</v>
      </c>
      <c r="W17" s="29" t="str">
        <v/>
      </c>
      <c r="X17" s="29" t="str">
        <v/>
      </c>
      <c r="Y17" s="29" t="str">
        <v>300</v>
      </c>
    </row>
    <row r="18" spans="1:25" x14ac:dyDescent="0.4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FRSH US EQUITY</v>
      </c>
      <c r="R18" s="24">
        <v>45747</v>
      </c>
      <c r="S18" s="25" t="str">
        <v>custom</v>
      </c>
      <c r="T18" s="26" t="str">
        <v>customers</v>
      </c>
      <c r="U18" s="30" t="str">
        <v>73300</v>
      </c>
      <c r="V18" s="29" t="str">
        <v>0.085925925925926</v>
      </c>
      <c r="W18" s="29" t="str">
        <v>99.1996467406309</v>
      </c>
      <c r="X18" s="29" t="str">
        <v>458.642926439536</v>
      </c>
      <c r="Y18" s="29" t="str">
        <v>0.0152354570637119</v>
      </c>
    </row>
    <row r="19" spans="1:25" x14ac:dyDescent="0.45">
      <c r="C19" s="4" t="s">
        <v>5</v>
      </c>
      <c r="D19" s="1"/>
      <c r="K19" s="7"/>
      <c r="L19" s="7">
        <f ca="1">(L15-K15)*100</f>
        <v>-8.2200000000000273</v>
      </c>
      <c r="M19" s="7">
        <f ca="1">(M15-L15)*100</f>
        <v>0.75999999999964984</v>
      </c>
      <c r="N19" s="7">
        <f ca="1">(N15-M15)*100</f>
        <v>-10.439999999999827</v>
      </c>
      <c r="O19" s="7">
        <f ca="1">(O15-N15)*100</f>
        <v>87.669999999999959</v>
      </c>
      <c r="Q19" s="24" t="str">
        <v>FRSH US EQUITY</v>
      </c>
      <c r="R19" s="24">
        <v>45838</v>
      </c>
      <c r="S19" s="25" t="str">
        <v>custom</v>
      </c>
      <c r="T19" s="26" t="str">
        <v>customers</v>
      </c>
      <c r="U19" s="30" t="str">
        <v>74600</v>
      </c>
      <c r="V19" s="29" t="str">
        <v>0.0843023255813953</v>
      </c>
      <c r="W19" s="29" t="str">
        <v>-16.2360034453068</v>
      </c>
      <c r="X19" s="29" t="str">
        <v>355.218377765172</v>
      </c>
      <c r="Y19" s="29" t="str">
        <v>0.0177353342428377</v>
      </c>
    </row>
    <row r="20" spans="1:25" x14ac:dyDescent="0.45">
      <c r="Q20" s="24" t="str">
        <v>FRSH US EQUITY</v>
      </c>
      <c r="R20" s="24">
        <v>45930</v>
      </c>
      <c r="S20" s="25" t="str">
        <v>custom</v>
      </c>
      <c r="T20" s="26" t="str">
        <v>customers</v>
      </c>
      <c r="U20" s="30" t="str">
        <v>74900</v>
      </c>
      <c r="V20" s="29" t="str">
        <v>0.0761494252873562</v>
      </c>
      <c r="W20" s="29" t="str">
        <v>-81.5290029403903</v>
      </c>
      <c r="X20" s="29" t="str">
        <v>311.043802423112</v>
      </c>
      <c r="Y20" s="29" t="str">
        <v>0.00402144772117952</v>
      </c>
    </row>
    <row r="21" spans="1:25" x14ac:dyDescent="0.45">
      <c r="C21" s="13" t="s">
        <v>12</v>
      </c>
      <c r="D21" s="14">
        <f t="shared" ref="D21:O21" ca="1" si="4">EOMONTH(DATE(YEAR(D22),ROUNDUP(MONTH(D22)/3,0)*3,1),0)</f>
        <v>45016</v>
      </c>
      <c r="E21" s="14">
        <f t="shared" ca="1" si="4"/>
        <v>45107</v>
      </c>
      <c r="F21" s="14">
        <f t="shared" ca="1" si="4"/>
        <v>45199</v>
      </c>
      <c r="G21" s="14">
        <f t="shared" ca="1" si="4"/>
        <v>45291</v>
      </c>
      <c r="H21" s="14">
        <f t="shared" ca="1" si="4"/>
        <v>45382</v>
      </c>
      <c r="I21" s="14">
        <f t="shared" ca="1" si="4"/>
        <v>45473</v>
      </c>
      <c r="J21" s="14">
        <f t="shared" ca="1" si="4"/>
        <v>45565</v>
      </c>
      <c r="K21" s="14">
        <f t="shared" ca="1" si="4"/>
        <v>45657</v>
      </c>
      <c r="L21" s="14">
        <f t="shared" ca="1" si="4"/>
        <v>45747</v>
      </c>
      <c r="M21" s="14">
        <f t="shared" ca="1" si="4"/>
        <v>45838</v>
      </c>
      <c r="N21" s="14">
        <f t="shared" ca="1" si="4"/>
        <v>45930</v>
      </c>
      <c r="O21" s="14">
        <f t="shared" ca="1" si="4"/>
        <v>46022</v>
      </c>
      <c r="Q21" s="24" t="str">
        <v>FRSH US EQUITY</v>
      </c>
      <c r="R21" s="24">
        <v>46022</v>
      </c>
      <c r="S21" s="25" t="str">
        <v>custom</v>
      </c>
      <c r="T21" s="26" t="str">
        <v>customers</v>
      </c>
      <c r="U21" s="30" t="str">
        <v>74500</v>
      </c>
      <c r="V21" s="29" t="str">
        <v>0.0318559556786704</v>
      </c>
      <c r="W21" s="29" t="str">
        <v>-442.934696086859</v>
      </c>
      <c r="X21" s="29" t="str">
        <v>-441.500055731925</v>
      </c>
      <c r="Y21" s="29" t="str">
        <v>-0.00534045393858473</v>
      </c>
    </row>
    <row r="22" spans="1:25" x14ac:dyDescent="0.45">
      <c r="D22" s="1" cm="1">
        <f t="array" aca="1" ref="D22:O23" ca="1">+_xll.BDH($B$2,C23,$B$3,$B$4,"DIR=H")</f>
        <v>45016</v>
      </c>
      <c r="E22" s="1">
        <f ca="1"/>
        <v>45107</v>
      </c>
      <c r="F22" s="1">
        <f ca="1"/>
        <v>45199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45565</v>
      </c>
      <c r="K22" s="1">
        <f ca="1"/>
        <v>45657</v>
      </c>
      <c r="L22" s="1">
        <f ca="1"/>
        <v>45747</v>
      </c>
      <c r="M22" s="1">
        <f ca="1"/>
        <v>45838</v>
      </c>
      <c r="N22" s="1">
        <f ca="1"/>
        <v>45930</v>
      </c>
      <c r="O22" s="1">
        <f ca="1"/>
        <v>46022</v>
      </c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FRSH US EQUITY</v>
      </c>
      <c r="R22" s="24">
        <v>0</v>
      </c>
      <c r="S22" s="25">
        <v>0</v>
      </c>
      <c r="T22" s="26">
        <v>0</v>
      </c>
      <c r="U22" s="27" t="str">
        <v/>
      </c>
      <c r="V22" s="28" t="str">
        <v/>
      </c>
      <c r="W22" s="29" t="str">
        <v/>
      </c>
      <c r="X22" s="28" t="str">
        <v/>
      </c>
      <c r="Y22" s="29" t="str">
        <v/>
      </c>
    </row>
    <row r="23" spans="1:25" x14ac:dyDescent="0.45">
      <c r="A23" s="16" t="s">
        <v>9</v>
      </c>
      <c r="B23" s="16" t="s">
        <v>15</v>
      </c>
      <c r="C23" s="9" t="s">
        <v>7</v>
      </c>
      <c r="D23" s="3">
        <f ca="1"/>
        <v>-34.938099999999999</v>
      </c>
      <c r="E23" s="3">
        <f ca="1"/>
        <v>-29.838200000000001</v>
      </c>
      <c r="F23" s="3">
        <f ca="1"/>
        <v>-25.226299999999998</v>
      </c>
      <c r="G23" s="3">
        <f ca="1"/>
        <v>-25.008299999999998</v>
      </c>
      <c r="H23" s="3">
        <f ca="1"/>
        <v>-19.478300000000001</v>
      </c>
      <c r="I23" s="3">
        <f ca="1"/>
        <v>-25.146000000000001</v>
      </c>
      <c r="J23" s="3">
        <f ca="1"/>
        <v>-20.830200000000001</v>
      </c>
      <c r="K23" s="3">
        <f ca="1"/>
        <v>-12.2279</v>
      </c>
      <c r="L23" s="3">
        <f ca="1"/>
        <v>-5.3068999999999997</v>
      </c>
      <c r="M23" s="3">
        <f ca="1"/>
        <v>-4.2290999999999999</v>
      </c>
      <c r="N23" s="3">
        <f ca="1"/>
        <v>-3.4664999999999999</v>
      </c>
      <c r="O23">
        <f ca="1"/>
        <v>17.838699999999999</v>
      </c>
      <c r="Q23" s="24" t="str">
        <v>FRSH US EQUITY</v>
      </c>
      <c r="R23" s="24">
        <v>0</v>
      </c>
      <c r="S23" s="25">
        <v>0</v>
      </c>
      <c r="T23" s="26">
        <v>0</v>
      </c>
      <c r="U23" s="27" t="str">
        <v/>
      </c>
      <c r="V23" s="28" t="str">
        <v/>
      </c>
      <c r="W23" s="29" t="str">
        <v/>
      </c>
      <c r="X23" s="28" t="str">
        <v/>
      </c>
      <c r="Y23" s="29" t="str">
        <v/>
      </c>
    </row>
    <row r="24" spans="1:25" x14ac:dyDescent="0.45">
      <c r="C24" s="4" t="s">
        <v>4</v>
      </c>
      <c r="D24" s="5"/>
      <c r="E24" s="4"/>
      <c r="F24" s="4"/>
      <c r="G24" s="4"/>
      <c r="H24" s="7">
        <f t="shared" ref="H24:O24" ca="1" si="5">(H23-D23)*100</f>
        <v>1545.9799999999998</v>
      </c>
      <c r="I24" s="7">
        <f t="shared" ca="1" si="5"/>
        <v>469.21999999999997</v>
      </c>
      <c r="J24" s="7">
        <f t="shared" ca="1" si="5"/>
        <v>439.60999999999967</v>
      </c>
      <c r="K24" s="7">
        <f t="shared" ca="1" si="5"/>
        <v>1278.0399999999997</v>
      </c>
      <c r="L24" s="7">
        <f t="shared" ca="1" si="5"/>
        <v>1417.14</v>
      </c>
      <c r="M24" s="7">
        <f t="shared" ca="1" si="5"/>
        <v>2091.69</v>
      </c>
      <c r="N24" s="7">
        <f t="shared" ca="1" si="5"/>
        <v>1736.3700000000001</v>
      </c>
      <c r="O24" s="7">
        <f t="shared" ca="1" si="5"/>
        <v>3006.6600000000003</v>
      </c>
      <c r="Q24" s="24" t="str">
        <v>FRSH US EQUITY</v>
      </c>
      <c r="R24" s="24">
        <v>0</v>
      </c>
      <c r="S24" s="25">
        <v>0</v>
      </c>
      <c r="T24" s="26">
        <v>0</v>
      </c>
      <c r="U24" s="27" t="str">
        <v/>
      </c>
      <c r="V24" s="28" t="str">
        <v/>
      </c>
      <c r="W24" s="29" t="str">
        <v/>
      </c>
      <c r="X24" s="28" t="str">
        <v/>
      </c>
      <c r="Y24" s="29" t="str">
        <v/>
      </c>
    </row>
    <row r="25" spans="1:25" x14ac:dyDescent="0.45">
      <c r="C25" s="4" t="s">
        <v>19</v>
      </c>
      <c r="D25" s="1"/>
      <c r="K25" s="7"/>
      <c r="L25" s="7"/>
      <c r="M25" s="7"/>
      <c r="N25" s="7"/>
      <c r="O25" s="7"/>
      <c r="Q25" s="24" t="str">
        <v>FRSH US EQUITY</v>
      </c>
      <c r="R25" s="24">
        <v>0</v>
      </c>
      <c r="S25" s="25">
        <v>0</v>
      </c>
      <c r="T25" s="26">
        <v>0</v>
      </c>
      <c r="U25" s="27" t="str">
        <v/>
      </c>
      <c r="V25" s="28" t="str">
        <v/>
      </c>
      <c r="W25" s="29" t="str">
        <v/>
      </c>
      <c r="X25" s="28" t="str">
        <v/>
      </c>
      <c r="Y25" s="29" t="str">
        <v/>
      </c>
    </row>
    <row r="26" spans="1:25" x14ac:dyDescent="0.4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FRSH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45">
      <c r="C27" s="4" t="s">
        <v>5</v>
      </c>
      <c r="D27" s="1"/>
      <c r="K27" s="7"/>
      <c r="L27" s="7">
        <f ca="1">(L23-K23)*100</f>
        <v>692.1</v>
      </c>
      <c r="M27" s="7">
        <f ca="1">(M23-L23)*100</f>
        <v>107.77999999999999</v>
      </c>
      <c r="N27" s="7">
        <f ca="1">(N23-M23)*100</f>
        <v>76.259999999999991</v>
      </c>
      <c r="O27" s="7">
        <f ca="1">(O23-N23)*100</f>
        <v>2130.52</v>
      </c>
      <c r="Q27" s="24" t="str">
        <v>FRSH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45">
      <c r="C28" s="4"/>
      <c r="D28" s="1"/>
      <c r="K28" s="7"/>
      <c r="L28" s="7"/>
      <c r="M28" s="7"/>
      <c r="N28" s="7"/>
      <c r="O28" s="7"/>
      <c r="Q28" s="24" t="str">
        <v>FRSH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45">
      <c r="C29" s="13" t="s">
        <v>12</v>
      </c>
      <c r="D29" s="14">
        <f t="shared" ref="D29:L29" si="6">EOMONTH(DATE(YEAR(D30),ROUNDUP(MONTH(D30)/3,0)*3,1),0)</f>
        <v>45016</v>
      </c>
      <c r="E29" s="14">
        <f t="shared" si="6"/>
        <v>45107</v>
      </c>
      <c r="F29" s="14">
        <f t="shared" si="6"/>
        <v>45199</v>
      </c>
      <c r="G29" s="14">
        <f t="shared" si="6"/>
        <v>45291</v>
      </c>
      <c r="H29" s="14">
        <f t="shared" si="6"/>
        <v>45382</v>
      </c>
      <c r="I29" s="14">
        <f t="shared" si="6"/>
        <v>45473</v>
      </c>
      <c r="J29" s="14">
        <f t="shared" si="6"/>
        <v>45565</v>
      </c>
      <c r="K29" s="14">
        <f t="shared" si="6"/>
        <v>45657</v>
      </c>
      <c r="L29" s="14">
        <f t="shared" si="6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FRSH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45">
      <c r="D30" s="2">
        <v>45016</v>
      </c>
      <c r="E30" s="2">
        <v>45107</v>
      </c>
      <c r="F30" s="2">
        <v>45199</v>
      </c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FRSH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45">
      <c r="A31" s="16" t="s">
        <v>21</v>
      </c>
      <c r="B31" s="16" t="s">
        <v>68</v>
      </c>
      <c r="C31" s="2" t="s">
        <v>47</v>
      </c>
      <c r="D31" s="34">
        <v>1.07</v>
      </c>
      <c r="E31" s="34">
        <v>1.08</v>
      </c>
      <c r="F31" s="34">
        <v>1.08</v>
      </c>
      <c r="G31" s="35">
        <v>1.08</v>
      </c>
      <c r="H31" s="35">
        <v>1.06</v>
      </c>
      <c r="I31" s="35">
        <v>1.06</v>
      </c>
      <c r="J31" s="35">
        <v>1.07</v>
      </c>
      <c r="K31" s="35">
        <v>1.03</v>
      </c>
      <c r="L31" s="35">
        <v>1.05</v>
      </c>
      <c r="M31" s="35">
        <v>1.06</v>
      </c>
      <c r="N31" s="35">
        <v>1.05</v>
      </c>
      <c r="O31" s="35">
        <v>1.08</v>
      </c>
      <c r="Q31" s="24" t="str">
        <v>FRSH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45">
      <c r="C32" s="4" t="s">
        <v>4</v>
      </c>
      <c r="D32" s="5"/>
      <c r="E32" s="4"/>
      <c r="F32" s="4"/>
      <c r="G32" s="4"/>
      <c r="H32" s="7">
        <f t="shared" ref="H32" si="7">(H31-D31)*10000</f>
        <v>-100.00000000000009</v>
      </c>
      <c r="I32" s="7">
        <f t="shared" ref="I32" si="8">(I31-E31)*10000</f>
        <v>-200.00000000000017</v>
      </c>
      <c r="J32" s="7">
        <f t="shared" ref="J32" si="9">(J31-F31)*10000</f>
        <v>-100.00000000000009</v>
      </c>
      <c r="K32" s="7">
        <f t="shared" ref="K32" si="10">(K31-G31)*10000</f>
        <v>-500.00000000000045</v>
      </c>
      <c r="L32" s="7">
        <f t="shared" ref="L32" si="11">(L31-H31)*10000</f>
        <v>-100.00000000000009</v>
      </c>
      <c r="M32" s="7">
        <f t="shared" ref="M32" si="12">(M31-I31)*10000</f>
        <v>0</v>
      </c>
      <c r="N32" s="7">
        <f t="shared" ref="N32" si="13">(N31-J31)*10000</f>
        <v>-200.00000000000017</v>
      </c>
      <c r="O32" s="7">
        <f t="shared" ref="O32" si="14">(O31-K31)*10000</f>
        <v>500.00000000000045</v>
      </c>
      <c r="Q32" s="24" t="str">
        <v>FRSH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45">
      <c r="C33" s="4" t="s">
        <v>19</v>
      </c>
      <c r="D33" s="1"/>
      <c r="K33" s="7"/>
      <c r="L33" s="7"/>
      <c r="M33" s="7"/>
      <c r="N33" s="7"/>
      <c r="O33" s="7"/>
      <c r="Q33" s="24" t="str">
        <v>FRSH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45">
      <c r="C34" s="4" t="s">
        <v>23</v>
      </c>
      <c r="D34" s="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25" x14ac:dyDescent="0.45">
      <c r="C35" s="4" t="s">
        <v>5</v>
      </c>
      <c r="D35" s="1"/>
      <c r="K35" s="7"/>
      <c r="L35" s="7">
        <f>(L31-K31)*10000</f>
        <v>200.00000000000017</v>
      </c>
      <c r="M35" s="7">
        <f>(M31-L31)*10000</f>
        <v>100.00000000000009</v>
      </c>
      <c r="N35" s="7">
        <f>(N31-M31)*10000</f>
        <v>-100.00000000000009</v>
      </c>
      <c r="O35" s="7">
        <f>(O31-N31)*10000</f>
        <v>300.00000000000028</v>
      </c>
    </row>
    <row r="36" spans="1:25" x14ac:dyDescent="0.45">
      <c r="C36" s="4"/>
      <c r="D36" s="1"/>
      <c r="L36" s="7"/>
      <c r="M36" s="7"/>
      <c r="N36" s="7"/>
      <c r="O36" s="7"/>
    </row>
    <row r="37" spans="1:25" x14ac:dyDescent="0.45">
      <c r="C37" s="13"/>
      <c r="D37" s="14">
        <f t="shared" ref="D37:L37" si="15">EOMONTH(DATE(YEAR(D38),ROUNDUP(MONTH(D38)/3,0)*3,1),0)</f>
        <v>45016</v>
      </c>
      <c r="E37" s="14">
        <f t="shared" si="15"/>
        <v>45107</v>
      </c>
      <c r="F37" s="14">
        <f t="shared" si="15"/>
        <v>45199</v>
      </c>
      <c r="G37" s="14">
        <f t="shared" si="15"/>
        <v>45291</v>
      </c>
      <c r="H37" s="14">
        <f t="shared" si="15"/>
        <v>45382</v>
      </c>
      <c r="I37" s="14">
        <f t="shared" si="15"/>
        <v>45473</v>
      </c>
      <c r="J37" s="14">
        <f t="shared" si="15"/>
        <v>45565</v>
      </c>
      <c r="K37" s="14">
        <f t="shared" si="15"/>
        <v>45657</v>
      </c>
      <c r="L37" s="14">
        <f t="shared" si="15"/>
        <v>45747</v>
      </c>
      <c r="M37" s="14">
        <f>EOMONTH(DATE(YEAR(M38),ROUNDUP(MONTH(M38)/3,0)*3,1),0)</f>
        <v>45838</v>
      </c>
      <c r="N37" s="14">
        <f>EOMONTH(DATE(YEAR(N38),ROUNDUP(MONTH(N38)/3,0)*3,1),0)</f>
        <v>45930</v>
      </c>
      <c r="O37" s="14">
        <f>EOMONTH(DATE(YEAR(O38),ROUNDUP(MONTH(O38)/3,0)*3,1),0)</f>
        <v>46022</v>
      </c>
    </row>
    <row r="38" spans="1:25" x14ac:dyDescent="0.45">
      <c r="D38" s="2">
        <v>45016</v>
      </c>
      <c r="E38" s="2">
        <v>45107</v>
      </c>
      <c r="F38" s="2">
        <v>45199</v>
      </c>
      <c r="G38" s="2">
        <v>45291</v>
      </c>
      <c r="H38" s="2">
        <v>45382</v>
      </c>
      <c r="I38" s="2">
        <v>45473</v>
      </c>
      <c r="J38" s="2">
        <v>45565</v>
      </c>
      <c r="K38" s="2">
        <v>45657</v>
      </c>
      <c r="L38" s="2">
        <v>45747</v>
      </c>
      <c r="M38" s="2">
        <v>45838</v>
      </c>
      <c r="N38" s="2">
        <v>45930</v>
      </c>
      <c r="O38" s="2">
        <v>46022</v>
      </c>
    </row>
    <row r="39" spans="1:25" x14ac:dyDescent="0.45">
      <c r="A39" s="16" t="s">
        <v>21</v>
      </c>
      <c r="B39" s="16" t="s">
        <v>38</v>
      </c>
      <c r="C39" s="2" t="s">
        <v>39</v>
      </c>
      <c r="D39" s="32">
        <v>64900</v>
      </c>
      <c r="E39" s="32">
        <v>65600</v>
      </c>
      <c r="F39" s="32">
        <v>66600</v>
      </c>
      <c r="G39" s="32">
        <v>67100</v>
      </c>
      <c r="H39" s="32">
        <v>67500</v>
      </c>
      <c r="I39" s="32">
        <v>68800</v>
      </c>
      <c r="J39" s="32">
        <v>69600</v>
      </c>
      <c r="K39" s="32">
        <v>72200</v>
      </c>
      <c r="L39" s="32">
        <v>73300</v>
      </c>
      <c r="M39" s="32">
        <v>74600</v>
      </c>
      <c r="N39" s="32">
        <v>74900</v>
      </c>
      <c r="O39" s="32">
        <v>74500</v>
      </c>
    </row>
    <row r="40" spans="1:25" x14ac:dyDescent="0.45">
      <c r="C40" s="4" t="s">
        <v>4</v>
      </c>
      <c r="D40" s="5"/>
      <c r="E40" s="4"/>
      <c r="F40" s="4"/>
      <c r="G40" s="12"/>
      <c r="H40" s="12">
        <f t="shared" ref="H40" si="16">+H39/D39-1</f>
        <v>4.006163328197232E-2</v>
      </c>
      <c r="I40" s="12">
        <f t="shared" ref="I40" si="17">+I39/E39-1</f>
        <v>4.8780487804878092E-2</v>
      </c>
      <c r="J40" s="12">
        <f t="shared" ref="J40" si="18">+J39/F39-1</f>
        <v>4.5045045045045029E-2</v>
      </c>
      <c r="K40" s="12">
        <f t="shared" ref="K40" si="19">+K39/G39-1</f>
        <v>7.6005961251862875E-2</v>
      </c>
      <c r="L40" s="12">
        <f t="shared" ref="L40" si="20">+L39/H39-1</f>
        <v>8.5925925925925961E-2</v>
      </c>
      <c r="M40" s="12">
        <f t="shared" ref="M40" si="21">+M39/I39-1</f>
        <v>8.4302325581395277E-2</v>
      </c>
      <c r="N40" s="12">
        <f t="shared" ref="N40" si="22">+N39/J39-1</f>
        <v>7.6149425287356243E-2</v>
      </c>
      <c r="O40" s="12">
        <f t="shared" ref="O40" si="23">+O39/K39-1</f>
        <v>3.1855955678670389E-2</v>
      </c>
    </row>
    <row r="41" spans="1:25" x14ac:dyDescent="0.45">
      <c r="C41" s="4" t="s">
        <v>19</v>
      </c>
      <c r="D41" s="1"/>
      <c r="L41" s="7">
        <f>(L40-K40)*10000</f>
        <v>99.199646740630868</v>
      </c>
      <c r="M41" s="7">
        <f>(M40-L40)*10000</f>
        <v>-16.236003445306846</v>
      </c>
      <c r="N41" s="7">
        <f>(N40-M40)*10000</f>
        <v>-81.529002940390342</v>
      </c>
      <c r="O41" s="7">
        <f>(O40-N40)*10000</f>
        <v>-442.93469608685854</v>
      </c>
    </row>
    <row r="42" spans="1:25" x14ac:dyDescent="0.45">
      <c r="C42" s="4" t="s">
        <v>23</v>
      </c>
      <c r="D42" s="1"/>
      <c r="E42" s="6"/>
      <c r="F42" s="6"/>
      <c r="G42" s="6"/>
      <c r="H42" s="6"/>
      <c r="I42" s="6"/>
      <c r="J42" s="6"/>
      <c r="K42" s="6"/>
      <c r="L42" s="7">
        <f>(L40-H40)*10000</f>
        <v>458.64292643953644</v>
      </c>
      <c r="M42" s="7">
        <f>(M40-I40)*10000</f>
        <v>355.21837776517185</v>
      </c>
      <c r="N42" s="7">
        <f>(N40-J40)*10000</f>
        <v>311.04380242311214</v>
      </c>
      <c r="O42" s="7">
        <f>(O40-K40)*10000</f>
        <v>-441.50005573192487</v>
      </c>
    </row>
    <row r="43" spans="1:25" x14ac:dyDescent="0.45">
      <c r="C43" s="4" t="s">
        <v>5</v>
      </c>
      <c r="D43" s="1"/>
      <c r="L43" s="12">
        <f>L39/K39-1</f>
        <v>1.5235457063711877E-2</v>
      </c>
      <c r="M43" s="12">
        <f>M39/L39-1</f>
        <v>1.7735334242837686E-2</v>
      </c>
      <c r="N43" s="12">
        <f>N39/M39-1</f>
        <v>4.0214477211795163E-3</v>
      </c>
      <c r="O43" s="12">
        <f>O39/N39-1</f>
        <v>-5.3404539385847327E-3</v>
      </c>
    </row>
    <row r="44" spans="1:25" x14ac:dyDescent="0.45">
      <c r="C44" s="4"/>
      <c r="D44" s="1"/>
      <c r="G44" s="1"/>
    </row>
    <row r="45" spans="1:25" x14ac:dyDescent="0.45"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25" x14ac:dyDescent="0.45"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25" x14ac:dyDescent="0.45">
      <c r="A47" s="16"/>
      <c r="B47" s="16"/>
      <c r="C47" s="2"/>
      <c r="D47" s="34"/>
      <c r="E47" s="34"/>
      <c r="F47" s="34"/>
      <c r="G47" s="35"/>
      <c r="H47" s="35"/>
      <c r="I47" s="35"/>
      <c r="J47" s="35"/>
      <c r="K47" s="35"/>
      <c r="L47" s="35"/>
      <c r="M47" s="35"/>
      <c r="N47" s="35"/>
      <c r="O47" s="35"/>
    </row>
    <row r="48" spans="1:25" x14ac:dyDescent="0.45">
      <c r="C48" s="4"/>
      <c r="D48" s="5"/>
      <c r="E48" s="4"/>
      <c r="F48" s="4"/>
      <c r="G48" s="4"/>
      <c r="H48" s="7"/>
      <c r="I48" s="7"/>
      <c r="J48" s="7"/>
      <c r="K48" s="7"/>
      <c r="L48" s="7"/>
      <c r="M48" s="7"/>
      <c r="N48" s="7"/>
      <c r="O48" s="7"/>
    </row>
    <row r="49" spans="1:15" x14ac:dyDescent="0.45">
      <c r="C49" s="4"/>
      <c r="D49" s="1"/>
      <c r="K49" s="7"/>
      <c r="L49" s="7"/>
      <c r="M49" s="7"/>
      <c r="N49" s="7"/>
      <c r="O49" s="7"/>
    </row>
    <row r="50" spans="1:15" x14ac:dyDescent="0.45">
      <c r="C50" s="4"/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45">
      <c r="C51" s="4"/>
      <c r="D51" s="1"/>
      <c r="K51" s="7"/>
      <c r="L51" s="7"/>
      <c r="M51" s="7"/>
      <c r="N51" s="7"/>
      <c r="O51" s="7"/>
    </row>
    <row r="52" spans="1:15" x14ac:dyDescent="0.45">
      <c r="C52" s="4"/>
      <c r="D52" s="1"/>
      <c r="G52" s="1"/>
    </row>
    <row r="53" spans="1:15" x14ac:dyDescent="0.4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4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4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4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45">
      <c r="C57" s="4"/>
      <c r="D57" s="1"/>
      <c r="K57" s="7"/>
      <c r="L57" s="7"/>
      <c r="M57" s="7"/>
      <c r="N57" s="7"/>
      <c r="O57" s="7"/>
    </row>
    <row r="58" spans="1:15" x14ac:dyDescent="0.4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45">
      <c r="C59" s="4"/>
      <c r="D59" s="1"/>
      <c r="K59" s="7"/>
      <c r="L59" s="7"/>
      <c r="M59" s="7"/>
      <c r="N59" s="7"/>
      <c r="O59" s="7"/>
    </row>
    <row r="64" spans="1:15" x14ac:dyDescent="0.4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45">
      <c r="C65" s="4"/>
      <c r="D65" s="1"/>
      <c r="K65" s="7"/>
      <c r="L65" s="7"/>
      <c r="M65" s="7"/>
      <c r="N65" s="7"/>
      <c r="O65" s="7"/>
    </row>
    <row r="66" spans="3:15" x14ac:dyDescent="0.4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4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98449-1644-4C2E-A955-628C93572449}">
  <dimension ref="A1:Y67"/>
  <sheetViews>
    <sheetView topLeftCell="B36" zoomScale="85" zoomScaleNormal="85" workbookViewId="0">
      <pane xSplit="2" topLeftCell="H1" activePane="topRight" state="frozen"/>
      <selection activeCell="B1" sqref="B1"/>
      <selection pane="topRight" activeCell="N42" sqref="N42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15" width="10.1328125" bestFit="1" customWidth="1"/>
    <col min="16" max="16" width="9" customWidth="1"/>
    <col min="17" max="17" width="12.3984375" bestFit="1" customWidth="1"/>
    <col min="18" max="18" width="14.3984375" bestFit="1" customWidth="1"/>
    <col min="19" max="19" width="8.59765625" bestFit="1" customWidth="1"/>
    <col min="20" max="20" width="20.265625" bestFit="1" customWidth="1"/>
    <col min="21" max="21" width="7.3984375" bestFit="1" customWidth="1"/>
    <col min="22" max="22" width="10.73046875" bestFit="1" customWidth="1"/>
    <col min="23" max="23" width="9.1328125" bestFit="1" customWidth="1"/>
    <col min="24" max="24" width="10.3984375" bestFit="1" customWidth="1"/>
    <col min="25" max="25" width="9.1328125" bestFit="1" customWidth="1"/>
  </cols>
  <sheetData>
    <row r="1" spans="1:25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45">
      <c r="A2" s="17" t="s">
        <v>1</v>
      </c>
      <c r="B2" s="31" t="s">
        <v>50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GDDY US EQUITY</v>
      </c>
      <c r="R2" s="24">
        <f ca="1"/>
        <v>45747</v>
      </c>
      <c r="S2" s="25" t="str">
        <f ca="1"/>
        <v>canonical</v>
      </c>
      <c r="T2" s="26" t="str">
        <f ca="1"/>
        <v>revenue</v>
      </c>
      <c r="U2" s="27" t="str">
        <f ca="1"/>
        <v>1194.3</v>
      </c>
      <c r="V2" s="28" t="str">
        <f ca="1"/>
        <v>0.0774018944519621</v>
      </c>
      <c r="W2" s="29" t="str">
        <f ca="1"/>
        <v>-64.8431839907859</v>
      </c>
      <c r="X2" s="28" t="str">
        <f ca="1"/>
        <v>74.2119947126718</v>
      </c>
      <c r="Y2" s="29" t="str">
        <f ca="1"/>
        <v>0.00142545698473917</v>
      </c>
    </row>
    <row r="3" spans="1:25" x14ac:dyDescent="0.45">
      <c r="A3" s="18" t="s">
        <v>3</v>
      </c>
      <c r="B3" s="19">
        <f ca="1">+B4-365*3</f>
        <v>45001</v>
      </c>
      <c r="Q3" s="24" t="str">
        <f ca="1"/>
        <v>GDDY US EQUITY</v>
      </c>
      <c r="R3" s="24">
        <f ca="1"/>
        <v>45838</v>
      </c>
      <c r="S3" s="25" t="str">
        <f ca="1"/>
        <v>canonical</v>
      </c>
      <c r="T3" s="26" t="str">
        <f ca="1"/>
        <v>revenue</v>
      </c>
      <c r="U3" s="27" t="str">
        <f ca="1"/>
        <v>1217.6</v>
      </c>
      <c r="V3" s="28" t="str">
        <f ca="1"/>
        <v>0.0827923521565139</v>
      </c>
      <c r="W3" s="29" t="str">
        <f ca="1"/>
        <v>53.9045770455182</v>
      </c>
      <c r="X3" s="29" t="str">
        <f ca="1"/>
        <v>98.985443137507</v>
      </c>
      <c r="Y3" s="29" t="str">
        <f ca="1"/>
        <v>0.019509336012727</v>
      </c>
    </row>
    <row r="4" spans="1:25" x14ac:dyDescent="0.45">
      <c r="A4" s="20" t="s">
        <v>2</v>
      </c>
      <c r="B4" s="21">
        <f ca="1">TODAY()</f>
        <v>46096</v>
      </c>
      <c r="Q4" s="24" t="str">
        <f ca="1"/>
        <v>GDDY US EQUITY</v>
      </c>
      <c r="R4" s="24">
        <f ca="1"/>
        <v>45930</v>
      </c>
      <c r="S4" s="25" t="str">
        <f ca="1"/>
        <v>canonical</v>
      </c>
      <c r="T4" s="26" t="str">
        <f ca="1"/>
        <v>revenue</v>
      </c>
      <c r="U4" s="27" t="str">
        <f ca="1"/>
        <v>1265.3</v>
      </c>
      <c r="V4" s="28" t="str">
        <f ca="1"/>
        <v>0.102561868246776</v>
      </c>
      <c r="W4" s="29" t="str">
        <f ca="1"/>
        <v>197.69516090262</v>
      </c>
      <c r="X4" s="29" t="str">
        <f ca="1"/>
        <v>297.377119412698</v>
      </c>
      <c r="Y4" s="29" t="str">
        <f ca="1"/>
        <v>0.0391754270696452</v>
      </c>
    </row>
    <row r="5" spans="1:25" x14ac:dyDescent="0.45">
      <c r="C5" s="13" t="s">
        <v>12</v>
      </c>
      <c r="D5" s="14">
        <f t="shared" ref="D5:O5" ca="1" si="0">EOMONTH(DATE(YEAR(D6),ROUNDUP(MONTH(D6)/3,0)*3,1),0)</f>
        <v>45016</v>
      </c>
      <c r="E5" s="14">
        <f t="shared" ca="1" si="0"/>
        <v>45107</v>
      </c>
      <c r="F5" s="14">
        <f t="shared" ca="1" si="0"/>
        <v>45199</v>
      </c>
      <c r="G5" s="14">
        <f t="shared" ca="1" si="0"/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t="shared" ca="1" si="0"/>
        <v>45747</v>
      </c>
      <c r="M5" s="14">
        <f t="shared" ca="1" si="0"/>
        <v>45838</v>
      </c>
      <c r="N5" s="14">
        <f t="shared" ca="1" si="0"/>
        <v>45930</v>
      </c>
      <c r="O5" s="14">
        <f t="shared" ca="1" si="0"/>
        <v>46022</v>
      </c>
      <c r="Q5" s="24" t="str">
        <f ca="1"/>
        <v>GDDY US EQUITY</v>
      </c>
      <c r="R5" s="24">
        <f ca="1"/>
        <v>46022</v>
      </c>
      <c r="S5" s="25" t="str">
        <f ca="1"/>
        <v>canonical</v>
      </c>
      <c r="T5" s="26" t="str">
        <f ca="1"/>
        <v>revenue</v>
      </c>
      <c r="U5" s="27" t="str">
        <f ca="1"/>
        <v>1273.9</v>
      </c>
      <c r="V5" s="28" t="str">
        <f ca="1"/>
        <v>0.068170384034882</v>
      </c>
      <c r="W5" s="29" t="str">
        <f ca="1"/>
        <v>-343.91484211894</v>
      </c>
      <c r="X5" s="29" t="str">
        <f ca="1"/>
        <v>-157.158288161587</v>
      </c>
      <c r="Y5" s="29" t="str">
        <f ca="1"/>
        <v>0.00679680708132469</v>
      </c>
    </row>
    <row r="6" spans="1:25" x14ac:dyDescent="0.45">
      <c r="D6" s="15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GDDY US EQUITY</v>
      </c>
      <c r="R6" s="24">
        <f ca="1"/>
        <v>45747</v>
      </c>
      <c r="S6" s="25" t="str">
        <f ca="1"/>
        <v>canonical</v>
      </c>
      <c r="T6" s="26" t="str">
        <f ca="1"/>
        <v>gross_margin_gaap</v>
      </c>
      <c r="U6" s="30" t="str">
        <f ca="1"/>
        <v>63.1165</v>
      </c>
      <c r="V6" s="29" t="str">
        <f ca="1"/>
        <v>50.9399999999999</v>
      </c>
      <c r="W6" s="29" t="str">
        <f ca="1"/>
        <v/>
      </c>
      <c r="X6" s="29" t="str">
        <f ca="1"/>
        <v/>
      </c>
      <c r="Y6" s="29" t="str">
        <f ca="1"/>
        <v>-151.54</v>
      </c>
    </row>
    <row r="7" spans="1:25" x14ac:dyDescent="0.45">
      <c r="A7" s="16" t="s">
        <v>9</v>
      </c>
      <c r="B7" s="16" t="s">
        <v>8</v>
      </c>
      <c r="C7" s="9" t="s">
        <v>0</v>
      </c>
      <c r="D7" s="11">
        <f ca="1"/>
        <v>1036</v>
      </c>
      <c r="E7" s="11">
        <f ca="1"/>
        <v>1048.0999999999999</v>
      </c>
      <c r="F7" s="11">
        <f ca="1"/>
        <v>1069.7</v>
      </c>
      <c r="G7" s="11">
        <f ca="1"/>
        <v>1100.3</v>
      </c>
      <c r="H7" s="11">
        <f ca="1"/>
        <v>1108.5</v>
      </c>
      <c r="I7" s="11">
        <f ca="1"/>
        <v>1124.5</v>
      </c>
      <c r="J7" s="11">
        <f ca="1"/>
        <v>1147.5999999999999</v>
      </c>
      <c r="K7" s="11">
        <f ca="1"/>
        <v>1192.5999999999999</v>
      </c>
      <c r="L7" s="11">
        <f ca="1"/>
        <v>1194.3</v>
      </c>
      <c r="M7" s="11">
        <f ca="1"/>
        <v>1217.5999999999999</v>
      </c>
      <c r="N7" s="11">
        <f ca="1"/>
        <v>1265.3</v>
      </c>
      <c r="O7" s="3">
        <f ca="1"/>
        <v>1273.9000000000001</v>
      </c>
      <c r="P7" s="1"/>
      <c r="Q7" s="24" t="str">
        <f ca="1"/>
        <v>GDDY US EQUITY</v>
      </c>
      <c r="R7" s="24">
        <f ca="1"/>
        <v>45838</v>
      </c>
      <c r="S7" s="25" t="str">
        <f ca="1"/>
        <v>canonical</v>
      </c>
      <c r="T7" s="26" t="str">
        <f ca="1"/>
        <v>gross_margin_gaap</v>
      </c>
      <c r="U7" s="30" t="str">
        <f ca="1"/>
        <v>63.6744</v>
      </c>
      <c r="V7" s="29" t="str">
        <f ca="1"/>
        <v>-1.61000000000016</v>
      </c>
      <c r="W7" s="29" t="str">
        <f ca="1"/>
        <v/>
      </c>
      <c r="X7" s="29" t="str">
        <f ca="1"/>
        <v/>
      </c>
      <c r="Y7" s="29" t="str">
        <f ca="1"/>
        <v>55.7899999999997</v>
      </c>
    </row>
    <row r="8" spans="1:25" x14ac:dyDescent="0.45">
      <c r="C8" s="4" t="s">
        <v>4</v>
      </c>
      <c r="D8" s="5"/>
      <c r="E8" s="4"/>
      <c r="F8" s="4"/>
      <c r="G8" s="12"/>
      <c r="H8" s="12">
        <f t="shared" ref="H8:O8" ca="1" si="1">+H7/D7-1</f>
        <v>6.9980694980694924E-2</v>
      </c>
      <c r="I8" s="12">
        <f t="shared" ca="1" si="1"/>
        <v>7.2893807842763225E-2</v>
      </c>
      <c r="J8" s="12">
        <f t="shared" ca="1" si="1"/>
        <v>7.2824156305506094E-2</v>
      </c>
      <c r="K8" s="12">
        <f t="shared" ca="1" si="1"/>
        <v>8.3886212851040698E-2</v>
      </c>
      <c r="L8" s="12">
        <f t="shared" ca="1" si="1"/>
        <v>7.7401894451962105E-2</v>
      </c>
      <c r="M8" s="12">
        <f t="shared" ca="1" si="1"/>
        <v>8.2792352156513926E-2</v>
      </c>
      <c r="N8" s="12">
        <f t="shared" ca="1" si="1"/>
        <v>0.10256186824677593</v>
      </c>
      <c r="O8" s="12">
        <f t="shared" ca="1" si="1"/>
        <v>6.8170384034881959E-2</v>
      </c>
      <c r="P8" s="3"/>
      <c r="Q8" s="24" t="str">
        <f ca="1"/>
        <v>GDDY US EQUITY</v>
      </c>
      <c r="R8" s="24">
        <f ca="1"/>
        <v>45930</v>
      </c>
      <c r="S8" s="25" t="str">
        <f ca="1"/>
        <v>canonical</v>
      </c>
      <c r="T8" s="26" t="str">
        <f ca="1"/>
        <v>gross_margin_gaap</v>
      </c>
      <c r="U8" s="30" t="str">
        <f ca="1"/>
        <v>62.989</v>
      </c>
      <c r="V8" s="29" t="str">
        <f ca="1"/>
        <v>-151.08</v>
      </c>
      <c r="W8" s="29" t="str">
        <f ca="1"/>
        <v/>
      </c>
      <c r="X8" s="29" t="str">
        <f ca="1"/>
        <v/>
      </c>
      <c r="Y8" s="29" t="str">
        <f ca="1"/>
        <v>-68.5400000000001</v>
      </c>
    </row>
    <row r="9" spans="1:25" x14ac:dyDescent="0.45">
      <c r="C9" s="4" t="s">
        <v>19</v>
      </c>
      <c r="D9" s="1"/>
      <c r="L9" s="7">
        <f ca="1">(L8-K8)*10000</f>
        <v>-64.843183990785917</v>
      </c>
      <c r="M9" s="7">
        <f ca="1">(M8-L8)*10000</f>
        <v>53.904577045518209</v>
      </c>
      <c r="N9" s="7">
        <f ca="1">(N8-M8)*10000</f>
        <v>197.69516090262007</v>
      </c>
      <c r="O9" s="7">
        <f ca="1">(O8-N8)*10000</f>
        <v>-343.91484211893976</v>
      </c>
      <c r="Q9" s="22" t="str">
        <f ca="1"/>
        <v>GDDY US EQUITY</v>
      </c>
      <c r="R9" s="24">
        <f ca="1"/>
        <v>46022</v>
      </c>
      <c r="S9" s="25" t="str">
        <f ca="1"/>
        <v>canonical</v>
      </c>
      <c r="T9" s="26" t="str">
        <f ca="1"/>
        <v>gross_margin_gaap</v>
      </c>
      <c r="U9" s="30" t="str">
        <f ca="1"/>
        <v>64.644</v>
      </c>
      <c r="V9" s="29" t="str">
        <f ca="1"/>
        <v>1.21000000000038</v>
      </c>
      <c r="W9" s="29" t="str">
        <f ca="1"/>
        <v/>
      </c>
      <c r="X9" s="29" t="str">
        <f ca="1"/>
        <v/>
      </c>
      <c r="Y9" s="29" t="str">
        <f ca="1"/>
        <v>165.500000000001</v>
      </c>
    </row>
    <row r="10" spans="1:25" x14ac:dyDescent="0.4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74.21199471267181</v>
      </c>
      <c r="M10" s="7">
        <f ca="1">(M8-I8)*10000</f>
        <v>98.985443137507019</v>
      </c>
      <c r="N10" s="7">
        <f ca="1">(N8-J8)*10000</f>
        <v>297.37711941269839</v>
      </c>
      <c r="O10" s="7">
        <f ca="1">(O8-K8)*10000</f>
        <v>-157.15828816158739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GDDY US EQUITY</v>
      </c>
      <c r="R10" s="24">
        <f ca="1"/>
        <v>45747</v>
      </c>
      <c r="S10" s="25" t="str">
        <f ca="1"/>
        <v>canonical</v>
      </c>
      <c r="T10" s="26" t="str">
        <f ca="1"/>
        <v>operating_margin_gaap</v>
      </c>
      <c r="U10" s="30" t="str">
        <f ca="1"/>
        <v>20.7067</v>
      </c>
      <c r="V10" s="29" t="str">
        <f ca="1"/>
        <v>483.84</v>
      </c>
      <c r="W10" s="29" t="str">
        <f ca="1"/>
        <v/>
      </c>
      <c r="X10" s="29" t="str">
        <f ca="1"/>
        <v/>
      </c>
      <c r="Y10" s="29" t="str">
        <f ca="1"/>
        <v>-72.55</v>
      </c>
    </row>
    <row r="11" spans="1:25" x14ac:dyDescent="0.45">
      <c r="C11" s="4" t="s">
        <v>5</v>
      </c>
      <c r="D11" s="1"/>
      <c r="L11" s="12">
        <f ca="1">L7/K7-1</f>
        <v>1.4254569847391707E-3</v>
      </c>
      <c r="M11" s="12">
        <f ca="1">M7/L7-1</f>
        <v>1.9509336012726974E-2</v>
      </c>
      <c r="N11" s="12">
        <f ca="1">N7/M7-1</f>
        <v>3.9175427069645163E-2</v>
      </c>
      <c r="O11" s="12">
        <f ca="1">O7/N7-1</f>
        <v>6.796807081324685E-3</v>
      </c>
      <c r="Q11" s="24" t="str">
        <f ca="1"/>
        <v>GDDY US EQUITY</v>
      </c>
      <c r="R11" s="24">
        <f ca="1"/>
        <v>45838</v>
      </c>
      <c r="S11" s="25" t="str">
        <f ca="1"/>
        <v>canonical</v>
      </c>
      <c r="T11" s="26" t="str">
        <f ca="1"/>
        <v>operating_margin_gaap</v>
      </c>
      <c r="U11" s="30" t="str">
        <f ca="1"/>
        <v>21.8709</v>
      </c>
      <c r="V11" s="29" t="str">
        <f ca="1"/>
        <v>335.6</v>
      </c>
      <c r="W11" s="29" t="str">
        <f ca="1"/>
        <v/>
      </c>
      <c r="X11" s="29" t="str">
        <f ca="1"/>
        <v/>
      </c>
      <c r="Y11" s="29" t="str">
        <f ca="1"/>
        <v>116.42</v>
      </c>
    </row>
    <row r="12" spans="1:25" x14ac:dyDescent="0.45">
      <c r="Q12" s="24" t="str">
        <f ca="1"/>
        <v>GDDY US EQUITY</v>
      </c>
      <c r="R12" s="24">
        <f ca="1"/>
        <v>45930</v>
      </c>
      <c r="S12" s="25" t="str">
        <f ca="1"/>
        <v>canonical</v>
      </c>
      <c r="T12" s="26" t="str">
        <f ca="1"/>
        <v>operating_margin_gaap</v>
      </c>
      <c r="U12" s="30" t="str">
        <f ca="1"/>
        <v>23.449</v>
      </c>
      <c r="V12" s="29" t="str">
        <f ca="1"/>
        <v>133.33</v>
      </c>
      <c r="W12" s="29" t="str">
        <f ca="1"/>
        <v/>
      </c>
      <c r="X12" s="29" t="str">
        <f ca="1"/>
        <v/>
      </c>
      <c r="Y12" s="29" t="str">
        <f ca="1"/>
        <v>157.81</v>
      </c>
    </row>
    <row r="13" spans="1:25" x14ac:dyDescent="0.45">
      <c r="C13" s="13" t="s">
        <v>12</v>
      </c>
      <c r="D13" s="14">
        <f t="shared" ref="D13:O13" ca="1" si="2">EOMONTH(DATE(YEAR(D14),ROUNDUP(MONTH(D14)/3,0)*3,1),0)</f>
        <v>45016</v>
      </c>
      <c r="E13" s="14">
        <f t="shared" ca="1" si="2"/>
        <v>45107</v>
      </c>
      <c r="F13" s="14">
        <f t="shared" ca="1" si="2"/>
        <v>45199</v>
      </c>
      <c r="G13" s="14">
        <f t="shared" ca="1" si="2"/>
        <v>45291</v>
      </c>
      <c r="H13" s="14">
        <f t="shared" ca="1" si="2"/>
        <v>45382</v>
      </c>
      <c r="I13" s="14">
        <f t="shared" ca="1" si="2"/>
        <v>45473</v>
      </c>
      <c r="J13" s="14">
        <f t="shared" ca="1" si="2"/>
        <v>45565</v>
      </c>
      <c r="K13" s="14">
        <f t="shared" ca="1" si="2"/>
        <v>45657</v>
      </c>
      <c r="L13" s="14">
        <f t="shared" ca="1" si="2"/>
        <v>45747</v>
      </c>
      <c r="M13" s="14">
        <f t="shared" ca="1" si="2"/>
        <v>45838</v>
      </c>
      <c r="N13" s="14">
        <f t="shared" ca="1" si="2"/>
        <v>45930</v>
      </c>
      <c r="O13" s="14">
        <f t="shared" ca="1" si="2"/>
        <v>46022</v>
      </c>
      <c r="Q13" s="24" t="str">
        <f ca="1"/>
        <v>GDDY US EQUITY</v>
      </c>
      <c r="R13" s="24">
        <f ca="1"/>
        <v>46022</v>
      </c>
      <c r="S13" s="25" t="str">
        <f ca="1"/>
        <v>canonical</v>
      </c>
      <c r="T13" s="26" t="str">
        <f ca="1"/>
        <v>operating_margin_gaap</v>
      </c>
      <c r="U13" s="30" t="str">
        <f ca="1"/>
        <v>24.8842</v>
      </c>
      <c r="V13" s="29" t="str">
        <f ca="1"/>
        <v>345.2</v>
      </c>
      <c r="W13" s="29" t="str">
        <f ca="1"/>
        <v/>
      </c>
      <c r="X13" s="29" t="str">
        <f ca="1"/>
        <v/>
      </c>
      <c r="Y13" s="29" t="str">
        <f ca="1"/>
        <v>143.52</v>
      </c>
    </row>
    <row r="14" spans="1:25" x14ac:dyDescent="0.4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GDDY US EQUITY</v>
      </c>
      <c r="R14" s="24">
        <v>45747</v>
      </c>
      <c r="S14" s="25" t="str">
        <v>custom</v>
      </c>
      <c r="T14" s="26" t="str">
        <v>core_platform_bookings</v>
      </c>
      <c r="U14" s="30" t="str">
        <v>866.8</v>
      </c>
      <c r="V14" s="29" t="str">
        <v>0.0468599033816421</v>
      </c>
      <c r="W14" s="29" t="str">
        <v>35.7233528616696</v>
      </c>
      <c r="X14" s="29" t="str">
        <v>131.246325860181</v>
      </c>
      <c r="Y14" s="29" t="str">
        <v>0.121780768733014</v>
      </c>
    </row>
    <row r="15" spans="1:25" x14ac:dyDescent="0.45">
      <c r="A15" s="16" t="s">
        <v>9</v>
      </c>
      <c r="B15" s="16" t="s">
        <v>14</v>
      </c>
      <c r="C15" s="9" t="s">
        <v>6</v>
      </c>
      <c r="D15" s="3">
        <f ca="1"/>
        <v>62.731699999999996</v>
      </c>
      <c r="E15" s="3">
        <f ca="1"/>
        <v>62.942500000000003</v>
      </c>
      <c r="F15" s="3">
        <f ca="1"/>
        <v>62.896099999999997</v>
      </c>
      <c r="G15" s="3">
        <f ca="1"/>
        <v>63.446300000000001</v>
      </c>
      <c r="H15" s="3">
        <f ca="1"/>
        <v>62.607100000000003</v>
      </c>
      <c r="I15" s="3">
        <f ca="1"/>
        <v>63.6905</v>
      </c>
      <c r="J15" s="3">
        <f ca="1"/>
        <v>64.499799999999993</v>
      </c>
      <c r="K15" s="3">
        <f ca="1"/>
        <v>64.631900000000002</v>
      </c>
      <c r="L15" s="3">
        <f ca="1"/>
        <v>63.116500000000002</v>
      </c>
      <c r="M15" s="3">
        <f ca="1"/>
        <v>63.674399999999999</v>
      </c>
      <c r="N15" s="3">
        <f ca="1"/>
        <v>62.988999999999997</v>
      </c>
      <c r="O15">
        <f ca="1"/>
        <v>64.644000000000005</v>
      </c>
      <c r="Q15" s="24" t="str">
        <v>GDDY US EQUITY</v>
      </c>
      <c r="R15" s="24">
        <v>45838</v>
      </c>
      <c r="S15" s="25" t="str">
        <v>custom</v>
      </c>
      <c r="T15" s="26" t="str">
        <v>core_platform_bookings</v>
      </c>
      <c r="U15" s="30" t="str">
        <v>812.4</v>
      </c>
      <c r="V15" s="29" t="str">
        <v>0.0360923351613311</v>
      </c>
      <c r="W15" s="29" t="str">
        <v>-107.67568220311</v>
      </c>
      <c r="X15" s="29" t="str">
        <v>-1.81103360931134</v>
      </c>
      <c r="Y15" s="29" t="str">
        <v>-0.0627595754499305</v>
      </c>
    </row>
    <row r="16" spans="1:25" x14ac:dyDescent="0.45">
      <c r="C16" s="4" t="s">
        <v>4</v>
      </c>
      <c r="D16" s="5"/>
      <c r="E16" s="4"/>
      <c r="F16" s="4"/>
      <c r="G16" s="4"/>
      <c r="H16" s="7">
        <f t="shared" ref="H16:O16" ca="1" si="3">(H15-D15)*100</f>
        <v>-12.459999999999383</v>
      </c>
      <c r="I16" s="7">
        <f t="shared" ca="1" si="3"/>
        <v>74.799999999999756</v>
      </c>
      <c r="J16" s="7">
        <f t="shared" ca="1" si="3"/>
        <v>160.36999999999964</v>
      </c>
      <c r="K16" s="7">
        <f t="shared" ca="1" si="3"/>
        <v>118.56000000000009</v>
      </c>
      <c r="L16" s="7">
        <f t="shared" ca="1" si="3"/>
        <v>50.939999999999941</v>
      </c>
      <c r="M16" s="7">
        <f t="shared" ca="1" si="3"/>
        <v>-1.6100000000001558</v>
      </c>
      <c r="N16" s="7">
        <f t="shared" ca="1" si="3"/>
        <v>-151.07999999999961</v>
      </c>
      <c r="O16" s="7">
        <f t="shared" ca="1" si="3"/>
        <v>1.2100000000003774</v>
      </c>
      <c r="Q16" s="24" t="str">
        <v>GDDY US EQUITY</v>
      </c>
      <c r="R16" s="24">
        <v>45930</v>
      </c>
      <c r="S16" s="25" t="str">
        <v>custom</v>
      </c>
      <c r="T16" s="26" t="str">
        <v>core_platform_bookings</v>
      </c>
      <c r="U16" s="30" t="str">
        <v>825.5</v>
      </c>
      <c r="V16" s="29" t="str">
        <v>0.0609176198432071</v>
      </c>
      <c r="W16" s="29" t="str">
        <v>248.252846818759</v>
      </c>
      <c r="X16" s="29" t="str">
        <v>185.46837548874</v>
      </c>
      <c r="Y16" s="29" t="str">
        <v>0.0161250615460362</v>
      </c>
    </row>
    <row r="17" spans="1:25" x14ac:dyDescent="0.45">
      <c r="C17" s="4" t="s">
        <v>19</v>
      </c>
      <c r="D17" s="1"/>
      <c r="K17" s="7"/>
      <c r="L17" s="7"/>
      <c r="M17" s="7"/>
      <c r="N17" s="7"/>
      <c r="O17" s="7"/>
      <c r="Q17" s="24" t="str">
        <v>GDDY US EQUITY</v>
      </c>
      <c r="R17" s="24">
        <v>46022</v>
      </c>
      <c r="S17" s="25" t="str">
        <v>custom</v>
      </c>
      <c r="T17" s="26" t="str">
        <v>core_platform_bookings</v>
      </c>
      <c r="U17" s="30" t="str">
        <v>782.5</v>
      </c>
      <c r="V17" s="29" t="str">
        <v>0.0126828005694322</v>
      </c>
      <c r="W17" s="29" t="str">
        <v>-482.348192737749</v>
      </c>
      <c r="X17" s="29" t="str">
        <v>-306.04767526043</v>
      </c>
      <c r="Y17" s="29" t="str">
        <v>-0.0520896426408237</v>
      </c>
    </row>
    <row r="18" spans="1:25" x14ac:dyDescent="0.4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GDDY US EQUITY</v>
      </c>
      <c r="R18" s="24">
        <v>45747</v>
      </c>
      <c r="S18" s="25" t="str">
        <v>custom</v>
      </c>
      <c r="T18" s="26" t="str">
        <v>application_commerce_bookings</v>
      </c>
      <c r="U18" s="30" t="str">
        <v>550.2</v>
      </c>
      <c r="V18" s="29" t="str">
        <v>0.135135135135135</v>
      </c>
      <c r="W18" s="29" t="str">
        <v>-384.792064402604</v>
      </c>
      <c r="X18" s="29" t="str">
        <v>-820.274789217765</v>
      </c>
      <c r="Y18" s="29" t="str">
        <v>0.223210315695865</v>
      </c>
    </row>
    <row r="19" spans="1:25" x14ac:dyDescent="0.45">
      <c r="C19" s="4" t="s">
        <v>5</v>
      </c>
      <c r="D19" s="1"/>
      <c r="K19" s="7"/>
      <c r="L19" s="7">
        <f ca="1">(L15-K15)*100</f>
        <v>-151.53999999999996</v>
      </c>
      <c r="M19" s="7">
        <f ca="1">(M15-L15)*100</f>
        <v>55.789999999999651</v>
      </c>
      <c r="N19" s="7">
        <f ca="1">(N15-M15)*100</f>
        <v>-68.540000000000134</v>
      </c>
      <c r="O19" s="7">
        <f ca="1">(O15-N15)*100</f>
        <v>165.50000000000082</v>
      </c>
      <c r="Q19" s="24" t="str">
        <v>GDDY US EQUITY</v>
      </c>
      <c r="R19" s="24">
        <v>45838</v>
      </c>
      <c r="S19" s="25" t="str">
        <v>custom</v>
      </c>
      <c r="T19" s="26" t="str">
        <v>application_commerce_bookings</v>
      </c>
      <c r="U19" s="30" t="str">
        <v>532.9</v>
      </c>
      <c r="V19" s="29" t="str">
        <v>0.115320217664295</v>
      </c>
      <c r="W19" s="29" t="str">
        <v>-198.149174708404</v>
      </c>
      <c r="X19" s="29" t="str">
        <v>-1275.05743531253</v>
      </c>
      <c r="Y19" s="29" t="str">
        <v>-0.0314431115957837</v>
      </c>
    </row>
    <row r="20" spans="1:25" x14ac:dyDescent="0.45">
      <c r="Q20" s="24" t="str">
        <v>GDDY US EQUITY</v>
      </c>
      <c r="R20" s="24">
        <v>45930</v>
      </c>
      <c r="S20" s="25" t="str">
        <v>custom</v>
      </c>
      <c r="T20" s="26" t="str">
        <v>application_commerce_bookings</v>
      </c>
      <c r="U20" s="30" t="str">
        <v>529</v>
      </c>
      <c r="V20" s="29" t="str">
        <v>0.14106988783434</v>
      </c>
      <c r="W20" s="29" t="str">
        <v>257.496701700455</v>
      </c>
      <c r="X20" s="29" t="str">
        <v>-402.915773206327</v>
      </c>
      <c r="Y20" s="29" t="str">
        <v>-0.00731844623756794</v>
      </c>
    </row>
    <row r="21" spans="1:25" x14ac:dyDescent="0.45">
      <c r="C21" s="13" t="s">
        <v>12</v>
      </c>
      <c r="D21" s="14">
        <f t="shared" ref="D21:O21" ca="1" si="4">EOMONTH(DATE(YEAR(D22),ROUNDUP(MONTH(D22)/3,0)*3,1),0)</f>
        <v>45016</v>
      </c>
      <c r="E21" s="14">
        <f t="shared" ca="1" si="4"/>
        <v>45107</v>
      </c>
      <c r="F21" s="14">
        <f t="shared" ca="1" si="4"/>
        <v>45199</v>
      </c>
      <c r="G21" s="14">
        <f t="shared" ca="1" si="4"/>
        <v>45291</v>
      </c>
      <c r="H21" s="14">
        <f t="shared" ca="1" si="4"/>
        <v>45382</v>
      </c>
      <c r="I21" s="14">
        <f t="shared" ca="1" si="4"/>
        <v>45473</v>
      </c>
      <c r="J21" s="14">
        <f t="shared" ca="1" si="4"/>
        <v>45565</v>
      </c>
      <c r="K21" s="14">
        <f t="shared" ca="1" si="4"/>
        <v>45657</v>
      </c>
      <c r="L21" s="14">
        <f t="shared" ca="1" si="4"/>
        <v>45747</v>
      </c>
      <c r="M21" s="14">
        <f t="shared" ca="1" si="4"/>
        <v>45838</v>
      </c>
      <c r="N21" s="14">
        <f t="shared" ca="1" si="4"/>
        <v>45930</v>
      </c>
      <c r="O21" s="14">
        <f t="shared" ca="1" si="4"/>
        <v>46022</v>
      </c>
      <c r="Q21" s="24" t="str">
        <v>GDDY US EQUITY</v>
      </c>
      <c r="R21" s="24">
        <v>46022</v>
      </c>
      <c r="S21" s="25" t="str">
        <v>custom</v>
      </c>
      <c r="T21" s="26" t="str">
        <v>application_commerce_bookings</v>
      </c>
      <c r="U21" s="30" t="str">
        <v>500.7</v>
      </c>
      <c r="V21" s="29" t="str">
        <v>0.11316140506892</v>
      </c>
      <c r="W21" s="29" t="str">
        <v>-279.084827654203</v>
      </c>
      <c r="X21" s="29" t="str">
        <v>-604.529365064757</v>
      </c>
      <c r="Y21" s="29" t="str">
        <v>-0.0534971644612476</v>
      </c>
    </row>
    <row r="22" spans="1:25" x14ac:dyDescent="0.45">
      <c r="D22" s="1" cm="1">
        <f t="array" aca="1" ref="D22:O23" ca="1">+_xll.BDH($B$2,C23,$B$3,$B$4,"DIR=H")</f>
        <v>45016</v>
      </c>
      <c r="E22" s="1">
        <f ca="1"/>
        <v>45107</v>
      </c>
      <c r="F22" s="1">
        <f ca="1"/>
        <v>45199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45565</v>
      </c>
      <c r="K22" s="1">
        <f ca="1"/>
        <v>45657</v>
      </c>
      <c r="L22" s="1">
        <f ca="1"/>
        <v>45747</v>
      </c>
      <c r="M22" s="1">
        <f ca="1"/>
        <v>45838</v>
      </c>
      <c r="N22" s="1">
        <f ca="1"/>
        <v>45930</v>
      </c>
      <c r="O22" s="1">
        <f ca="1"/>
        <v>46022</v>
      </c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GDDY US EQUITY</v>
      </c>
      <c r="R22" s="24">
        <v>0</v>
      </c>
      <c r="S22" s="25">
        <v>0</v>
      </c>
      <c r="T22" s="26">
        <v>0</v>
      </c>
      <c r="U22" s="27" t="str">
        <v/>
      </c>
      <c r="V22" s="28" t="str">
        <v/>
      </c>
      <c r="W22" s="29" t="str">
        <v/>
      </c>
      <c r="X22" s="28" t="str">
        <v/>
      </c>
      <c r="Y22" s="29" t="str">
        <v/>
      </c>
    </row>
    <row r="23" spans="1:25" x14ac:dyDescent="0.45">
      <c r="A23" s="16" t="s">
        <v>9</v>
      </c>
      <c r="B23" s="16" t="s">
        <v>15</v>
      </c>
      <c r="C23" s="9" t="s">
        <v>7</v>
      </c>
      <c r="D23" s="3">
        <f ca="1"/>
        <v>6.8339999999999996</v>
      </c>
      <c r="E23" s="3">
        <f ca="1"/>
        <v>11.411099999999999</v>
      </c>
      <c r="F23" s="3">
        <f ca="1"/>
        <v>15.6212</v>
      </c>
      <c r="G23" s="3">
        <f ca="1"/>
        <v>17.258900000000001</v>
      </c>
      <c r="H23" s="3">
        <f ca="1"/>
        <v>15.8683</v>
      </c>
      <c r="I23" s="3">
        <f ca="1"/>
        <v>18.514900000000001</v>
      </c>
      <c r="J23" s="3">
        <f ca="1"/>
        <v>22.1157</v>
      </c>
      <c r="K23" s="3">
        <f ca="1"/>
        <v>21.432200000000002</v>
      </c>
      <c r="L23" s="3">
        <f ca="1"/>
        <v>20.706700000000001</v>
      </c>
      <c r="M23" s="3">
        <f ca="1"/>
        <v>21.870899999999999</v>
      </c>
      <c r="N23" s="3">
        <f ca="1"/>
        <v>23.449000000000002</v>
      </c>
      <c r="O23">
        <f ca="1"/>
        <v>24.8842</v>
      </c>
      <c r="Q23" s="24" t="str">
        <v>GDDY US EQUITY</v>
      </c>
      <c r="R23" s="24">
        <v>0</v>
      </c>
      <c r="S23" s="25">
        <v>0</v>
      </c>
      <c r="T23" s="26">
        <v>0</v>
      </c>
      <c r="U23" s="27" t="str">
        <v/>
      </c>
      <c r="V23" s="28" t="str">
        <v/>
      </c>
      <c r="W23" s="29" t="str">
        <v/>
      </c>
      <c r="X23" s="28" t="str">
        <v/>
      </c>
      <c r="Y23" s="29" t="str">
        <v/>
      </c>
    </row>
    <row r="24" spans="1:25" x14ac:dyDescent="0.45">
      <c r="C24" s="4" t="s">
        <v>4</v>
      </c>
      <c r="D24" s="5"/>
      <c r="E24" s="4"/>
      <c r="F24" s="4"/>
      <c r="G24" s="4"/>
      <c r="H24" s="7">
        <f t="shared" ref="H24:O24" ca="1" si="5">(H23-D23)*100</f>
        <v>903.43</v>
      </c>
      <c r="I24" s="7">
        <f t="shared" ca="1" si="5"/>
        <v>710.38000000000011</v>
      </c>
      <c r="J24" s="7">
        <f t="shared" ca="1" si="5"/>
        <v>649.45000000000005</v>
      </c>
      <c r="K24" s="7">
        <f t="shared" ca="1" si="5"/>
        <v>417.3300000000001</v>
      </c>
      <c r="L24" s="7">
        <f t="shared" ca="1" si="5"/>
        <v>483.8400000000002</v>
      </c>
      <c r="M24" s="7">
        <f t="shared" ca="1" si="5"/>
        <v>335.5999999999998</v>
      </c>
      <c r="N24" s="7">
        <f t="shared" ca="1" si="5"/>
        <v>133.33000000000013</v>
      </c>
      <c r="O24" s="7">
        <f t="shared" ca="1" si="5"/>
        <v>345.19999999999982</v>
      </c>
      <c r="Q24" s="24" t="str">
        <v>GDDY US EQUITY</v>
      </c>
      <c r="R24" s="24">
        <v>0</v>
      </c>
      <c r="S24" s="25">
        <v>0</v>
      </c>
      <c r="T24" s="26">
        <v>0</v>
      </c>
      <c r="U24" s="27" t="str">
        <v/>
      </c>
      <c r="V24" s="28" t="str">
        <v/>
      </c>
      <c r="W24" s="29" t="str">
        <v/>
      </c>
      <c r="X24" s="28" t="str">
        <v/>
      </c>
      <c r="Y24" s="29" t="str">
        <v/>
      </c>
    </row>
    <row r="25" spans="1:25" x14ac:dyDescent="0.45">
      <c r="C25" s="4" t="s">
        <v>19</v>
      </c>
      <c r="D25" s="1"/>
      <c r="K25" s="7"/>
      <c r="L25" s="7"/>
      <c r="M25" s="7"/>
      <c r="N25" s="7"/>
      <c r="O25" s="7"/>
      <c r="Q25" s="24" t="str">
        <v>GDDY US EQUITY</v>
      </c>
      <c r="R25" s="24">
        <v>0</v>
      </c>
      <c r="S25" s="25">
        <v>0</v>
      </c>
      <c r="T25" s="26">
        <v>0</v>
      </c>
      <c r="U25" s="27" t="str">
        <v/>
      </c>
      <c r="V25" s="28" t="str">
        <v/>
      </c>
      <c r="W25" s="29" t="str">
        <v/>
      </c>
      <c r="X25" s="28" t="str">
        <v/>
      </c>
      <c r="Y25" s="29" t="str">
        <v/>
      </c>
    </row>
    <row r="26" spans="1:25" x14ac:dyDescent="0.4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GDDY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45">
      <c r="C27" s="4" t="s">
        <v>5</v>
      </c>
      <c r="D27" s="1"/>
      <c r="K27" s="7"/>
      <c r="L27" s="7">
        <f ca="1">(L23-K23)*100</f>
        <v>-72.550000000000026</v>
      </c>
      <c r="M27" s="7">
        <f ca="1">(M23-L23)*100</f>
        <v>116.41999999999975</v>
      </c>
      <c r="N27" s="7">
        <f ca="1">(N23-M23)*100</f>
        <v>157.81000000000029</v>
      </c>
      <c r="O27" s="7">
        <f ca="1">(O23-N23)*100</f>
        <v>143.51999999999981</v>
      </c>
      <c r="Q27" s="24" t="str">
        <v>GDDY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45">
      <c r="C28" s="4"/>
      <c r="D28" s="1"/>
      <c r="K28" s="7"/>
      <c r="L28" s="7"/>
      <c r="M28" s="7"/>
      <c r="N28" s="7"/>
      <c r="O28" s="7"/>
      <c r="Q28" s="24" t="str">
        <v>GDDY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45">
      <c r="C29" s="13"/>
      <c r="D29" s="14">
        <f t="shared" ref="D29:L29" si="6">EOMONTH(DATE(YEAR(D30),ROUNDUP(MONTH(D30)/3,0)*3,1),0)</f>
        <v>45016</v>
      </c>
      <c r="E29" s="14">
        <f t="shared" si="6"/>
        <v>45107</v>
      </c>
      <c r="F29" s="14">
        <f t="shared" si="6"/>
        <v>45199</v>
      </c>
      <c r="G29" s="14">
        <f t="shared" si="6"/>
        <v>45291</v>
      </c>
      <c r="H29" s="14">
        <f t="shared" si="6"/>
        <v>45382</v>
      </c>
      <c r="I29" s="14">
        <f t="shared" si="6"/>
        <v>45473</v>
      </c>
      <c r="J29" s="14">
        <f t="shared" si="6"/>
        <v>45565</v>
      </c>
      <c r="K29" s="14">
        <f t="shared" si="6"/>
        <v>45657</v>
      </c>
      <c r="L29" s="14">
        <f t="shared" si="6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GDDY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45">
      <c r="D30" s="2">
        <v>45016</v>
      </c>
      <c r="E30" s="2">
        <v>45107</v>
      </c>
      <c r="F30" s="2">
        <v>45199</v>
      </c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GDDY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45">
      <c r="A31" s="16" t="s">
        <v>21</v>
      </c>
      <c r="B31" s="16" t="s">
        <v>52</v>
      </c>
      <c r="C31" s="2" t="s">
        <v>53</v>
      </c>
      <c r="D31" s="32">
        <v>800.97876447876467</v>
      </c>
      <c r="E31" s="32">
        <v>756.65357313233449</v>
      </c>
      <c r="F31" s="32">
        <v>746.47142189398915</v>
      </c>
      <c r="G31" s="32">
        <v>740.63951649550097</v>
      </c>
      <c r="H31" s="32">
        <v>828.00000000000011</v>
      </c>
      <c r="I31" s="32">
        <v>784.10000000000025</v>
      </c>
      <c r="J31" s="32">
        <v>778.10000000000059</v>
      </c>
      <c r="K31" s="32">
        <v>772.6999999999997</v>
      </c>
      <c r="L31" s="32">
        <v>866.79999999999984</v>
      </c>
      <c r="M31" s="32">
        <v>812.40000000000009</v>
      </c>
      <c r="N31" s="32">
        <v>825.5</v>
      </c>
      <c r="O31" s="32">
        <v>782.5</v>
      </c>
      <c r="Q31" s="24" t="str">
        <v>GDDY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45">
      <c r="C32" s="4" t="s">
        <v>4</v>
      </c>
      <c r="D32" s="5"/>
      <c r="E32" s="4"/>
      <c r="F32" s="4"/>
      <c r="G32" s="12"/>
      <c r="H32" s="12">
        <f t="shared" ref="H32" si="7">+H31/D31-1</f>
        <v>3.3735270795623995E-2</v>
      </c>
      <c r="I32" s="12">
        <f t="shared" ref="I32" si="8">+I31/E31-1</f>
        <v>3.627343852226228E-2</v>
      </c>
      <c r="J32" s="12">
        <f t="shared" ref="J32" si="9">+J31/F31-1</f>
        <v>4.2370782294333109E-2</v>
      </c>
      <c r="K32" s="12">
        <f t="shared" ref="K32" si="10">+K31/G31-1</f>
        <v>4.3287568095475182E-2</v>
      </c>
      <c r="L32" s="12">
        <f t="shared" ref="L32" si="11">+L31/H31-1</f>
        <v>4.6859903381642143E-2</v>
      </c>
      <c r="M32" s="12">
        <f t="shared" ref="M32" si="12">+M31/I31-1</f>
        <v>3.6092335161331146E-2</v>
      </c>
      <c r="N32" s="12">
        <f t="shared" ref="N32" si="13">+N31/J31-1</f>
        <v>6.0917619843207094E-2</v>
      </c>
      <c r="O32" s="12">
        <f t="shared" ref="O32" si="14">+O31/K31-1</f>
        <v>1.2682800569432162E-2</v>
      </c>
      <c r="Q32" s="24" t="str">
        <v>GDDY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45">
      <c r="C33" s="4" t="s">
        <v>19</v>
      </c>
      <c r="D33" s="1"/>
      <c r="L33" s="7">
        <f>(L32-K32)*10000</f>
        <v>35.723352861669611</v>
      </c>
      <c r="M33" s="7">
        <f>(M32-L32)*10000</f>
        <v>-107.67568220310997</v>
      </c>
      <c r="N33" s="7">
        <f>(N32-M32)*10000</f>
        <v>248.25284681875948</v>
      </c>
      <c r="O33" s="7">
        <f>(O32-N32)*10000</f>
        <v>-482.34819273774929</v>
      </c>
      <c r="Q33" s="24" t="str">
        <v>GDDY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45">
      <c r="C34" s="4" t="s">
        <v>23</v>
      </c>
      <c r="D34" s="1"/>
      <c r="E34" s="6"/>
      <c r="F34" s="6"/>
      <c r="G34" s="6"/>
      <c r="H34" s="6"/>
      <c r="I34" s="6"/>
      <c r="J34" s="6"/>
      <c r="K34" s="6"/>
      <c r="L34" s="7">
        <f>(L32-H32)*10000</f>
        <v>131.24632586018149</v>
      </c>
      <c r="M34" s="7">
        <f>(M32-I32)*10000</f>
        <v>-1.8110336093113411</v>
      </c>
      <c r="N34" s="7">
        <f>(N32-J32)*10000</f>
        <v>185.46837548873984</v>
      </c>
      <c r="O34" s="7">
        <f>(O32-K32)*10000</f>
        <v>-306.0476752604302</v>
      </c>
    </row>
    <row r="35" spans="1:25" x14ac:dyDescent="0.45">
      <c r="C35" s="4" t="s">
        <v>5</v>
      </c>
      <c r="D35" s="1"/>
      <c r="L35" s="12">
        <f>L31/K31-1</f>
        <v>0.12178076873301436</v>
      </c>
      <c r="M35" s="12">
        <f>M31/L31-1</f>
        <v>-6.2759575449930494E-2</v>
      </c>
      <c r="N35" s="12">
        <f>N31/M31-1</f>
        <v>1.6125061546036212E-2</v>
      </c>
      <c r="O35" s="12">
        <f>O31/N31-1</f>
        <v>-5.2089642640823719E-2</v>
      </c>
    </row>
    <row r="36" spans="1:25" x14ac:dyDescent="0.45">
      <c r="C36" s="4"/>
      <c r="D36" s="1"/>
      <c r="L36" s="7"/>
      <c r="M36" s="7"/>
      <c r="N36" s="7"/>
      <c r="O36" s="7"/>
    </row>
    <row r="37" spans="1:25" x14ac:dyDescent="0.45">
      <c r="C37" s="13"/>
      <c r="D37" s="14">
        <f t="shared" ref="D37:L37" si="15">EOMONTH(DATE(YEAR(D38),ROUNDUP(MONTH(D38)/3,0)*3,1),0)</f>
        <v>45016</v>
      </c>
      <c r="E37" s="14">
        <f t="shared" si="15"/>
        <v>45107</v>
      </c>
      <c r="F37" s="14">
        <f t="shared" si="15"/>
        <v>45199</v>
      </c>
      <c r="G37" s="14">
        <f t="shared" si="15"/>
        <v>45291</v>
      </c>
      <c r="H37" s="14">
        <f t="shared" si="15"/>
        <v>45382</v>
      </c>
      <c r="I37" s="14">
        <f t="shared" si="15"/>
        <v>45473</v>
      </c>
      <c r="J37" s="14">
        <f t="shared" si="15"/>
        <v>45565</v>
      </c>
      <c r="K37" s="14">
        <f t="shared" si="15"/>
        <v>45657</v>
      </c>
      <c r="L37" s="14">
        <f t="shared" si="15"/>
        <v>45747</v>
      </c>
      <c r="M37" s="14">
        <f>EOMONTH(DATE(YEAR(M38),ROUNDUP(MONTH(M38)/3,0)*3,1),0)</f>
        <v>45838</v>
      </c>
      <c r="N37" s="14">
        <f>EOMONTH(DATE(YEAR(N38),ROUNDUP(MONTH(N38)/3,0)*3,1),0)</f>
        <v>45930</v>
      </c>
      <c r="O37" s="14">
        <f>EOMONTH(DATE(YEAR(O38),ROUNDUP(MONTH(O38)/3,0)*3,1),0)</f>
        <v>46022</v>
      </c>
    </row>
    <row r="38" spans="1:25" x14ac:dyDescent="0.45">
      <c r="D38" s="2">
        <v>45016</v>
      </c>
      <c r="E38" s="2">
        <v>45107</v>
      </c>
      <c r="F38" s="2">
        <v>45199</v>
      </c>
      <c r="G38" s="2">
        <v>45291</v>
      </c>
      <c r="H38" s="2">
        <v>45382</v>
      </c>
      <c r="I38" s="2">
        <v>45473</v>
      </c>
      <c r="J38" s="2">
        <v>45565</v>
      </c>
      <c r="K38" s="2">
        <v>45657</v>
      </c>
      <c r="L38" s="2">
        <v>45747</v>
      </c>
      <c r="M38" s="2">
        <v>45838</v>
      </c>
      <c r="N38" s="2">
        <v>45930</v>
      </c>
      <c r="O38" s="2">
        <v>46022</v>
      </c>
    </row>
    <row r="39" spans="1:25" x14ac:dyDescent="0.45">
      <c r="A39" s="16" t="s">
        <v>21</v>
      </c>
      <c r="B39" s="16" t="s">
        <v>51</v>
      </c>
      <c r="C39" s="2" t="s">
        <v>54</v>
      </c>
      <c r="D39" s="32">
        <v>398.2212355212356</v>
      </c>
      <c r="E39" s="32">
        <v>384.44642686766525</v>
      </c>
      <c r="F39" s="32">
        <v>392.42857810601106</v>
      </c>
      <c r="G39" s="32">
        <v>383.26048350449867</v>
      </c>
      <c r="H39" s="32">
        <v>484.70000000000016</v>
      </c>
      <c r="I39" s="32">
        <v>477.79999999999995</v>
      </c>
      <c r="J39" s="32">
        <v>463.59999999999991</v>
      </c>
      <c r="K39" s="32">
        <v>449.7999999999999</v>
      </c>
      <c r="L39" s="32">
        <v>550.20000000000016</v>
      </c>
      <c r="M39" s="32">
        <v>532.9</v>
      </c>
      <c r="N39" s="32">
        <v>529</v>
      </c>
      <c r="O39" s="32">
        <v>500.7</v>
      </c>
    </row>
    <row r="40" spans="1:25" x14ac:dyDescent="0.45">
      <c r="C40" s="4" t="s">
        <v>4</v>
      </c>
      <c r="D40" s="5"/>
      <c r="E40" s="4"/>
      <c r="F40" s="4"/>
      <c r="G40" s="12"/>
      <c r="H40" s="12">
        <f t="shared" ref="H40:O40" si="16">+H39/D39-1</f>
        <v>0.21716261405691162</v>
      </c>
      <c r="I40" s="12">
        <f t="shared" si="16"/>
        <v>0.24282596119554789</v>
      </c>
      <c r="J40" s="12">
        <f t="shared" si="16"/>
        <v>0.18136146515497287</v>
      </c>
      <c r="K40" s="12">
        <f t="shared" si="16"/>
        <v>0.17361434157539546</v>
      </c>
      <c r="L40" s="12">
        <f t="shared" si="16"/>
        <v>0.13513513513513509</v>
      </c>
      <c r="M40" s="12">
        <f t="shared" si="16"/>
        <v>0.11532021766429468</v>
      </c>
      <c r="N40" s="12">
        <f t="shared" si="16"/>
        <v>0.14106988783434016</v>
      </c>
      <c r="O40" s="12">
        <f t="shared" si="16"/>
        <v>0.11316140506891981</v>
      </c>
    </row>
    <row r="41" spans="1:25" x14ac:dyDescent="0.45">
      <c r="C41" s="4" t="s">
        <v>19</v>
      </c>
      <c r="D41" s="1"/>
      <c r="L41" s="7">
        <f>(L40-K40)*10000</f>
        <v>-384.79206440260373</v>
      </c>
      <c r="M41" s="7">
        <f>(M40-L40)*10000</f>
        <v>-198.1491747084041</v>
      </c>
      <c r="N41" s="7">
        <f>(N40-M40)*10000</f>
        <v>257.49670170045482</v>
      </c>
      <c r="O41" s="7">
        <f>(O40-N40)*10000</f>
        <v>-279.08482765420348</v>
      </c>
    </row>
    <row r="42" spans="1:25" x14ac:dyDescent="0.45">
      <c r="C42" s="4" t="s">
        <v>23</v>
      </c>
      <c r="D42" s="1"/>
      <c r="E42" s="6"/>
      <c r="F42" s="6"/>
      <c r="G42" s="6"/>
      <c r="H42" s="6"/>
      <c r="I42" s="6"/>
      <c r="J42" s="6"/>
      <c r="K42" s="6"/>
      <c r="L42" s="7">
        <f>(L40-H40)*10000</f>
        <v>-820.27478921776526</v>
      </c>
      <c r="M42" s="7">
        <f>(M40-I40)*10000</f>
        <v>-1275.0574353125321</v>
      </c>
      <c r="N42" s="7">
        <f>(N40-J40)*10000</f>
        <v>-402.91577320632712</v>
      </c>
      <c r="O42" s="7">
        <f>(O40-K40)*10000</f>
        <v>-604.52936506475658</v>
      </c>
    </row>
    <row r="43" spans="1:25" x14ac:dyDescent="0.45">
      <c r="C43" s="4" t="s">
        <v>5</v>
      </c>
      <c r="D43" s="1"/>
      <c r="L43" s="12">
        <f>L39/K39-1</f>
        <v>0.22321031569586536</v>
      </c>
      <c r="M43" s="12">
        <f>M39/L39-1</f>
        <v>-3.1443111595783724E-2</v>
      </c>
      <c r="N43" s="12">
        <f>N39/M39-1</f>
        <v>-7.3184462375679438E-3</v>
      </c>
      <c r="O43" s="12">
        <f>O39/N39-1</f>
        <v>-5.3497164461247637E-2</v>
      </c>
    </row>
    <row r="44" spans="1:25" x14ac:dyDescent="0.45">
      <c r="C44" s="4"/>
      <c r="D44" s="1"/>
      <c r="G44" s="1"/>
    </row>
    <row r="45" spans="1:25" x14ac:dyDescent="0.45"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25" x14ac:dyDescent="0.45"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25" x14ac:dyDescent="0.45">
      <c r="A47" s="16"/>
      <c r="B47" s="16"/>
      <c r="C47" s="2"/>
      <c r="D47" s="34"/>
      <c r="E47" s="34"/>
      <c r="F47" s="34"/>
      <c r="G47" s="35"/>
      <c r="H47" s="35"/>
      <c r="I47" s="35"/>
      <c r="J47" s="35"/>
      <c r="K47" s="35"/>
      <c r="L47" s="35"/>
      <c r="M47" s="35"/>
      <c r="N47" s="35"/>
      <c r="O47" s="35"/>
    </row>
    <row r="48" spans="1:25" x14ac:dyDescent="0.45">
      <c r="C48" s="4"/>
      <c r="D48" s="5"/>
      <c r="E48" s="4"/>
      <c r="F48" s="4"/>
      <c r="G48" s="4"/>
      <c r="H48" s="7"/>
      <c r="I48" s="7"/>
      <c r="J48" s="7"/>
      <c r="K48" s="7"/>
      <c r="L48" s="7"/>
      <c r="M48" s="7"/>
      <c r="N48" s="7"/>
      <c r="O48" s="7"/>
    </row>
    <row r="49" spans="1:15" x14ac:dyDescent="0.45">
      <c r="C49" s="4"/>
      <c r="D49" s="1"/>
      <c r="K49" s="7"/>
      <c r="L49" s="7"/>
      <c r="M49" s="7"/>
      <c r="N49" s="7"/>
      <c r="O49" s="7"/>
    </row>
    <row r="50" spans="1:15" x14ac:dyDescent="0.45">
      <c r="C50" s="4"/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45">
      <c r="C51" s="4"/>
      <c r="D51" s="1"/>
      <c r="K51" s="7"/>
      <c r="L51" s="7"/>
      <c r="M51" s="7"/>
      <c r="N51" s="7"/>
      <c r="O51" s="7"/>
    </row>
    <row r="52" spans="1:15" x14ac:dyDescent="0.45">
      <c r="C52" s="4"/>
      <c r="D52" s="1"/>
      <c r="G52" s="1"/>
    </row>
    <row r="53" spans="1:15" x14ac:dyDescent="0.4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4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4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4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45">
      <c r="C57" s="4"/>
      <c r="D57" s="1"/>
      <c r="K57" s="7"/>
      <c r="L57" s="7"/>
      <c r="M57" s="7"/>
      <c r="N57" s="7"/>
      <c r="O57" s="7"/>
    </row>
    <row r="58" spans="1:15" x14ac:dyDescent="0.4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45">
      <c r="C59" s="4"/>
      <c r="D59" s="1"/>
      <c r="K59" s="7"/>
      <c r="L59" s="7"/>
      <c r="M59" s="7"/>
      <c r="N59" s="7"/>
      <c r="O59" s="7"/>
    </row>
    <row r="64" spans="1:15" x14ac:dyDescent="0.4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45">
      <c r="C65" s="4"/>
      <c r="D65" s="1"/>
      <c r="K65" s="7"/>
      <c r="L65" s="7"/>
      <c r="M65" s="7"/>
      <c r="N65" s="7"/>
      <c r="O65" s="7"/>
    </row>
    <row r="66" spans="3:15" x14ac:dyDescent="0.4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4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63279-6C00-43E3-82A8-182005BCB375}">
  <dimension ref="A1:Y67"/>
  <sheetViews>
    <sheetView topLeftCell="B11" zoomScale="85" zoomScaleNormal="85" workbookViewId="0">
      <pane xSplit="2" topLeftCell="D1" activePane="topRight" state="frozen"/>
      <selection activeCell="B1" sqref="B1"/>
      <selection pane="topRight" activeCell="B44" sqref="B44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6" width="10.1328125" bestFit="1" customWidth="1"/>
    <col min="7" max="7" width="10.59765625" bestFit="1" customWidth="1"/>
    <col min="8" max="10" width="10.1328125" bestFit="1" customWidth="1"/>
    <col min="11" max="11" width="10.59765625" bestFit="1" customWidth="1"/>
    <col min="12" max="12" width="10.1328125" bestFit="1" customWidth="1"/>
    <col min="13" max="15" width="10.265625" bestFit="1" customWidth="1"/>
    <col min="16" max="16" width="9" customWidth="1"/>
    <col min="17" max="17" width="12.3984375" bestFit="1" customWidth="1"/>
    <col min="18" max="18" width="14.3984375" bestFit="1" customWidth="1"/>
    <col min="19" max="19" width="8.59765625" bestFit="1" customWidth="1"/>
    <col min="20" max="20" width="20.265625" bestFit="1" customWidth="1"/>
    <col min="21" max="21" width="7.3984375" bestFit="1" customWidth="1"/>
    <col min="22" max="22" width="10.73046875" bestFit="1" customWidth="1"/>
    <col min="23" max="23" width="9.1328125" bestFit="1" customWidth="1"/>
    <col min="24" max="24" width="10.3984375" bestFit="1" customWidth="1"/>
    <col min="25" max="25" width="9.1328125" bestFit="1" customWidth="1"/>
  </cols>
  <sheetData>
    <row r="1" spans="1:25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45">
      <c r="A2" s="17" t="s">
        <v>1</v>
      </c>
      <c r="B2" s="31" t="s">
        <v>55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INTA US EQUITY</v>
      </c>
      <c r="R2" s="24">
        <f ca="1"/>
        <v>45747</v>
      </c>
      <c r="S2" s="25" t="str">
        <f ca="1"/>
        <v>canonical</v>
      </c>
      <c r="T2" s="26" t="str">
        <f ca="1"/>
        <v>revenue</v>
      </c>
      <c r="U2" s="27" t="str">
        <f ca="1"/>
        <v>129.067</v>
      </c>
      <c r="V2" s="28" t="str">
        <f ca="1"/>
        <v>0.166559712217211</v>
      </c>
      <c r="W2" s="29" t="str">
        <f ca="1"/>
        <v>3.37241971956947</v>
      </c>
      <c r="X2" s="28" t="str">
        <f ca="1"/>
        <v>-357.244745166843</v>
      </c>
      <c r="Y2" s="29" t="str">
        <f ca="1"/>
        <v>0.0648301693768616</v>
      </c>
    </row>
    <row r="3" spans="1:25" x14ac:dyDescent="0.45">
      <c r="A3" s="18" t="s">
        <v>3</v>
      </c>
      <c r="B3" s="19">
        <f ca="1">+B4-365*3</f>
        <v>45001</v>
      </c>
      <c r="Q3" s="24" t="str">
        <f ca="1"/>
        <v>INTA US EQUITY</v>
      </c>
      <c r="R3" s="24">
        <f ca="1"/>
        <v>45838</v>
      </c>
      <c r="S3" s="25" t="str">
        <f ca="1"/>
        <v>canonical</v>
      </c>
      <c r="T3" s="26" t="str">
        <f ca="1"/>
        <v>revenue</v>
      </c>
      <c r="U3" s="27" t="str">
        <f ca="1"/>
        <v>135.039</v>
      </c>
      <c r="V3" s="28" t="str">
        <f ca="1"/>
        <v>0.180658529761488</v>
      </c>
      <c r="W3" s="29" t="str">
        <f ca="1"/>
        <v>140.988175442771</v>
      </c>
      <c r="X3" s="29" t="str">
        <f ca="1"/>
        <v>-281.473126168925</v>
      </c>
      <c r="Y3" s="29" t="str">
        <f ca="1"/>
        <v>0.0462705416566589</v>
      </c>
    </row>
    <row r="4" spans="1:25" x14ac:dyDescent="0.45">
      <c r="A4" s="20" t="s">
        <v>2</v>
      </c>
      <c r="B4" s="21">
        <f ca="1">TODAY()</f>
        <v>46096</v>
      </c>
      <c r="Q4" s="24" t="str">
        <f ca="1"/>
        <v>INTA US EQUITY</v>
      </c>
      <c r="R4" s="24">
        <f ca="1"/>
        <v>45930</v>
      </c>
      <c r="S4" s="25" t="str">
        <f ca="1"/>
        <v>canonical</v>
      </c>
      <c r="T4" s="26" t="str">
        <f ca="1"/>
        <v>revenue</v>
      </c>
      <c r="U4" s="27" t="str">
        <f ca="1"/>
        <v>139.027</v>
      </c>
      <c r="V4" s="28" t="str">
        <f ca="1"/>
        <v>0.170211691427128</v>
      </c>
      <c r="W4" s="29" t="str">
        <f ca="1"/>
        <v>-104.468383343599</v>
      </c>
      <c r="X4" s="29" t="str">
        <f ca="1"/>
        <v>5.83337993704802</v>
      </c>
      <c r="Y4" s="29" t="str">
        <f ca="1"/>
        <v>0.0295322092136345</v>
      </c>
    </row>
    <row r="5" spans="1:25" x14ac:dyDescent="0.45">
      <c r="C5" s="13" t="s">
        <v>12</v>
      </c>
      <c r="D5" s="14">
        <f t="shared" ref="D5:O5" ca="1" si="0">EOMONTH(DATE(YEAR(D6),ROUNDUP(MONTH(D6)/3,0)*3,1),0)</f>
        <v>45016</v>
      </c>
      <c r="E5" s="14">
        <f t="shared" ca="1" si="0"/>
        <v>45107</v>
      </c>
      <c r="F5" s="14">
        <f t="shared" ca="1" si="0"/>
        <v>45199</v>
      </c>
      <c r="G5" s="14">
        <f t="shared" ca="1" si="0"/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t="shared" ca="1" si="0"/>
        <v>45747</v>
      </c>
      <c r="M5" s="14">
        <f t="shared" ca="1" si="0"/>
        <v>45838</v>
      </c>
      <c r="N5" s="14">
        <f t="shared" ca="1" si="0"/>
        <v>45930</v>
      </c>
      <c r="O5" s="14">
        <f t="shared" ca="1" si="0"/>
        <v>46022</v>
      </c>
      <c r="Q5" s="24" t="str">
        <f ca="1"/>
        <v>INTA US EQUITY</v>
      </c>
      <c r="R5" s="24">
        <f ca="1"/>
        <v>46022</v>
      </c>
      <c r="S5" s="25" t="str">
        <f ca="1"/>
        <v>canonical</v>
      </c>
      <c r="T5" s="26" t="str">
        <f ca="1"/>
        <v>revenue</v>
      </c>
      <c r="U5" s="27" t="str">
        <f ca="1"/>
        <v>140.208</v>
      </c>
      <c r="V5" s="28" t="str">
        <f ca="1"/>
        <v>0.156745786203995</v>
      </c>
      <c r="W5" s="29" t="str">
        <f ca="1"/>
        <v>-134.659052231336</v>
      </c>
      <c r="X5" s="29" t="str">
        <f ca="1"/>
        <v>-94.7668404125945</v>
      </c>
      <c r="Y5" s="29" t="str">
        <f ca="1"/>
        <v>0.0084947528177981</v>
      </c>
    </row>
    <row r="6" spans="1:25" x14ac:dyDescent="0.45">
      <c r="D6" s="15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INTA US EQUITY</v>
      </c>
      <c r="R6" s="24">
        <f ca="1"/>
        <v>45747</v>
      </c>
      <c r="S6" s="25" t="str">
        <f ca="1"/>
        <v>canonical</v>
      </c>
      <c r="T6" s="26" t="str">
        <f ca="1"/>
        <v>gross_margin_gaap</v>
      </c>
      <c r="U6" s="30" t="str">
        <f ca="1"/>
        <v>74.6945</v>
      </c>
      <c r="V6" s="29" t="str">
        <f ca="1"/>
        <v>233.48</v>
      </c>
      <c r="W6" s="29" t="str">
        <f ca="1"/>
        <v/>
      </c>
      <c r="X6" s="29" t="str">
        <f ca="1"/>
        <v/>
      </c>
      <c r="Y6" s="29" t="str">
        <f ca="1"/>
        <v>148.38</v>
      </c>
    </row>
    <row r="7" spans="1:25" x14ac:dyDescent="0.45">
      <c r="A7" s="16" t="s">
        <v>9</v>
      </c>
      <c r="B7" s="16" t="s">
        <v>8</v>
      </c>
      <c r="C7" s="9" t="s">
        <v>0</v>
      </c>
      <c r="D7" s="11">
        <f ca="1"/>
        <v>92.024000000000001</v>
      </c>
      <c r="E7" s="11">
        <f ca="1"/>
        <v>94.619</v>
      </c>
      <c r="F7" s="11">
        <f ca="1"/>
        <v>101.575</v>
      </c>
      <c r="G7" s="11">
        <f ca="1"/>
        <v>103.93300000000001</v>
      </c>
      <c r="H7" s="11">
        <f ca="1"/>
        <v>110.639</v>
      </c>
      <c r="I7" s="11">
        <f ca="1"/>
        <v>114.376</v>
      </c>
      <c r="J7" s="11">
        <f ca="1"/>
        <v>118.80500000000001</v>
      </c>
      <c r="K7" s="11">
        <f ca="1"/>
        <v>121.209</v>
      </c>
      <c r="L7" s="11">
        <f ca="1"/>
        <v>129.06700000000001</v>
      </c>
      <c r="M7" s="11">
        <f ca="1"/>
        <v>135.03899999999999</v>
      </c>
      <c r="N7" s="11">
        <f ca="1"/>
        <v>139.02699999999999</v>
      </c>
      <c r="O7" s="3">
        <f ca="1"/>
        <v>140.208</v>
      </c>
      <c r="P7" s="1"/>
      <c r="Q7" s="24" t="str">
        <f ca="1"/>
        <v>INTA US EQUITY</v>
      </c>
      <c r="R7" s="24">
        <f ca="1"/>
        <v>45838</v>
      </c>
      <c r="S7" s="25" t="str">
        <f ca="1"/>
        <v>canonical</v>
      </c>
      <c r="T7" s="26" t="str">
        <f ca="1"/>
        <v>gross_margin_gaap</v>
      </c>
      <c r="U7" s="30" t="str">
        <f ca="1"/>
        <v>74.7614</v>
      </c>
      <c r="V7" s="29" t="str">
        <f ca="1"/>
        <v>163.589999999999</v>
      </c>
      <c r="W7" s="29" t="str">
        <f ca="1"/>
        <v/>
      </c>
      <c r="X7" s="29" t="str">
        <f ca="1"/>
        <v/>
      </c>
      <c r="Y7" s="29" t="str">
        <f ca="1"/>
        <v>6.68999999999897</v>
      </c>
    </row>
    <row r="8" spans="1:25" x14ac:dyDescent="0.45">
      <c r="C8" s="4" t="s">
        <v>4</v>
      </c>
      <c r="D8" s="5"/>
      <c r="E8" s="4"/>
      <c r="F8" s="4"/>
      <c r="G8" s="12"/>
      <c r="H8" s="12">
        <f t="shared" ref="H8:O8" ca="1" si="1">+H7/D7-1</f>
        <v>0.20228418673389537</v>
      </c>
      <c r="I8" s="12">
        <f t="shared" ca="1" si="1"/>
        <v>0.20880584237838073</v>
      </c>
      <c r="J8" s="12">
        <f t="shared" ca="1" si="1"/>
        <v>0.16962835343342353</v>
      </c>
      <c r="K8" s="12">
        <f t="shared" ca="1" si="1"/>
        <v>0.16622247024525416</v>
      </c>
      <c r="L8" s="12">
        <f t="shared" ca="1" si="1"/>
        <v>0.16655971221721111</v>
      </c>
      <c r="M8" s="12">
        <f t="shared" ca="1" si="1"/>
        <v>0.18065852976148822</v>
      </c>
      <c r="N8" s="12">
        <f t="shared" ca="1" si="1"/>
        <v>0.17021169142712833</v>
      </c>
      <c r="O8" s="12">
        <f t="shared" ca="1" si="1"/>
        <v>0.15674578620399471</v>
      </c>
      <c r="P8" s="3"/>
      <c r="Q8" s="24" t="str">
        <f ca="1"/>
        <v>INTA US EQUITY</v>
      </c>
      <c r="R8" s="24">
        <f ca="1"/>
        <v>45930</v>
      </c>
      <c r="S8" s="25" t="str">
        <f ca="1"/>
        <v>canonical</v>
      </c>
      <c r="T8" s="26" t="str">
        <f ca="1"/>
        <v>gross_margin_gaap</v>
      </c>
      <c r="U8" s="30" t="str">
        <f ca="1"/>
        <v>74.6841</v>
      </c>
      <c r="V8" s="29" t="str">
        <f ca="1"/>
        <v>156.34</v>
      </c>
      <c r="W8" s="29" t="str">
        <f ca="1"/>
        <v/>
      </c>
      <c r="X8" s="29" t="str">
        <f ca="1"/>
        <v/>
      </c>
      <c r="Y8" s="29" t="str">
        <f ca="1"/>
        <v>-7.72999999999939</v>
      </c>
    </row>
    <row r="9" spans="1:25" x14ac:dyDescent="0.45">
      <c r="C9" s="4" t="s">
        <v>19</v>
      </c>
      <c r="D9" s="1"/>
      <c r="L9" s="7">
        <f ca="1">(L8-K8)*10000</f>
        <v>3.3724197195694749</v>
      </c>
      <c r="M9" s="7">
        <f ca="1">(M8-L8)*10000</f>
        <v>140.98817544277108</v>
      </c>
      <c r="N9" s="7">
        <f ca="1">(N8-M8)*10000</f>
        <v>-104.46838334359887</v>
      </c>
      <c r="O9" s="7">
        <f ca="1">(O8-N8)*10000</f>
        <v>-134.65905223133623</v>
      </c>
      <c r="Q9" s="22" t="str">
        <f ca="1"/>
        <v>INTA US EQUITY</v>
      </c>
      <c r="R9" s="24">
        <f ca="1"/>
        <v>46022</v>
      </c>
      <c r="S9" s="25" t="str">
        <f ca="1"/>
        <v>canonical</v>
      </c>
      <c r="T9" s="26" t="str">
        <f ca="1"/>
        <v>gross_margin_gaap</v>
      </c>
      <c r="U9" s="30" t="str">
        <f ca="1"/>
        <v>74.9872</v>
      </c>
      <c r="V9" s="29" t="str">
        <f ca="1"/>
        <v>177.65</v>
      </c>
      <c r="W9" s="29" t="str">
        <f ca="1"/>
        <v/>
      </c>
      <c r="X9" s="29" t="str">
        <f ca="1"/>
        <v/>
      </c>
      <c r="Y9" s="29" t="str">
        <f ca="1"/>
        <v>30.3100000000001</v>
      </c>
    </row>
    <row r="10" spans="1:25" x14ac:dyDescent="0.4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-357.24474516684256</v>
      </c>
      <c r="M10" s="7">
        <f ca="1">(M8-I8)*10000</f>
        <v>-281.47312616892515</v>
      </c>
      <c r="N10" s="7">
        <f ca="1">(N8-J8)*10000</f>
        <v>5.8333799370480222</v>
      </c>
      <c r="O10" s="7">
        <f ca="1">(O8-K8)*10000</f>
        <v>-94.766840412594533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INTA US EQUITY</v>
      </c>
      <c r="R10" s="24">
        <f ca="1"/>
        <v>45747</v>
      </c>
      <c r="S10" s="25" t="str">
        <f ca="1"/>
        <v>canonical</v>
      </c>
      <c r="T10" s="26" t="str">
        <f ca="1"/>
        <v>operating_margin_gaap</v>
      </c>
      <c r="U10" s="30" t="str">
        <f ca="1"/>
        <v>-4.4179</v>
      </c>
      <c r="V10" s="29" t="str">
        <f ca="1"/>
        <v>231.21</v>
      </c>
      <c r="W10" s="29" t="str">
        <f ca="1"/>
        <v/>
      </c>
      <c r="X10" s="29" t="str">
        <f ca="1"/>
        <v/>
      </c>
      <c r="Y10" s="29" t="str">
        <f ca="1"/>
        <v>398.58</v>
      </c>
    </row>
    <row r="11" spans="1:25" x14ac:dyDescent="0.45">
      <c r="C11" s="4" t="s">
        <v>5</v>
      </c>
      <c r="D11" s="1"/>
      <c r="L11" s="12">
        <f ca="1">L7/K7-1</f>
        <v>6.4830169376861591E-2</v>
      </c>
      <c r="M11" s="12">
        <f ca="1">M7/L7-1</f>
        <v>4.6270541656658892E-2</v>
      </c>
      <c r="N11" s="12">
        <f ca="1">N7/M7-1</f>
        <v>2.953220921363453E-2</v>
      </c>
      <c r="O11" s="12">
        <f ca="1">O7/N7-1</f>
        <v>8.4947528177981013E-3</v>
      </c>
      <c r="Q11" s="24" t="str">
        <f ca="1"/>
        <v>INTA US EQUITY</v>
      </c>
      <c r="R11" s="24">
        <f ca="1"/>
        <v>45838</v>
      </c>
      <c r="S11" s="25" t="str">
        <f ca="1"/>
        <v>canonical</v>
      </c>
      <c r="T11" s="26" t="str">
        <f ca="1"/>
        <v>operating_margin_gaap</v>
      </c>
      <c r="U11" s="30" t="str">
        <f ca="1"/>
        <v>-3.1213</v>
      </c>
      <c r="V11" s="29" t="str">
        <f ca="1"/>
        <v>-338.53</v>
      </c>
      <c r="W11" s="29" t="str">
        <f ca="1"/>
        <v/>
      </c>
      <c r="X11" s="29" t="str">
        <f ca="1"/>
        <v/>
      </c>
      <c r="Y11" s="29" t="str">
        <f ca="1"/>
        <v>129.66</v>
      </c>
    </row>
    <row r="12" spans="1:25" x14ac:dyDescent="0.45">
      <c r="Q12" s="24" t="str">
        <f ca="1"/>
        <v>INTA US EQUITY</v>
      </c>
      <c r="R12" s="24">
        <f ca="1"/>
        <v>45930</v>
      </c>
      <c r="S12" s="25" t="str">
        <f ca="1"/>
        <v>canonical</v>
      </c>
      <c r="T12" s="26" t="str">
        <f ca="1"/>
        <v>operating_margin_gaap</v>
      </c>
      <c r="U12" s="30" t="str">
        <f ca="1"/>
        <v>-10.3973</v>
      </c>
      <c r="V12" s="29" t="str">
        <f ca="1"/>
        <v>-429.15</v>
      </c>
      <c r="W12" s="29" t="str">
        <f ca="1"/>
        <v/>
      </c>
      <c r="X12" s="29" t="str">
        <f ca="1"/>
        <v/>
      </c>
      <c r="Y12" s="29" t="str">
        <f ca="1"/>
        <v>-727.6</v>
      </c>
    </row>
    <row r="13" spans="1:25" x14ac:dyDescent="0.45">
      <c r="C13" s="13" t="s">
        <v>12</v>
      </c>
      <c r="D13" s="14">
        <f t="shared" ref="D13:O13" ca="1" si="2">EOMONTH(DATE(YEAR(D14),ROUNDUP(MONTH(D14)/3,0)*3,1),0)</f>
        <v>45016</v>
      </c>
      <c r="E13" s="14">
        <f t="shared" ca="1" si="2"/>
        <v>45107</v>
      </c>
      <c r="F13" s="14">
        <f t="shared" ca="1" si="2"/>
        <v>45199</v>
      </c>
      <c r="G13" s="14">
        <f t="shared" ca="1" si="2"/>
        <v>45291</v>
      </c>
      <c r="H13" s="14">
        <f t="shared" ca="1" si="2"/>
        <v>45382</v>
      </c>
      <c r="I13" s="14">
        <f t="shared" ca="1" si="2"/>
        <v>45473</v>
      </c>
      <c r="J13" s="14">
        <f t="shared" ca="1" si="2"/>
        <v>45565</v>
      </c>
      <c r="K13" s="14">
        <f t="shared" ca="1" si="2"/>
        <v>45657</v>
      </c>
      <c r="L13" s="14">
        <f t="shared" ca="1" si="2"/>
        <v>45747</v>
      </c>
      <c r="M13" s="14">
        <f t="shared" ca="1" si="2"/>
        <v>45838</v>
      </c>
      <c r="N13" s="14">
        <f t="shared" ca="1" si="2"/>
        <v>45930</v>
      </c>
      <c r="O13" s="14">
        <f t="shared" ca="1" si="2"/>
        <v>46022</v>
      </c>
      <c r="Q13" s="24" t="str">
        <f ca="1"/>
        <v>INTA US EQUITY</v>
      </c>
      <c r="R13" s="24">
        <f ca="1"/>
        <v>46022</v>
      </c>
      <c r="S13" s="25" t="str">
        <f ca="1"/>
        <v>canonical</v>
      </c>
      <c r="T13" s="26" t="str">
        <f ca="1"/>
        <v>operating_margin_gaap</v>
      </c>
      <c r="U13" s="30" t="str">
        <f ca="1"/>
        <v>-5.1188</v>
      </c>
      <c r="V13" s="29" t="str">
        <f ca="1"/>
        <v>328.49</v>
      </c>
      <c r="W13" s="29" t="str">
        <f ca="1"/>
        <v/>
      </c>
      <c r="X13" s="29" t="str">
        <f ca="1"/>
        <v/>
      </c>
      <c r="Y13" s="29" t="str">
        <f ca="1"/>
        <v>527.85</v>
      </c>
    </row>
    <row r="14" spans="1:25" x14ac:dyDescent="0.4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INTA US EQUITY</v>
      </c>
      <c r="R14" s="24">
        <v>45747</v>
      </c>
      <c r="S14" s="25" t="str">
        <v>custom</v>
      </c>
      <c r="T14" s="26" t="str">
        <v>saas_revenue</v>
      </c>
      <c r="U14" s="30" t="str">
        <v>84.9</v>
      </c>
      <c r="V14" s="29" t="str">
        <v/>
      </c>
      <c r="W14" s="29" t="str">
        <v/>
      </c>
      <c r="X14" s="29" t="str">
        <v/>
      </c>
      <c r="Y14" s="29" t="str">
        <v>0.06125</v>
      </c>
    </row>
    <row r="15" spans="1:25" x14ac:dyDescent="0.45">
      <c r="A15" s="16" t="s">
        <v>9</v>
      </c>
      <c r="B15" s="16" t="s">
        <v>14</v>
      </c>
      <c r="C15" s="9" t="s">
        <v>6</v>
      </c>
      <c r="D15" s="3">
        <f ca="1"/>
        <v>69.040700000000001</v>
      </c>
      <c r="E15" s="3">
        <f ca="1"/>
        <v>67.392399999999995</v>
      </c>
      <c r="F15" s="3">
        <f ca="1"/>
        <v>68.916600000000003</v>
      </c>
      <c r="G15" s="3">
        <f ca="1"/>
        <v>70.395399999999995</v>
      </c>
      <c r="H15" s="3">
        <f ca="1"/>
        <v>72.359700000000004</v>
      </c>
      <c r="I15" s="3">
        <f ca="1"/>
        <v>73.125500000000002</v>
      </c>
      <c r="J15" s="3">
        <f ca="1"/>
        <v>73.120699999999999</v>
      </c>
      <c r="K15" s="3">
        <f ca="1"/>
        <v>73.210700000000003</v>
      </c>
      <c r="L15" s="3">
        <f ca="1"/>
        <v>74.694500000000005</v>
      </c>
      <c r="M15" s="3">
        <f ca="1"/>
        <v>74.761399999999995</v>
      </c>
      <c r="N15" s="3">
        <f ca="1"/>
        <v>74.684100000000001</v>
      </c>
      <c r="O15">
        <f ca="1"/>
        <v>74.987200000000001</v>
      </c>
      <c r="Q15" s="24" t="str">
        <v>INTA US EQUITY</v>
      </c>
      <c r="R15" s="24">
        <v>45838</v>
      </c>
      <c r="S15" s="25" t="str">
        <v>custom</v>
      </c>
      <c r="T15" s="26" t="str">
        <v>saas_revenue</v>
      </c>
      <c r="U15" s="30" t="str">
        <v>90.2</v>
      </c>
      <c r="V15" s="29" t="str">
        <v/>
      </c>
      <c r="W15" s="29" t="str">
        <v/>
      </c>
      <c r="X15" s="29" t="str">
        <v/>
      </c>
      <c r="Y15" s="29" t="str">
        <v>0.0624263839811543</v>
      </c>
    </row>
    <row r="16" spans="1:25" x14ac:dyDescent="0.45">
      <c r="C16" s="4" t="s">
        <v>4</v>
      </c>
      <c r="D16" s="5"/>
      <c r="E16" s="4"/>
      <c r="F16" s="4"/>
      <c r="G16" s="4"/>
      <c r="H16" s="7">
        <f t="shared" ref="H16:O16" ca="1" si="3">(H15-D15)*100</f>
        <v>331.90000000000026</v>
      </c>
      <c r="I16" s="7">
        <f t="shared" ca="1" si="3"/>
        <v>573.31000000000074</v>
      </c>
      <c r="J16" s="7">
        <f t="shared" ca="1" si="3"/>
        <v>420.40999999999968</v>
      </c>
      <c r="K16" s="7">
        <f t="shared" ca="1" si="3"/>
        <v>281.53000000000077</v>
      </c>
      <c r="L16" s="7">
        <f t="shared" ca="1" si="3"/>
        <v>233.48000000000013</v>
      </c>
      <c r="M16" s="7">
        <f t="shared" ca="1" si="3"/>
        <v>163.58999999999924</v>
      </c>
      <c r="N16" s="7">
        <f t="shared" ca="1" si="3"/>
        <v>156.34000000000015</v>
      </c>
      <c r="O16" s="7">
        <f t="shared" ca="1" si="3"/>
        <v>177.64999999999986</v>
      </c>
      <c r="Q16" s="24" t="str">
        <v>INTA US EQUITY</v>
      </c>
      <c r="R16" s="24">
        <v>45930</v>
      </c>
      <c r="S16" s="25" t="str">
        <v>custom</v>
      </c>
      <c r="T16" s="26" t="str">
        <v>saas_revenue</v>
      </c>
      <c r="U16" s="30" t="str">
        <v>97.5</v>
      </c>
      <c r="V16" s="29" t="str">
        <v>0.267880364109233</v>
      </c>
      <c r="W16" s="29" t="str">
        <v/>
      </c>
      <c r="X16" s="29" t="str">
        <v/>
      </c>
      <c r="Y16" s="29" t="str">
        <v>0.080931263858093</v>
      </c>
    </row>
    <row r="17" spans="1:25" x14ac:dyDescent="0.45">
      <c r="C17" s="4" t="s">
        <v>19</v>
      </c>
      <c r="D17" s="1"/>
      <c r="K17" s="7"/>
      <c r="L17" s="7"/>
      <c r="M17" s="7"/>
      <c r="N17" s="7"/>
      <c r="O17" s="7"/>
      <c r="Q17" s="24" t="str">
        <v>INTA US EQUITY</v>
      </c>
      <c r="R17" s="24">
        <v>46022</v>
      </c>
      <c r="S17" s="25" t="str">
        <v>custom</v>
      </c>
      <c r="T17" s="26" t="str">
        <v>saas_revenue</v>
      </c>
      <c r="U17" s="30" t="str">
        <v>102.5</v>
      </c>
      <c r="V17" s="29" t="str">
        <v>0.28125</v>
      </c>
      <c r="W17" s="29" t="str">
        <v>133.696358907673</v>
      </c>
      <c r="X17" s="29" t="str">
        <v/>
      </c>
      <c r="Y17" s="29" t="str">
        <v>0.0512820512820513</v>
      </c>
    </row>
    <row r="18" spans="1:25" x14ac:dyDescent="0.4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INTA US EQUITY</v>
      </c>
      <c r="R18" s="24">
        <v>45747</v>
      </c>
      <c r="S18" s="25" t="str">
        <v>custom</v>
      </c>
      <c r="T18" s="26" t="str">
        <v>arr</v>
      </c>
      <c r="U18" s="30" t="str">
        <v>454.7</v>
      </c>
      <c r="V18" s="29" t="str">
        <v>0.188136921870917</v>
      </c>
      <c r="W18" s="29" t="str">
        <v>-93.9732470442522</v>
      </c>
      <c r="X18" s="29" t="str">
        <v>-244.7397800234</v>
      </c>
      <c r="Y18" s="29" t="str">
        <v>0.0402653854953099</v>
      </c>
    </row>
    <row r="19" spans="1:25" x14ac:dyDescent="0.45">
      <c r="C19" s="4" t="s">
        <v>5</v>
      </c>
      <c r="D19" s="1"/>
      <c r="K19" s="7"/>
      <c r="L19" s="7">
        <f ca="1">(L15-K15)*100</f>
        <v>148.38000000000022</v>
      </c>
      <c r="M19" s="7">
        <f ca="1">(M15-L15)*100</f>
        <v>6.6899999999989745</v>
      </c>
      <c r="N19" s="7">
        <f ca="1">(N15-M15)*100</f>
        <v>-7.7299999999993929</v>
      </c>
      <c r="O19" s="7">
        <f ca="1">(O15-N15)*100</f>
        <v>30.310000000000059</v>
      </c>
      <c r="Q19" s="24" t="str">
        <v>INTA US EQUITY</v>
      </c>
      <c r="R19" s="24">
        <v>45838</v>
      </c>
      <c r="S19" s="25" t="str">
        <v>custom</v>
      </c>
      <c r="T19" s="26" t="str">
        <v>arr</v>
      </c>
      <c r="U19" s="30" t="str">
        <v>383.1</v>
      </c>
      <c r="V19" s="29" t="str">
        <v>-0.0522018802572983</v>
      </c>
      <c r="W19" s="29" t="str">
        <v>-2403.38802128216</v>
      </c>
      <c r="X19" s="29" t="str">
        <v>-2763.08482316656</v>
      </c>
      <c r="Y19" s="29" t="str">
        <v>-0.157466461403123</v>
      </c>
    </row>
    <row r="20" spans="1:25" x14ac:dyDescent="0.45">
      <c r="Q20" s="24" t="str">
        <v>INTA US EQUITY</v>
      </c>
      <c r="R20" s="24">
        <v>45930</v>
      </c>
      <c r="S20" s="25" t="str">
        <v>custom</v>
      </c>
      <c r="T20" s="26" t="str">
        <v>arr</v>
      </c>
      <c r="U20" s="30" t="str">
        <v>504.1</v>
      </c>
      <c r="V20" s="29" t="str">
        <v>0.208293384467881</v>
      </c>
      <c r="W20" s="29" t="str">
        <v>2604.95264725179</v>
      </c>
      <c r="X20" s="29" t="str">
        <v>166.338586181241</v>
      </c>
      <c r="Y20" s="29" t="str">
        <v>0.315844427042548</v>
      </c>
    </row>
    <row r="21" spans="1:25" x14ac:dyDescent="0.45">
      <c r="C21" s="13" t="s">
        <v>12</v>
      </c>
      <c r="D21" s="14">
        <f t="shared" ref="D21:O21" ca="1" si="4">EOMONTH(DATE(YEAR(D22),ROUNDUP(MONTH(D22)/3,0)*3,1),0)</f>
        <v>45016</v>
      </c>
      <c r="E21" s="14">
        <f t="shared" ca="1" si="4"/>
        <v>45107</v>
      </c>
      <c r="F21" s="14">
        <f t="shared" ca="1" si="4"/>
        <v>45199</v>
      </c>
      <c r="G21" s="14">
        <f t="shared" ca="1" si="4"/>
        <v>45291</v>
      </c>
      <c r="H21" s="14">
        <f t="shared" ca="1" si="4"/>
        <v>45382</v>
      </c>
      <c r="I21" s="14">
        <f t="shared" ca="1" si="4"/>
        <v>45473</v>
      </c>
      <c r="J21" s="14">
        <f t="shared" ca="1" si="4"/>
        <v>45565</v>
      </c>
      <c r="K21" s="14">
        <f t="shared" ca="1" si="4"/>
        <v>45657</v>
      </c>
      <c r="L21" s="14">
        <f t="shared" ca="1" si="4"/>
        <v>45747</v>
      </c>
      <c r="M21" s="14">
        <f t="shared" ca="1" si="4"/>
        <v>45838</v>
      </c>
      <c r="N21" s="14">
        <f t="shared" ca="1" si="4"/>
        <v>45930</v>
      </c>
      <c r="O21" s="14">
        <f t="shared" ca="1" si="4"/>
        <v>46022</v>
      </c>
      <c r="Q21" s="24" t="str">
        <v>INTA US EQUITY</v>
      </c>
      <c r="R21" s="24">
        <v>46022</v>
      </c>
      <c r="S21" s="25" t="str">
        <v>custom</v>
      </c>
      <c r="T21" s="26" t="str">
        <v>arr</v>
      </c>
      <c r="U21" s="30" t="str">
        <v>535</v>
      </c>
      <c r="V21" s="29" t="str">
        <v>0.223976206817662</v>
      </c>
      <c r="W21" s="29" t="str">
        <v>156.828223497807</v>
      </c>
      <c r="X21" s="29" t="str">
        <v>264.419602423194</v>
      </c>
      <c r="Y21" s="29" t="str">
        <v>0.0612973616345962</v>
      </c>
    </row>
    <row r="22" spans="1:25" x14ac:dyDescent="0.45">
      <c r="D22" s="1" cm="1">
        <f t="array" aca="1" ref="D22:O23" ca="1">+_xll.BDH($B$2,C23,$B$3,$B$4,"DIR=H")</f>
        <v>45016</v>
      </c>
      <c r="E22" s="1">
        <f ca="1"/>
        <v>45107</v>
      </c>
      <c r="F22" s="1">
        <f ca="1"/>
        <v>45199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45565</v>
      </c>
      <c r="K22" s="1">
        <f ca="1"/>
        <v>45657</v>
      </c>
      <c r="L22" s="1">
        <f ca="1"/>
        <v>45747</v>
      </c>
      <c r="M22" s="1">
        <f ca="1"/>
        <v>45838</v>
      </c>
      <c r="N22" s="1">
        <f ca="1"/>
        <v>45930</v>
      </c>
      <c r="O22" s="1">
        <f ca="1"/>
        <v>46022</v>
      </c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INTA US EQUITY</v>
      </c>
      <c r="R22" s="24">
        <v>0</v>
      </c>
      <c r="S22" s="25">
        <v>0</v>
      </c>
      <c r="T22" s="26">
        <v>0</v>
      </c>
      <c r="U22" s="27" t="str">
        <v/>
      </c>
      <c r="V22" s="28" t="str">
        <v/>
      </c>
      <c r="W22" s="29" t="str">
        <v/>
      </c>
      <c r="X22" s="28" t="str">
        <v/>
      </c>
      <c r="Y22" s="29" t="str">
        <v/>
      </c>
    </row>
    <row r="23" spans="1:25" x14ac:dyDescent="0.45">
      <c r="A23" s="16" t="s">
        <v>9</v>
      </c>
      <c r="B23" s="16" t="s">
        <v>15</v>
      </c>
      <c r="C23" s="9" t="s">
        <v>7</v>
      </c>
      <c r="D23" s="3">
        <f ca="1"/>
        <v>-19.8263</v>
      </c>
      <c r="E23" s="3">
        <f ca="1"/>
        <v>-13.1496</v>
      </c>
      <c r="F23" s="3">
        <f ca="1"/>
        <v>-13.7485</v>
      </c>
      <c r="G23" s="3">
        <f ca="1"/>
        <v>-10.662599999999999</v>
      </c>
      <c r="H23" s="3">
        <f ca="1"/>
        <v>-6.73</v>
      </c>
      <c r="I23" s="3">
        <f ca="1"/>
        <v>0.26400000000000001</v>
      </c>
      <c r="J23" s="3">
        <f ca="1"/>
        <v>-6.1058000000000003</v>
      </c>
      <c r="K23" s="3">
        <f ca="1"/>
        <v>-8.4037000000000006</v>
      </c>
      <c r="L23" s="3">
        <f ca="1"/>
        <v>-4.4179000000000004</v>
      </c>
      <c r="M23" s="3">
        <f ca="1"/>
        <v>-3.1213000000000002</v>
      </c>
      <c r="N23" s="3">
        <f ca="1"/>
        <v>-10.3973</v>
      </c>
      <c r="O23">
        <f ca="1"/>
        <v>-5.1188000000000002</v>
      </c>
      <c r="Q23" s="24" t="str">
        <v>INTA US EQUITY</v>
      </c>
      <c r="R23" s="24">
        <v>0</v>
      </c>
      <c r="S23" s="25">
        <v>0</v>
      </c>
      <c r="T23" s="26">
        <v>0</v>
      </c>
      <c r="U23" s="27" t="str">
        <v/>
      </c>
      <c r="V23" s="28" t="str">
        <v/>
      </c>
      <c r="W23" s="29" t="str">
        <v/>
      </c>
      <c r="X23" s="28" t="str">
        <v/>
      </c>
      <c r="Y23" s="29" t="str">
        <v/>
      </c>
    </row>
    <row r="24" spans="1:25" x14ac:dyDescent="0.45">
      <c r="C24" s="4" t="s">
        <v>4</v>
      </c>
      <c r="D24" s="5"/>
      <c r="E24" s="4"/>
      <c r="F24" s="4"/>
      <c r="G24" s="4"/>
      <c r="H24" s="7">
        <f t="shared" ref="H24:O24" ca="1" si="5">(H23-D23)*100</f>
        <v>1309.6299999999999</v>
      </c>
      <c r="I24" s="7">
        <f t="shared" ca="1" si="5"/>
        <v>1341.36</v>
      </c>
      <c r="J24" s="7">
        <f t="shared" ca="1" si="5"/>
        <v>764.27</v>
      </c>
      <c r="K24" s="7">
        <f t="shared" ca="1" si="5"/>
        <v>225.88999999999987</v>
      </c>
      <c r="L24" s="7">
        <f t="shared" ca="1" si="5"/>
        <v>231.21</v>
      </c>
      <c r="M24" s="7">
        <f t="shared" ca="1" si="5"/>
        <v>-338.53</v>
      </c>
      <c r="N24" s="7">
        <f t="shared" ca="1" si="5"/>
        <v>-429.14999999999992</v>
      </c>
      <c r="O24" s="7">
        <f t="shared" ca="1" si="5"/>
        <v>328.49</v>
      </c>
      <c r="Q24" s="24" t="str">
        <v>INTA US EQUITY</v>
      </c>
      <c r="R24" s="24">
        <v>0</v>
      </c>
      <c r="S24" s="25">
        <v>0</v>
      </c>
      <c r="T24" s="26">
        <v>0</v>
      </c>
      <c r="U24" s="27" t="str">
        <v/>
      </c>
      <c r="V24" s="28" t="str">
        <v/>
      </c>
      <c r="W24" s="29" t="str">
        <v/>
      </c>
      <c r="X24" s="28" t="str">
        <v/>
      </c>
      <c r="Y24" s="29" t="str">
        <v/>
      </c>
    </row>
    <row r="25" spans="1:25" x14ac:dyDescent="0.45">
      <c r="C25" s="4" t="s">
        <v>19</v>
      </c>
      <c r="D25" s="1"/>
      <c r="K25" s="7"/>
      <c r="L25" s="7"/>
      <c r="M25" s="7"/>
      <c r="N25" s="7"/>
      <c r="O25" s="7"/>
      <c r="Q25" s="24" t="str">
        <v>INTA US EQUITY</v>
      </c>
      <c r="R25" s="24">
        <v>0</v>
      </c>
      <c r="S25" s="25">
        <v>0</v>
      </c>
      <c r="T25" s="26">
        <v>0</v>
      </c>
      <c r="U25" s="27" t="str">
        <v/>
      </c>
      <c r="V25" s="28" t="str">
        <v/>
      </c>
      <c r="W25" s="29" t="str">
        <v/>
      </c>
      <c r="X25" s="28" t="str">
        <v/>
      </c>
      <c r="Y25" s="29" t="str">
        <v/>
      </c>
    </row>
    <row r="26" spans="1:25" x14ac:dyDescent="0.4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INTA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45">
      <c r="C27" s="4" t="s">
        <v>5</v>
      </c>
      <c r="D27" s="1"/>
      <c r="K27" s="7"/>
      <c r="L27" s="7">
        <f ca="1">(L23-K23)*100</f>
        <v>398.58000000000004</v>
      </c>
      <c r="M27" s="7">
        <f ca="1">(M23-L23)*100</f>
        <v>129.66000000000003</v>
      </c>
      <c r="N27" s="7">
        <f ca="1">(N23-M23)*100</f>
        <v>-727.6</v>
      </c>
      <c r="O27" s="7">
        <f ca="1">(O23-N23)*100</f>
        <v>527.84999999999991</v>
      </c>
      <c r="Q27" s="24" t="str">
        <v>INTA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45">
      <c r="C28" s="4"/>
      <c r="D28" s="1"/>
      <c r="K28" s="7"/>
      <c r="L28" s="7"/>
      <c r="M28" s="7"/>
      <c r="N28" s="7"/>
      <c r="O28" s="7"/>
      <c r="Q28" s="24" t="str">
        <v>INTA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45">
      <c r="C29" s="13"/>
      <c r="D29" s="14">
        <f t="shared" ref="D29:L29" si="6">EOMONTH(DATE(YEAR(D30),ROUNDUP(MONTH(D30)/3,0)*3,1),0)</f>
        <v>45016</v>
      </c>
      <c r="E29" s="14">
        <f t="shared" si="6"/>
        <v>45107</v>
      </c>
      <c r="F29" s="14">
        <f t="shared" si="6"/>
        <v>45199</v>
      </c>
      <c r="G29" s="14">
        <f t="shared" si="6"/>
        <v>45291</v>
      </c>
      <c r="H29" s="14">
        <f t="shared" si="6"/>
        <v>45382</v>
      </c>
      <c r="I29" s="14">
        <f t="shared" si="6"/>
        <v>45473</v>
      </c>
      <c r="J29" s="14">
        <f t="shared" si="6"/>
        <v>45565</v>
      </c>
      <c r="K29" s="14">
        <f t="shared" si="6"/>
        <v>45657</v>
      </c>
      <c r="L29" s="14">
        <f t="shared" si="6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INTA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45">
      <c r="D30" s="2">
        <v>45016</v>
      </c>
      <c r="E30" s="2">
        <v>45107</v>
      </c>
      <c r="F30" s="2">
        <v>45199</v>
      </c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INTA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45">
      <c r="A31" s="16" t="s">
        <v>21</v>
      </c>
      <c r="B31" s="16" t="s">
        <v>56</v>
      </c>
      <c r="C31" s="2" t="s">
        <v>57</v>
      </c>
      <c r="D31" s="32"/>
      <c r="E31" s="32"/>
      <c r="F31" s="32"/>
      <c r="G31" s="32"/>
      <c r="H31" s="32"/>
      <c r="I31" s="32"/>
      <c r="J31" s="32">
        <v>76.900000000000006</v>
      </c>
      <c r="K31" s="32">
        <v>80</v>
      </c>
      <c r="L31" s="32">
        <v>84.9</v>
      </c>
      <c r="M31" s="32">
        <v>90.2</v>
      </c>
      <c r="N31" s="32">
        <v>97.5</v>
      </c>
      <c r="O31" s="32">
        <v>102.5</v>
      </c>
      <c r="Q31" s="24" t="str">
        <v>INTA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45">
      <c r="C32" s="4" t="s">
        <v>4</v>
      </c>
      <c r="D32" s="5"/>
      <c r="E32" s="4"/>
      <c r="F32" s="4"/>
      <c r="G32" s="12"/>
      <c r="H32" s="12"/>
      <c r="I32" s="12"/>
      <c r="J32" s="12"/>
      <c r="K32" s="12"/>
      <c r="L32" s="12"/>
      <c r="M32" s="12"/>
      <c r="N32" s="12">
        <f t="shared" ref="N32:O32" si="7">+N31/J31-1</f>
        <v>0.26788036410923266</v>
      </c>
      <c r="O32" s="12">
        <f t="shared" si="7"/>
        <v>0.28125</v>
      </c>
      <c r="Q32" s="24" t="str">
        <v>INTA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45">
      <c r="C33" s="4" t="s">
        <v>19</v>
      </c>
      <c r="D33" s="1"/>
      <c r="L33" s="7"/>
      <c r="M33" s="7"/>
      <c r="N33" s="7"/>
      <c r="O33" s="7">
        <f>(O32-N32)*10000</f>
        <v>133.69635890767339</v>
      </c>
      <c r="Q33" s="24" t="str">
        <v>INTA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45">
      <c r="C34" s="4" t="s">
        <v>23</v>
      </c>
      <c r="D34" s="1"/>
      <c r="E34" s="6"/>
      <c r="F34" s="6"/>
      <c r="G34" s="6"/>
      <c r="H34" s="6"/>
      <c r="I34" s="6"/>
      <c r="J34" s="6"/>
      <c r="K34" s="6"/>
      <c r="L34" s="7"/>
      <c r="M34" s="7"/>
      <c r="N34" s="7"/>
      <c r="O34" s="7"/>
    </row>
    <row r="35" spans="1:25" x14ac:dyDescent="0.45">
      <c r="C35" s="4" t="s">
        <v>5</v>
      </c>
      <c r="D35" s="1"/>
      <c r="K35" s="12">
        <f>K31/J31-1</f>
        <v>4.0312093628088297E-2</v>
      </c>
      <c r="L35" s="12">
        <f>L31/K31-1</f>
        <v>6.1250000000000027E-2</v>
      </c>
      <c r="M35" s="12">
        <f>M31/L31-1</f>
        <v>6.2426383981154299E-2</v>
      </c>
      <c r="N35" s="12">
        <f>N31/M31-1</f>
        <v>8.0931263858093017E-2</v>
      </c>
      <c r="O35" s="12">
        <f>O31/N31-1</f>
        <v>5.1282051282051322E-2</v>
      </c>
    </row>
    <row r="36" spans="1:25" x14ac:dyDescent="0.45">
      <c r="C36" s="4"/>
      <c r="D36" s="1"/>
      <c r="L36" s="7"/>
      <c r="M36" s="7"/>
      <c r="N36" s="7"/>
      <c r="O36" s="7"/>
    </row>
    <row r="37" spans="1:25" x14ac:dyDescent="0.45">
      <c r="C37" s="13"/>
      <c r="D37" s="14">
        <f t="shared" ref="D37:L37" si="8">EOMONTH(DATE(YEAR(D38),ROUNDUP(MONTH(D38)/3,0)*3,1),0)</f>
        <v>45016</v>
      </c>
      <c r="E37" s="14">
        <f t="shared" si="8"/>
        <v>45107</v>
      </c>
      <c r="F37" s="14">
        <f t="shared" si="8"/>
        <v>45199</v>
      </c>
      <c r="G37" s="14">
        <f t="shared" si="8"/>
        <v>45291</v>
      </c>
      <c r="H37" s="14">
        <f t="shared" si="8"/>
        <v>45382</v>
      </c>
      <c r="I37" s="14">
        <f t="shared" si="8"/>
        <v>45473</v>
      </c>
      <c r="J37" s="14">
        <f t="shared" si="8"/>
        <v>45565</v>
      </c>
      <c r="K37" s="14">
        <f t="shared" si="8"/>
        <v>45657</v>
      </c>
      <c r="L37" s="14">
        <f t="shared" si="8"/>
        <v>45747</v>
      </c>
      <c r="M37" s="14">
        <f>EOMONTH(DATE(YEAR(M38),ROUNDUP(MONTH(M38)/3,0)*3,1),0)</f>
        <v>45838</v>
      </c>
      <c r="N37" s="14">
        <f>EOMONTH(DATE(YEAR(N38),ROUNDUP(MONTH(N38)/3,0)*3,1),0)</f>
        <v>45930</v>
      </c>
      <c r="O37" s="14">
        <f>EOMONTH(DATE(YEAR(O38),ROUNDUP(MONTH(O38)/3,0)*3,1),0)</f>
        <v>46022</v>
      </c>
    </row>
    <row r="38" spans="1:25" x14ac:dyDescent="0.45">
      <c r="D38" s="2">
        <v>45016</v>
      </c>
      <c r="E38" s="2">
        <v>45107</v>
      </c>
      <c r="F38" s="2">
        <v>45199</v>
      </c>
      <c r="G38" s="2">
        <v>45291</v>
      </c>
      <c r="H38" s="2">
        <v>45382</v>
      </c>
      <c r="I38" s="2">
        <v>45473</v>
      </c>
      <c r="J38" s="2">
        <v>45565</v>
      </c>
      <c r="K38" s="2">
        <v>45657</v>
      </c>
      <c r="L38" s="2">
        <v>45747</v>
      </c>
      <c r="M38" s="2">
        <v>45838</v>
      </c>
      <c r="N38" s="2">
        <v>45930</v>
      </c>
      <c r="O38" s="2">
        <v>46022</v>
      </c>
    </row>
    <row r="39" spans="1:25" x14ac:dyDescent="0.45">
      <c r="A39" s="16" t="s">
        <v>21</v>
      </c>
      <c r="B39" s="16" t="s">
        <v>58</v>
      </c>
      <c r="C39" s="2" t="s">
        <v>27</v>
      </c>
      <c r="D39" s="32">
        <v>315.60000000000002</v>
      </c>
      <c r="E39" s="32">
        <v>330.2</v>
      </c>
      <c r="F39" s="32">
        <v>350.1</v>
      </c>
      <c r="G39" s="32">
        <v>365</v>
      </c>
      <c r="H39" s="32">
        <v>382.7</v>
      </c>
      <c r="I39" s="32">
        <v>404.2</v>
      </c>
      <c r="J39" s="32">
        <v>417.2</v>
      </c>
      <c r="K39" s="32">
        <v>437.1</v>
      </c>
      <c r="L39" s="32">
        <v>454.7</v>
      </c>
      <c r="M39" s="32">
        <v>383.1</v>
      </c>
      <c r="N39" s="32">
        <v>504.1</v>
      </c>
      <c r="O39" s="32">
        <v>535</v>
      </c>
    </row>
    <row r="40" spans="1:25" x14ac:dyDescent="0.45">
      <c r="C40" s="4" t="s">
        <v>4</v>
      </c>
      <c r="D40" s="5"/>
      <c r="E40" s="4"/>
      <c r="F40" s="4"/>
      <c r="G40" s="12"/>
      <c r="H40" s="12">
        <f t="shared" ref="H40:O40" si="9">+H39/D39-1</f>
        <v>0.21261089987325721</v>
      </c>
      <c r="I40" s="12">
        <f t="shared" si="9"/>
        <v>0.22410660205935806</v>
      </c>
      <c r="J40" s="12">
        <f t="shared" si="9"/>
        <v>0.1916595258497571</v>
      </c>
      <c r="K40" s="12">
        <f t="shared" si="9"/>
        <v>0.19753424657534246</v>
      </c>
      <c r="L40" s="12">
        <f t="shared" si="9"/>
        <v>0.18813692187091724</v>
      </c>
      <c r="M40" s="12">
        <f t="shared" si="9"/>
        <v>-5.2201880257298328E-2</v>
      </c>
      <c r="N40" s="12">
        <f t="shared" si="9"/>
        <v>0.20829338446788115</v>
      </c>
      <c r="O40" s="12">
        <f t="shared" si="9"/>
        <v>0.22397620681766184</v>
      </c>
    </row>
    <row r="41" spans="1:25" x14ac:dyDescent="0.45">
      <c r="C41" s="4" t="s">
        <v>19</v>
      </c>
      <c r="D41" s="1"/>
      <c r="L41" s="7">
        <f>(L40-K40)*10000</f>
        <v>-93.973247044252247</v>
      </c>
      <c r="M41" s="7">
        <f>(M40-L40)*10000</f>
        <v>-2403.3880212821555</v>
      </c>
      <c r="N41" s="7">
        <f>(N40-M40)*10000</f>
        <v>2604.9526472517946</v>
      </c>
      <c r="O41" s="7">
        <f>(O40-N40)*10000</f>
        <v>156.8282234978069</v>
      </c>
    </row>
    <row r="42" spans="1:25" x14ac:dyDescent="0.45">
      <c r="C42" s="4" t="s">
        <v>23</v>
      </c>
      <c r="D42" s="1"/>
      <c r="E42" s="6"/>
      <c r="F42" s="6"/>
      <c r="G42" s="6"/>
      <c r="H42" s="6"/>
      <c r="I42" s="6"/>
      <c r="J42" s="6"/>
      <c r="K42" s="6"/>
      <c r="L42" s="7">
        <f>(L40-H40)*10000</f>
        <v>-244.7397800233997</v>
      </c>
      <c r="M42" s="7">
        <f>(M40-I40)*10000</f>
        <v>-2763.0848231665641</v>
      </c>
      <c r="N42" s="7">
        <f>(N40-J40)*10000</f>
        <v>166.33858618124054</v>
      </c>
      <c r="O42" s="7">
        <f>(O40-K40)*10000</f>
        <v>264.41960242319374</v>
      </c>
    </row>
    <row r="43" spans="1:25" x14ac:dyDescent="0.45">
      <c r="C43" s="4" t="s">
        <v>5</v>
      </c>
      <c r="D43" s="1"/>
      <c r="L43" s="12">
        <f>L39/K39-1</f>
        <v>4.0265385495309891E-2</v>
      </c>
      <c r="M43" s="12">
        <f>M39/L39-1</f>
        <v>-0.15746646140312281</v>
      </c>
      <c r="N43" s="12">
        <f>N39/M39-1</f>
        <v>0.31584442704254756</v>
      </c>
      <c r="O43" s="12">
        <f>O39/N39-1</f>
        <v>6.1297361634596204E-2</v>
      </c>
    </row>
    <row r="44" spans="1:25" x14ac:dyDescent="0.45">
      <c r="C44" s="4"/>
      <c r="D44" s="1"/>
      <c r="G44" s="1"/>
    </row>
    <row r="45" spans="1:25" x14ac:dyDescent="0.45"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25" x14ac:dyDescent="0.45"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25" x14ac:dyDescent="0.45">
      <c r="A47" s="16"/>
      <c r="B47" s="16"/>
      <c r="C47" s="2"/>
      <c r="D47" s="34"/>
      <c r="E47" s="34"/>
      <c r="F47" s="34"/>
      <c r="G47" s="35"/>
      <c r="H47" s="35"/>
      <c r="I47" s="35"/>
      <c r="J47" s="35"/>
      <c r="K47" s="35"/>
      <c r="L47" s="35"/>
      <c r="M47" s="35"/>
      <c r="N47" s="35"/>
      <c r="O47" s="35"/>
    </row>
    <row r="48" spans="1:25" x14ac:dyDescent="0.45">
      <c r="C48" s="4"/>
      <c r="D48" s="5"/>
      <c r="E48" s="4"/>
      <c r="F48" s="4"/>
      <c r="G48" s="4"/>
      <c r="H48" s="7"/>
      <c r="I48" s="7"/>
      <c r="J48" s="7"/>
      <c r="K48" s="7"/>
      <c r="L48" s="7"/>
      <c r="M48" s="7"/>
      <c r="N48" s="7"/>
      <c r="O48" s="7"/>
    </row>
    <row r="49" spans="1:15" x14ac:dyDescent="0.45">
      <c r="C49" s="4"/>
      <c r="D49" s="1"/>
      <c r="K49" s="7"/>
      <c r="L49" s="7"/>
      <c r="M49" s="7"/>
      <c r="N49" s="7"/>
      <c r="O49" s="7"/>
    </row>
    <row r="50" spans="1:15" x14ac:dyDescent="0.45">
      <c r="C50" s="4"/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45">
      <c r="C51" s="4"/>
      <c r="D51" s="1"/>
      <c r="K51" s="7"/>
      <c r="L51" s="7"/>
      <c r="M51" s="7"/>
      <c r="N51" s="7"/>
      <c r="O51" s="7"/>
    </row>
    <row r="52" spans="1:15" x14ac:dyDescent="0.45">
      <c r="C52" s="4"/>
      <c r="D52" s="1"/>
      <c r="G52" s="1"/>
    </row>
    <row r="53" spans="1:15" x14ac:dyDescent="0.4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4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4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4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45">
      <c r="C57" s="4"/>
      <c r="D57" s="1"/>
      <c r="K57" s="7"/>
      <c r="L57" s="7"/>
      <c r="M57" s="7"/>
      <c r="N57" s="7"/>
      <c r="O57" s="7"/>
    </row>
    <row r="58" spans="1:15" x14ac:dyDescent="0.4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45">
      <c r="C59" s="4"/>
      <c r="D59" s="1"/>
      <c r="K59" s="7"/>
      <c r="L59" s="7"/>
      <c r="M59" s="7"/>
      <c r="N59" s="7"/>
      <c r="O59" s="7"/>
    </row>
    <row r="64" spans="1:15" x14ac:dyDescent="0.4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45">
      <c r="C65" s="4"/>
      <c r="D65" s="1"/>
      <c r="K65" s="7"/>
      <c r="L65" s="7"/>
      <c r="M65" s="7"/>
      <c r="N65" s="7"/>
      <c r="O65" s="7"/>
    </row>
    <row r="66" spans="3:15" x14ac:dyDescent="0.4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4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17C74-45A2-4602-A697-61EBAFD06662}">
  <dimension ref="A1:Y67"/>
  <sheetViews>
    <sheetView topLeftCell="B36" zoomScale="85" zoomScaleNormal="85" workbookViewId="0">
      <pane xSplit="2" topLeftCell="H1" activePane="topRight" state="frozen"/>
      <selection activeCell="B1" sqref="B1"/>
      <selection pane="topRight" activeCell="M38" sqref="M38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6" width="10.1328125" bestFit="1" customWidth="1"/>
    <col min="7" max="7" width="10.59765625" bestFit="1" customWidth="1"/>
    <col min="8" max="10" width="10.1328125" bestFit="1" customWidth="1"/>
    <col min="11" max="11" width="10.59765625" bestFit="1" customWidth="1"/>
    <col min="12" max="12" width="10.1328125" bestFit="1" customWidth="1"/>
    <col min="13" max="15" width="10.265625" bestFit="1" customWidth="1"/>
    <col min="16" max="16" width="9" customWidth="1"/>
    <col min="17" max="17" width="12.3984375" bestFit="1" customWidth="1"/>
    <col min="18" max="18" width="14.3984375" bestFit="1" customWidth="1"/>
    <col min="19" max="19" width="8.59765625" bestFit="1" customWidth="1"/>
    <col min="20" max="20" width="20.265625" bestFit="1" customWidth="1"/>
    <col min="21" max="21" width="7.3984375" bestFit="1" customWidth="1"/>
    <col min="22" max="22" width="10.73046875" bestFit="1" customWidth="1"/>
    <col min="23" max="23" width="9.1328125" bestFit="1" customWidth="1"/>
    <col min="24" max="24" width="10.3984375" bestFit="1" customWidth="1"/>
    <col min="25" max="25" width="9.1328125" bestFit="1" customWidth="1"/>
  </cols>
  <sheetData>
    <row r="1" spans="1:25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45">
      <c r="A2" s="17" t="s">
        <v>1</v>
      </c>
      <c r="B2" s="31" t="s">
        <v>59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INTU US EQUITY</v>
      </c>
      <c r="R2" s="24">
        <f ca="1"/>
        <v>45838</v>
      </c>
      <c r="S2" s="25" t="str">
        <f ca="1"/>
        <v>canonical</v>
      </c>
      <c r="T2" s="26" t="str">
        <f ca="1"/>
        <v>revenue</v>
      </c>
      <c r="U2" s="27" t="str">
        <f ca="1"/>
        <v>7754</v>
      </c>
      <c r="V2" s="28" t="str">
        <f ca="1"/>
        <v>0.150957399435951</v>
      </c>
      <c r="W2" s="29" t="str">
        <f ca="1"/>
        <v>-194.501611074633</v>
      </c>
      <c r="X2" s="28" t="str">
        <f ca="1"/>
        <v>314.824908284399</v>
      </c>
      <c r="Y2" s="29" t="str">
        <f ca="1"/>
        <v>0.956598536462276</v>
      </c>
    </row>
    <row r="3" spans="1:25" x14ac:dyDescent="0.45">
      <c r="A3" s="18" t="s">
        <v>3</v>
      </c>
      <c r="B3" s="19">
        <f ca="1">+B4-365*3</f>
        <v>45001</v>
      </c>
      <c r="Q3" s="24" t="str">
        <f ca="1"/>
        <v>INTU US EQUITY</v>
      </c>
      <c r="R3" s="24">
        <f ca="1"/>
        <v>45930</v>
      </c>
      <c r="S3" s="25" t="str">
        <f ca="1"/>
        <v>canonical</v>
      </c>
      <c r="T3" s="26" t="str">
        <f ca="1"/>
        <v>revenue</v>
      </c>
      <c r="U3" s="27" t="str">
        <f ca="1"/>
        <v>3831</v>
      </c>
      <c r="V3" s="28" t="str">
        <f ca="1"/>
        <v>0.20320351758794</v>
      </c>
      <c r="W3" s="29" t="str">
        <f ca="1"/>
        <v>522.461181519889</v>
      </c>
      <c r="X3" s="29" t="str">
        <f ca="1"/>
        <v>291.622196528365</v>
      </c>
      <c r="Y3" s="29" t="str">
        <f ca="1"/>
        <v>-0.505932421975754</v>
      </c>
    </row>
    <row r="4" spans="1:25" x14ac:dyDescent="0.45">
      <c r="A4" s="20" t="s">
        <v>2</v>
      </c>
      <c r="B4" s="21">
        <f ca="1">TODAY()</f>
        <v>46096</v>
      </c>
      <c r="Q4" s="24" t="str">
        <f ca="1"/>
        <v>INTU US EQUITY</v>
      </c>
      <c r="R4" s="24">
        <f ca="1"/>
        <v>46022</v>
      </c>
      <c r="S4" s="25" t="str">
        <f ca="1"/>
        <v>canonical</v>
      </c>
      <c r="T4" s="26" t="str">
        <f ca="1"/>
        <v>revenue</v>
      </c>
      <c r="U4" s="27" t="str">
        <f ca="1"/>
        <v>3885</v>
      </c>
      <c r="V4" s="28" t="str">
        <f ca="1"/>
        <v>0.183368869936034</v>
      </c>
      <c r="W4" s="29" t="str">
        <f ca="1"/>
        <v>-198.346476519056</v>
      </c>
      <c r="X4" s="29" t="str">
        <f ca="1"/>
        <v>809.511399158864</v>
      </c>
      <c r="Y4" s="29" t="str">
        <f ca="1"/>
        <v>0.0140955364134692</v>
      </c>
    </row>
    <row r="5" spans="1:25" x14ac:dyDescent="0.45">
      <c r="C5" s="13" t="s">
        <v>12</v>
      </c>
      <c r="D5" s="14">
        <f t="shared" ref="D5:O5" ca="1" si="0">EOMONTH(DATE(YEAR(D6),ROUNDUP(MONTH(D6)/3,0)*3,1),0)</f>
        <v>45107</v>
      </c>
      <c r="E5" s="14">
        <f t="shared" ca="1" si="0"/>
        <v>45199</v>
      </c>
      <c r="F5" s="14">
        <f t="shared" ca="1" si="0"/>
        <v>45291</v>
      </c>
      <c r="G5" s="14">
        <f t="shared" ca="1" si="0"/>
        <v>45382</v>
      </c>
      <c r="H5" s="14">
        <f t="shared" ca="1" si="0"/>
        <v>45473</v>
      </c>
      <c r="I5" s="14">
        <f t="shared" ca="1" si="0"/>
        <v>45565</v>
      </c>
      <c r="J5" s="14">
        <f t="shared" ca="1" si="0"/>
        <v>45657</v>
      </c>
      <c r="K5" s="14">
        <f t="shared" ca="1" si="0"/>
        <v>45747</v>
      </c>
      <c r="L5" s="14">
        <f t="shared" ca="1" si="0"/>
        <v>45838</v>
      </c>
      <c r="M5" s="14">
        <f t="shared" ca="1" si="0"/>
        <v>45930</v>
      </c>
      <c r="N5" s="14">
        <f t="shared" ca="1" si="0"/>
        <v>46022</v>
      </c>
      <c r="O5" s="14">
        <f t="shared" ca="1" si="0"/>
        <v>46112</v>
      </c>
      <c r="Q5" s="24" t="str">
        <f ca="1"/>
        <v>INTU US EQUITY</v>
      </c>
      <c r="R5" s="24">
        <f ca="1"/>
        <v>46112</v>
      </c>
      <c r="S5" s="25" t="str">
        <f ca="1"/>
        <v>canonical</v>
      </c>
      <c r="T5" s="26" t="str">
        <f ca="1"/>
        <v>revenue</v>
      </c>
      <c r="U5" s="27" t="str">
        <f ca="1"/>
        <v>4651</v>
      </c>
      <c r="V5" s="28" t="str">
        <f ca="1"/>
        <v>0.173605854150896</v>
      </c>
      <c r="W5" s="29" t="str">
        <f ca="1"/>
        <v>-97.6301578513827</v>
      </c>
      <c r="X5" s="29" t="str">
        <f ca="1"/>
        <v>31.9829360748169</v>
      </c>
      <c r="Y5" s="29" t="str">
        <f ca="1"/>
        <v>0.197168597168597</v>
      </c>
    </row>
    <row r="6" spans="1:25" x14ac:dyDescent="0.45">
      <c r="D6" s="15" cm="1">
        <f t="array" aca="1" ref="D6:O7" ca="1">+_xll.BDH($B$2,C7,$B$3,$B$4,"DIR=H")</f>
        <v>45046</v>
      </c>
      <c r="E6" s="1">
        <f ca="1"/>
        <v>45138</v>
      </c>
      <c r="F6" s="1">
        <f ca="1"/>
        <v>45230</v>
      </c>
      <c r="G6" s="1">
        <f ca="1"/>
        <v>45322</v>
      </c>
      <c r="H6" s="1">
        <f ca="1"/>
        <v>45412</v>
      </c>
      <c r="I6" s="1">
        <f ca="1"/>
        <v>45504</v>
      </c>
      <c r="J6" s="1">
        <f ca="1"/>
        <v>45596</v>
      </c>
      <c r="K6" s="1">
        <f ca="1"/>
        <v>45688</v>
      </c>
      <c r="L6" s="1">
        <f ca="1"/>
        <v>45777</v>
      </c>
      <c r="M6" s="1">
        <f ca="1"/>
        <v>45869</v>
      </c>
      <c r="N6" s="1">
        <f ca="1"/>
        <v>45961</v>
      </c>
      <c r="O6" s="1">
        <f ca="1"/>
        <v>46053</v>
      </c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INTU US EQUITY</v>
      </c>
      <c r="R6" s="24">
        <f ca="1"/>
        <v>45838</v>
      </c>
      <c r="S6" s="25" t="str">
        <f ca="1"/>
        <v>canonical</v>
      </c>
      <c r="T6" s="26" t="str">
        <f ca="1"/>
        <v>gross_margin_gaap</v>
      </c>
      <c r="U6" s="30" t="str">
        <f ca="1"/>
        <v>84.6015</v>
      </c>
      <c r="V6" s="29" t="str">
        <f ca="1"/>
        <v>43.9400000000006</v>
      </c>
      <c r="W6" s="29" t="str">
        <f ca="1"/>
        <v/>
      </c>
      <c r="X6" s="29" t="str">
        <f ca="1"/>
        <v/>
      </c>
      <c r="Y6" s="29" t="str">
        <f ca="1"/>
        <v>824.52</v>
      </c>
    </row>
    <row r="7" spans="1:25" x14ac:dyDescent="0.45">
      <c r="A7" s="16" t="s">
        <v>9</v>
      </c>
      <c r="B7" s="16" t="s">
        <v>8</v>
      </c>
      <c r="C7" s="9" t="s">
        <v>0</v>
      </c>
      <c r="D7" s="11">
        <f ca="1"/>
        <v>6018</v>
      </c>
      <c r="E7" s="11">
        <f ca="1"/>
        <v>2712</v>
      </c>
      <c r="F7" s="11">
        <f ca="1"/>
        <v>2978</v>
      </c>
      <c r="G7" s="11">
        <f ca="1"/>
        <v>3386</v>
      </c>
      <c r="H7" s="11">
        <f ca="1"/>
        <v>6737</v>
      </c>
      <c r="I7" s="11">
        <f ca="1"/>
        <v>3184</v>
      </c>
      <c r="J7" s="11">
        <f ca="1"/>
        <v>3283</v>
      </c>
      <c r="K7" s="11">
        <f ca="1"/>
        <v>3963</v>
      </c>
      <c r="L7" s="11">
        <f ca="1"/>
        <v>7754</v>
      </c>
      <c r="M7" s="11">
        <f ca="1"/>
        <v>3831</v>
      </c>
      <c r="N7" s="11">
        <f ca="1"/>
        <v>3885</v>
      </c>
      <c r="O7" s="3">
        <f ca="1"/>
        <v>4651</v>
      </c>
      <c r="P7" s="1"/>
      <c r="Q7" s="24" t="str">
        <f ca="1"/>
        <v>INTU US EQUITY</v>
      </c>
      <c r="R7" s="24">
        <f ca="1"/>
        <v>45930</v>
      </c>
      <c r="S7" s="25" t="str">
        <f ca="1"/>
        <v>canonical</v>
      </c>
      <c r="T7" s="26" t="str">
        <f ca="1"/>
        <v>gross_margin_gaap</v>
      </c>
      <c r="U7" s="30" t="str">
        <f ca="1"/>
        <v>76.6641</v>
      </c>
      <c r="V7" s="29" t="str">
        <f ca="1"/>
        <v>125.580000000001</v>
      </c>
      <c r="W7" s="29" t="str">
        <f ca="1"/>
        <v/>
      </c>
      <c r="X7" s="29" t="str">
        <f ca="1"/>
        <v/>
      </c>
      <c r="Y7" s="29" t="str">
        <f ca="1"/>
        <v>-793.74</v>
      </c>
    </row>
    <row r="8" spans="1:25" x14ac:dyDescent="0.45">
      <c r="C8" s="4" t="s">
        <v>4</v>
      </c>
      <c r="D8" s="5"/>
      <c r="E8" s="4"/>
      <c r="F8" s="4"/>
      <c r="G8" s="12"/>
      <c r="H8" s="12">
        <f t="shared" ref="H8:O8" ca="1" si="1">+H7/D7-1</f>
        <v>0.11947490860751087</v>
      </c>
      <c r="I8" s="12">
        <f t="shared" ca="1" si="1"/>
        <v>0.17404129793510315</v>
      </c>
      <c r="J8" s="12">
        <f t="shared" ca="1" si="1"/>
        <v>0.10241773002014765</v>
      </c>
      <c r="K8" s="12">
        <f t="shared" ca="1" si="1"/>
        <v>0.1704075605434141</v>
      </c>
      <c r="L8" s="12">
        <f t="shared" ca="1" si="1"/>
        <v>0.15095739943595077</v>
      </c>
      <c r="M8" s="12">
        <f t="shared" ca="1" si="1"/>
        <v>0.20320351758793964</v>
      </c>
      <c r="N8" s="12">
        <f t="shared" ca="1" si="1"/>
        <v>0.18336886993603407</v>
      </c>
      <c r="O8" s="12">
        <f t="shared" ca="1" si="1"/>
        <v>0.1736058541508958</v>
      </c>
      <c r="P8" s="3"/>
      <c r="Q8" s="24" t="str">
        <f ca="1"/>
        <v>INTU US EQUITY</v>
      </c>
      <c r="R8" s="24">
        <f ca="1"/>
        <v>46022</v>
      </c>
      <c r="S8" s="25" t="str">
        <f ca="1"/>
        <v>canonical</v>
      </c>
      <c r="T8" s="26" t="str">
        <f ca="1"/>
        <v>gross_margin_gaap</v>
      </c>
      <c r="U8" s="30" t="str">
        <f ca="1"/>
        <v>77.2716</v>
      </c>
      <c r="V8" s="29" t="str">
        <f ca="1"/>
        <v>234.010000000001</v>
      </c>
      <c r="W8" s="29" t="str">
        <f ca="1"/>
        <v/>
      </c>
      <c r="X8" s="29" t="str">
        <f ca="1"/>
        <v/>
      </c>
      <c r="Y8" s="29" t="str">
        <f ca="1"/>
        <v>60.7500000000002</v>
      </c>
    </row>
    <row r="9" spans="1:25" x14ac:dyDescent="0.45">
      <c r="C9" s="4" t="s">
        <v>19</v>
      </c>
      <c r="D9" s="1"/>
      <c r="L9" s="7">
        <f ca="1">(L8-K8)*10000</f>
        <v>-194.50161107463339</v>
      </c>
      <c r="M9" s="7">
        <f ca="1">(M8-L8)*10000</f>
        <v>522.46118151988878</v>
      </c>
      <c r="N9" s="7">
        <f ca="1">(N8-M8)*10000</f>
        <v>-198.34647651905567</v>
      </c>
      <c r="O9" s="7">
        <f ca="1">(O8-N8)*10000</f>
        <v>-97.630157851382734</v>
      </c>
      <c r="Q9" s="22" t="str">
        <f ca="1"/>
        <v>INTU US EQUITY</v>
      </c>
      <c r="R9" s="24">
        <f ca="1"/>
        <v>46112</v>
      </c>
      <c r="S9" s="25" t="str">
        <f ca="1"/>
        <v>canonical</v>
      </c>
      <c r="T9" s="26" t="str">
        <f ca="1"/>
        <v>gross_margin_gaap</v>
      </c>
      <c r="U9" s="30" t="str">
        <f ca="1"/>
        <v>77.5747</v>
      </c>
      <c r="V9" s="29" t="str">
        <f ca="1"/>
        <v>121.84</v>
      </c>
      <c r="W9" s="29" t="str">
        <f ca="1"/>
        <v/>
      </c>
      <c r="X9" s="29" t="str">
        <f ca="1"/>
        <v/>
      </c>
      <c r="Y9" s="29" t="str">
        <f ca="1"/>
        <v>30.3100000000001</v>
      </c>
    </row>
    <row r="10" spans="1:25" x14ac:dyDescent="0.4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314.82490828439904</v>
      </c>
      <c r="M10" s="7">
        <f ca="1">(M8-I8)*10000</f>
        <v>291.62219652836495</v>
      </c>
      <c r="N10" s="7">
        <f ca="1">(N8-J8)*10000</f>
        <v>809.51139915886426</v>
      </c>
      <c r="O10" s="7">
        <f ca="1">(O8-K8)*10000</f>
        <v>31.982936074816948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INTU US EQUITY</v>
      </c>
      <c r="R10" s="24">
        <f ca="1"/>
        <v>45838</v>
      </c>
      <c r="S10" s="25" t="str">
        <f ca="1"/>
        <v>canonical</v>
      </c>
      <c r="T10" s="26" t="str">
        <f ca="1"/>
        <v>operating_margin_gaap</v>
      </c>
      <c r="U10" s="30" t="str">
        <f ca="1"/>
        <v>47.9752</v>
      </c>
      <c r="V10" s="29" t="str">
        <f ca="1"/>
        <v>188.64</v>
      </c>
      <c r="W10" s="29" t="str">
        <f ca="1"/>
        <v/>
      </c>
      <c r="X10" s="29" t="str">
        <f ca="1"/>
        <v/>
      </c>
      <c r="Y10" s="29" t="str">
        <f ca="1"/>
        <v>3301.18</v>
      </c>
    </row>
    <row r="11" spans="1:25" x14ac:dyDescent="0.45">
      <c r="C11" s="4" t="s">
        <v>5</v>
      </c>
      <c r="D11" s="1"/>
      <c r="L11" s="12">
        <f ca="1">L7/K7-1</f>
        <v>0.95659853646227599</v>
      </c>
      <c r="M11" s="12">
        <f ca="1">M7/L7-1</f>
        <v>-0.50593242197575439</v>
      </c>
      <c r="N11" s="12">
        <f ca="1">N7/M7-1</f>
        <v>1.4095536413469167E-2</v>
      </c>
      <c r="O11" s="12">
        <f ca="1">O7/N7-1</f>
        <v>0.19716859716859725</v>
      </c>
      <c r="Q11" s="24" t="str">
        <f ca="1"/>
        <v>INTU US EQUITY</v>
      </c>
      <c r="R11" s="24">
        <f ca="1"/>
        <v>45930</v>
      </c>
      <c r="S11" s="25" t="str">
        <f ca="1"/>
        <v>canonical</v>
      </c>
      <c r="T11" s="26" t="str">
        <f ca="1"/>
        <v>operating_margin_gaap</v>
      </c>
      <c r="U11" s="30" t="str">
        <f ca="1"/>
        <v>8.8489</v>
      </c>
      <c r="V11" s="29" t="str">
        <f ca="1"/>
        <v>1359.14</v>
      </c>
      <c r="W11" s="29" t="str">
        <f ca="1"/>
        <v/>
      </c>
      <c r="X11" s="29" t="str">
        <f ca="1"/>
        <v/>
      </c>
      <c r="Y11" s="29" t="str">
        <f ca="1"/>
        <v>-3912.63</v>
      </c>
    </row>
    <row r="12" spans="1:25" x14ac:dyDescent="0.45">
      <c r="Q12" s="24" t="str">
        <f ca="1"/>
        <v>INTU US EQUITY</v>
      </c>
      <c r="R12" s="24">
        <f ca="1"/>
        <v>46022</v>
      </c>
      <c r="S12" s="25" t="str">
        <f ca="1"/>
        <v>canonical</v>
      </c>
      <c r="T12" s="26" t="str">
        <f ca="1"/>
        <v>operating_margin_gaap</v>
      </c>
      <c r="U12" s="30" t="str">
        <f ca="1"/>
        <v>13.7452</v>
      </c>
      <c r="V12" s="29" t="str">
        <f ca="1"/>
        <v>549.06</v>
      </c>
      <c r="W12" s="29" t="str">
        <f ca="1"/>
        <v/>
      </c>
      <c r="X12" s="29" t="str">
        <f ca="1"/>
        <v/>
      </c>
      <c r="Y12" s="29" t="str">
        <f ca="1"/>
        <v>489.63</v>
      </c>
    </row>
    <row r="13" spans="1:25" x14ac:dyDescent="0.45">
      <c r="C13" s="13" t="s">
        <v>12</v>
      </c>
      <c r="D13" s="14">
        <f t="shared" ref="D13:O13" ca="1" si="2">EOMONTH(DATE(YEAR(D14),ROUNDUP(MONTH(D14)/3,0)*3,1),0)</f>
        <v>45107</v>
      </c>
      <c r="E13" s="14">
        <f t="shared" ca="1" si="2"/>
        <v>45199</v>
      </c>
      <c r="F13" s="14">
        <f t="shared" ca="1" si="2"/>
        <v>45291</v>
      </c>
      <c r="G13" s="14">
        <f t="shared" ca="1" si="2"/>
        <v>45382</v>
      </c>
      <c r="H13" s="14">
        <f t="shared" ca="1" si="2"/>
        <v>45473</v>
      </c>
      <c r="I13" s="14">
        <f t="shared" ca="1" si="2"/>
        <v>45565</v>
      </c>
      <c r="J13" s="14">
        <f t="shared" ca="1" si="2"/>
        <v>45657</v>
      </c>
      <c r="K13" s="14">
        <f t="shared" ca="1" si="2"/>
        <v>45747</v>
      </c>
      <c r="L13" s="14">
        <f t="shared" ca="1" si="2"/>
        <v>45838</v>
      </c>
      <c r="M13" s="14">
        <f t="shared" ca="1" si="2"/>
        <v>45930</v>
      </c>
      <c r="N13" s="14">
        <f t="shared" ca="1" si="2"/>
        <v>46022</v>
      </c>
      <c r="O13" s="14">
        <f t="shared" ca="1" si="2"/>
        <v>46112</v>
      </c>
      <c r="Q13" s="24" t="str">
        <f ca="1"/>
        <v>INTU US EQUITY</v>
      </c>
      <c r="R13" s="24">
        <f ca="1"/>
        <v>46112</v>
      </c>
      <c r="S13" s="25" t="str">
        <f ca="1"/>
        <v>canonical</v>
      </c>
      <c r="T13" s="26" t="str">
        <f ca="1"/>
        <v>operating_margin_gaap</v>
      </c>
      <c r="U13" s="30" t="str">
        <f ca="1"/>
        <v>18.3831</v>
      </c>
      <c r="V13" s="29" t="str">
        <f ca="1"/>
        <v>341.97</v>
      </c>
      <c r="W13" s="29" t="str">
        <f ca="1"/>
        <v/>
      </c>
      <c r="X13" s="29" t="str">
        <f ca="1"/>
        <v/>
      </c>
      <c r="Y13" s="29" t="str">
        <f ca="1"/>
        <v>463.79</v>
      </c>
    </row>
    <row r="14" spans="1:25" x14ac:dyDescent="0.45">
      <c r="D14" s="1" cm="1">
        <f t="array" aca="1" ref="D14:O15" ca="1">+_xll.BDH($B$2,C15,$B$3,$B$4,"DIR=H")</f>
        <v>45046</v>
      </c>
      <c r="E14" s="1">
        <f ca="1"/>
        <v>45138</v>
      </c>
      <c r="F14" s="1">
        <f ca="1"/>
        <v>45230</v>
      </c>
      <c r="G14" s="1">
        <f ca="1"/>
        <v>45322</v>
      </c>
      <c r="H14" s="1">
        <f ca="1"/>
        <v>45412</v>
      </c>
      <c r="I14" s="1">
        <f ca="1"/>
        <v>45504</v>
      </c>
      <c r="J14" s="1">
        <f ca="1"/>
        <v>45596</v>
      </c>
      <c r="K14" s="1">
        <f ca="1"/>
        <v>45688</v>
      </c>
      <c r="L14" s="1">
        <f ca="1"/>
        <v>45777</v>
      </c>
      <c r="M14" s="1">
        <f ca="1"/>
        <v>45869</v>
      </c>
      <c r="N14" s="1">
        <f ca="1"/>
        <v>45961</v>
      </c>
      <c r="O14" s="1">
        <f ca="1"/>
        <v>46053</v>
      </c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INTU US EQUITY</v>
      </c>
      <c r="R14" s="24">
        <v>45838</v>
      </c>
      <c r="S14" s="25" t="str">
        <v>custom</v>
      </c>
      <c r="T14" s="26" t="str">
        <v>quickbooks_revenue</v>
      </c>
      <c r="U14" s="30" t="str">
        <v>2849</v>
      </c>
      <c r="V14" s="29" t="str">
        <v>0.193548387096774</v>
      </c>
      <c r="W14" s="29" t="str">
        <v>37.9337596091678</v>
      </c>
      <c r="X14" s="29" t="str">
        <v>124.499209908862</v>
      </c>
      <c r="Y14" s="29" t="str">
        <v>0.0666417072257581</v>
      </c>
    </row>
    <row r="15" spans="1:25" x14ac:dyDescent="0.45">
      <c r="A15" s="16" t="s">
        <v>9</v>
      </c>
      <c r="B15" s="16" t="s">
        <v>14</v>
      </c>
      <c r="C15" s="9" t="s">
        <v>6</v>
      </c>
      <c r="D15" s="3">
        <f ca="1"/>
        <v>83.698899999999995</v>
      </c>
      <c r="E15" s="3">
        <f ca="1"/>
        <v>73.709400000000002</v>
      </c>
      <c r="F15" s="3">
        <f ca="1"/>
        <v>74.479500000000002</v>
      </c>
      <c r="G15" s="3">
        <f ca="1"/>
        <v>74.748999999999995</v>
      </c>
      <c r="H15" s="3">
        <f ca="1"/>
        <v>84.162099999999995</v>
      </c>
      <c r="I15" s="3">
        <f ca="1"/>
        <v>75.408299999999997</v>
      </c>
      <c r="J15" s="3">
        <f ca="1"/>
        <v>74.9315</v>
      </c>
      <c r="K15" s="3">
        <f ca="1"/>
        <v>76.356300000000005</v>
      </c>
      <c r="L15" s="3">
        <f ca="1"/>
        <v>84.601500000000001</v>
      </c>
      <c r="M15" s="3">
        <f ca="1"/>
        <v>76.664100000000005</v>
      </c>
      <c r="N15" s="3">
        <f ca="1"/>
        <v>77.271600000000007</v>
      </c>
      <c r="O15">
        <f ca="1"/>
        <v>77.574700000000007</v>
      </c>
      <c r="Q15" s="24" t="str">
        <v>INTU US EQUITY</v>
      </c>
      <c r="R15" s="24">
        <v>45930</v>
      </c>
      <c r="S15" s="25" t="str">
        <v>custom</v>
      </c>
      <c r="T15" s="26" t="str">
        <v>quickbooks_revenue</v>
      </c>
      <c r="U15" s="30" t="str">
        <v>3013</v>
      </c>
      <c r="V15" s="29" t="str">
        <v>0.178333985138835</v>
      </c>
      <c r="W15" s="29" t="str">
        <v>-152.144019579397</v>
      </c>
      <c r="X15" s="29" t="str">
        <v>-210.093544484073</v>
      </c>
      <c r="Y15" s="29" t="str">
        <v>0.0575640575640575</v>
      </c>
    </row>
    <row r="16" spans="1:25" x14ac:dyDescent="0.45">
      <c r="C16" s="4" t="s">
        <v>4</v>
      </c>
      <c r="D16" s="5"/>
      <c r="E16" s="4"/>
      <c r="F16" s="4"/>
      <c r="G16" s="4"/>
      <c r="H16" s="7">
        <f t="shared" ref="H16:O16" ca="1" si="3">(H15-D15)*100</f>
        <v>46.32000000000005</v>
      </c>
      <c r="I16" s="7">
        <f t="shared" ca="1" si="3"/>
        <v>169.88999999999947</v>
      </c>
      <c r="J16" s="7">
        <f t="shared" ca="1" si="3"/>
        <v>45.199999999999818</v>
      </c>
      <c r="K16" s="7">
        <f t="shared" ca="1" si="3"/>
        <v>160.73000000000093</v>
      </c>
      <c r="L16" s="7">
        <f t="shared" ca="1" si="3"/>
        <v>43.940000000000623</v>
      </c>
      <c r="M16" s="7">
        <f t="shared" ca="1" si="3"/>
        <v>125.58000000000078</v>
      </c>
      <c r="N16" s="7">
        <f t="shared" ca="1" si="3"/>
        <v>234.01000000000067</v>
      </c>
      <c r="O16" s="7">
        <f t="shared" ca="1" si="3"/>
        <v>121.84000000000026</v>
      </c>
      <c r="Q16" s="24" t="str">
        <v>INTU US EQUITY</v>
      </c>
      <c r="R16" s="24">
        <v>46022</v>
      </c>
      <c r="S16" s="25" t="str">
        <v>custom</v>
      </c>
      <c r="T16" s="26" t="str">
        <v>quickbooks_revenue</v>
      </c>
      <c r="U16" s="30" t="str">
        <v>2991</v>
      </c>
      <c r="V16" s="29" t="str">
        <v>0.175707547169811</v>
      </c>
      <c r="W16" s="29" t="str">
        <v>-26.2643796902329</v>
      </c>
      <c r="X16" s="29" t="str">
        <v>903.833150879001</v>
      </c>
      <c r="Y16" s="29" t="str">
        <v>-0.00730169266511782</v>
      </c>
    </row>
    <row r="17" spans="1:25" x14ac:dyDescent="0.45">
      <c r="C17" s="4" t="s">
        <v>19</v>
      </c>
      <c r="D17" s="1"/>
      <c r="K17" s="7"/>
      <c r="L17" s="7"/>
      <c r="M17" s="7"/>
      <c r="N17" s="7"/>
      <c r="O17" s="7"/>
      <c r="Q17" s="24" t="str">
        <v>INTU US EQUITY</v>
      </c>
      <c r="R17" s="24">
        <v>46112</v>
      </c>
      <c r="S17" s="25" t="str">
        <v>custom</v>
      </c>
      <c r="T17" s="26" t="str">
        <v>quickbooks_revenue</v>
      </c>
      <c r="U17" s="30" t="str">
        <v>3164</v>
      </c>
      <c r="V17" s="29" t="str">
        <v>0.184575065518532</v>
      </c>
      <c r="W17" s="29" t="str">
        <v>88.6751834872101</v>
      </c>
      <c r="X17" s="29" t="str">
        <v>-51.7994561732515</v>
      </c>
      <c r="Y17" s="29" t="str">
        <v>0.0578401872283518</v>
      </c>
    </row>
    <row r="18" spans="1:25" x14ac:dyDescent="0.4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INTU US EQUITY</v>
      </c>
      <c r="R18" s="24">
        <v>45838</v>
      </c>
      <c r="S18" s="25" t="str">
        <v>custom</v>
      </c>
      <c r="T18" s="26" t="str">
        <v>turbotax_revenue</v>
      </c>
      <c r="U18" s="30" t="str">
        <v>4078</v>
      </c>
      <c r="V18" s="29" t="str">
        <v>0.106948968512486</v>
      </c>
      <c r="W18" s="29" t="str">
        <v>710.923948073072</v>
      </c>
      <c r="X18" s="29" t="str">
        <v>108.466180215612</v>
      </c>
      <c r="Y18" s="29" t="str">
        <v>6.84230769230769</v>
      </c>
    </row>
    <row r="19" spans="1:25" x14ac:dyDescent="0.45">
      <c r="C19" s="4" t="s">
        <v>5</v>
      </c>
      <c r="D19" s="1"/>
      <c r="K19" s="7"/>
      <c r="L19" s="7">
        <f ca="1">(L15-K15)*100</f>
        <v>824.51999999999975</v>
      </c>
      <c r="M19" s="7">
        <f ca="1">(M15-L15)*100</f>
        <v>-793.73999999999967</v>
      </c>
      <c r="N19" s="7">
        <f ca="1">(N15-M15)*100</f>
        <v>60.750000000000171</v>
      </c>
      <c r="O19" s="7">
        <f ca="1">(O15-N15)*100</f>
        <v>30.310000000000059</v>
      </c>
      <c r="Q19" s="24" t="str">
        <v>INTU US EQUITY</v>
      </c>
      <c r="R19" s="24">
        <v>45930</v>
      </c>
      <c r="S19" s="25" t="str">
        <v>custom</v>
      </c>
      <c r="T19" s="26" t="str">
        <v>turbotax_revenue</v>
      </c>
      <c r="U19" s="30" t="str">
        <v>148</v>
      </c>
      <c r="V19" s="29" t="str">
        <v>0.174603174603175</v>
      </c>
      <c r="W19" s="29" t="str">
        <v>676.542060906882</v>
      </c>
      <c r="X19" s="29" t="str">
        <v>2615.59696342305</v>
      </c>
      <c r="Y19" s="29" t="str">
        <v>-0.963707699852869</v>
      </c>
    </row>
    <row r="20" spans="1:25" x14ac:dyDescent="0.45">
      <c r="Q20" s="24" t="str">
        <v>INTU US EQUITY</v>
      </c>
      <c r="R20" s="24">
        <v>46022</v>
      </c>
      <c r="S20" s="25" t="str">
        <v>custom</v>
      </c>
      <c r="T20" s="26" t="str">
        <v>turbotax_revenue</v>
      </c>
      <c r="U20" s="30" t="str">
        <v>198</v>
      </c>
      <c r="V20" s="29" t="str">
        <v>0.0588235294117647</v>
      </c>
      <c r="W20" s="29" t="str">
        <v>-1157.7964519141</v>
      </c>
      <c r="X20" s="29" t="str">
        <v>1047.41896758703</v>
      </c>
      <c r="Y20" s="29" t="str">
        <v>0.337837837837838</v>
      </c>
    </row>
    <row r="21" spans="1:25" x14ac:dyDescent="0.45">
      <c r="C21" s="13" t="s">
        <v>12</v>
      </c>
      <c r="D21" s="14">
        <f t="shared" ref="D21:O21" ca="1" si="4">EOMONTH(DATE(YEAR(D22),ROUNDUP(MONTH(D22)/3,0)*3,1),0)</f>
        <v>45107</v>
      </c>
      <c r="E21" s="14">
        <f t="shared" ca="1" si="4"/>
        <v>45199</v>
      </c>
      <c r="F21" s="14">
        <f t="shared" ca="1" si="4"/>
        <v>45291</v>
      </c>
      <c r="G21" s="14">
        <f t="shared" ca="1" si="4"/>
        <v>45382</v>
      </c>
      <c r="H21" s="14">
        <f t="shared" ca="1" si="4"/>
        <v>45473</v>
      </c>
      <c r="I21" s="14">
        <f t="shared" ca="1" si="4"/>
        <v>45565</v>
      </c>
      <c r="J21" s="14">
        <f t="shared" ca="1" si="4"/>
        <v>45657</v>
      </c>
      <c r="K21" s="14">
        <f t="shared" ca="1" si="4"/>
        <v>45747</v>
      </c>
      <c r="L21" s="14">
        <f t="shared" ca="1" si="4"/>
        <v>45838</v>
      </c>
      <c r="M21" s="14">
        <f t="shared" ca="1" si="4"/>
        <v>45930</v>
      </c>
      <c r="N21" s="14">
        <f t="shared" ca="1" si="4"/>
        <v>46022</v>
      </c>
      <c r="O21" s="14">
        <f t="shared" ca="1" si="4"/>
        <v>46112</v>
      </c>
      <c r="Q21" s="24" t="str">
        <v>INTU US EQUITY</v>
      </c>
      <c r="R21" s="24">
        <v>46112</v>
      </c>
      <c r="S21" s="25" t="str">
        <v>custom</v>
      </c>
      <c r="T21" s="26" t="str">
        <v>turbotax_revenue</v>
      </c>
      <c r="U21" s="30" t="str">
        <v>581</v>
      </c>
      <c r="V21" s="29" t="str">
        <v>0.117307692307692</v>
      </c>
      <c r="W21" s="29" t="str">
        <v>584.841628959276</v>
      </c>
      <c r="X21" s="29" t="str">
        <v>814.511186025131</v>
      </c>
      <c r="Y21" s="29" t="str">
        <v>1.93434343434343</v>
      </c>
    </row>
    <row r="22" spans="1:25" x14ac:dyDescent="0.45">
      <c r="D22" s="1" cm="1">
        <f t="array" aca="1" ref="D22:O23" ca="1">+_xll.BDH($B$2,C23,$B$3,$B$4,"DIR=H")</f>
        <v>45046</v>
      </c>
      <c r="E22" s="1">
        <f ca="1"/>
        <v>45138</v>
      </c>
      <c r="F22" s="1">
        <f ca="1"/>
        <v>45230</v>
      </c>
      <c r="G22" s="1">
        <f ca="1"/>
        <v>45322</v>
      </c>
      <c r="H22" s="1">
        <f ca="1"/>
        <v>45412</v>
      </c>
      <c r="I22" s="1">
        <f ca="1"/>
        <v>45504</v>
      </c>
      <c r="J22" s="1">
        <f ca="1"/>
        <v>45596</v>
      </c>
      <c r="K22" s="1">
        <f ca="1"/>
        <v>45688</v>
      </c>
      <c r="L22" s="1">
        <f ca="1"/>
        <v>45777</v>
      </c>
      <c r="M22" s="1">
        <f ca="1"/>
        <v>45869</v>
      </c>
      <c r="N22" s="1">
        <f ca="1"/>
        <v>45961</v>
      </c>
      <c r="O22" s="1">
        <f ca="1"/>
        <v>46053</v>
      </c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INTU US EQUITY</v>
      </c>
      <c r="R22" s="24">
        <v>0</v>
      </c>
      <c r="S22" s="25">
        <v>0</v>
      </c>
      <c r="T22" s="26">
        <v>0</v>
      </c>
      <c r="U22" s="27" t="str">
        <v/>
      </c>
      <c r="V22" s="28" t="str">
        <v/>
      </c>
      <c r="W22" s="29" t="str">
        <v/>
      </c>
      <c r="X22" s="28" t="str">
        <v/>
      </c>
      <c r="Y22" s="29" t="str">
        <v/>
      </c>
    </row>
    <row r="23" spans="1:25" x14ac:dyDescent="0.45">
      <c r="A23" s="16" t="s">
        <v>9</v>
      </c>
      <c r="B23" s="16" t="s">
        <v>15</v>
      </c>
      <c r="C23" s="9" t="s">
        <v>7</v>
      </c>
      <c r="D23" s="3">
        <f ca="1"/>
        <v>46.161499999999997</v>
      </c>
      <c r="E23" s="3">
        <f ca="1"/>
        <v>0.62680000000000002</v>
      </c>
      <c r="F23" s="3">
        <f ca="1"/>
        <v>10.3089</v>
      </c>
      <c r="G23" s="3">
        <f ca="1"/>
        <v>10.8978</v>
      </c>
      <c r="H23" s="3">
        <f ca="1"/>
        <v>46.088799999999999</v>
      </c>
      <c r="I23" s="3">
        <f ca="1"/>
        <v>-4.7424999999999997</v>
      </c>
      <c r="J23" s="3">
        <f ca="1"/>
        <v>8.2545999999999999</v>
      </c>
      <c r="K23" s="3">
        <f ca="1"/>
        <v>14.9634</v>
      </c>
      <c r="L23" s="3">
        <f ca="1"/>
        <v>47.975200000000001</v>
      </c>
      <c r="M23" s="3">
        <f ca="1"/>
        <v>8.8489000000000004</v>
      </c>
      <c r="N23" s="3">
        <f ca="1"/>
        <v>13.745200000000001</v>
      </c>
      <c r="O23">
        <f ca="1"/>
        <v>18.383099999999999</v>
      </c>
      <c r="Q23" s="24" t="str">
        <v>INTU US EQUITY</v>
      </c>
      <c r="R23" s="24">
        <v>0</v>
      </c>
      <c r="S23" s="25">
        <v>0</v>
      </c>
      <c r="T23" s="26">
        <v>0</v>
      </c>
      <c r="U23" s="27" t="str">
        <v/>
      </c>
      <c r="V23" s="28" t="str">
        <v/>
      </c>
      <c r="W23" s="29" t="str">
        <v/>
      </c>
      <c r="X23" s="28" t="str">
        <v/>
      </c>
      <c r="Y23" s="29" t="str">
        <v/>
      </c>
    </row>
    <row r="24" spans="1:25" x14ac:dyDescent="0.45">
      <c r="C24" s="4" t="s">
        <v>4</v>
      </c>
      <c r="D24" s="5"/>
      <c r="E24" s="4"/>
      <c r="F24" s="4"/>
      <c r="G24" s="4"/>
      <c r="H24" s="7">
        <f t="shared" ref="H24:O24" ca="1" si="5">(H23-D23)*100</f>
        <v>-7.2699999999997544</v>
      </c>
      <c r="I24" s="7">
        <f t="shared" ca="1" si="5"/>
        <v>-536.92999999999995</v>
      </c>
      <c r="J24" s="7">
        <f t="shared" ca="1" si="5"/>
        <v>-205.42999999999995</v>
      </c>
      <c r="K24" s="7">
        <f t="shared" ca="1" si="5"/>
        <v>406.56</v>
      </c>
      <c r="L24" s="7">
        <f t="shared" ca="1" si="5"/>
        <v>188.64000000000019</v>
      </c>
      <c r="M24" s="7">
        <f t="shared" ca="1" si="5"/>
        <v>1359.14</v>
      </c>
      <c r="N24" s="7">
        <f t="shared" ca="1" si="5"/>
        <v>549.06000000000006</v>
      </c>
      <c r="O24" s="7">
        <f t="shared" ca="1" si="5"/>
        <v>341.96999999999991</v>
      </c>
      <c r="Q24" s="24" t="str">
        <v>INTU US EQUITY</v>
      </c>
      <c r="R24" s="24">
        <v>0</v>
      </c>
      <c r="S24" s="25">
        <v>0</v>
      </c>
      <c r="T24" s="26">
        <v>0</v>
      </c>
      <c r="U24" s="27" t="str">
        <v/>
      </c>
      <c r="V24" s="28" t="str">
        <v/>
      </c>
      <c r="W24" s="29" t="str">
        <v/>
      </c>
      <c r="X24" s="28" t="str">
        <v/>
      </c>
      <c r="Y24" s="29" t="str">
        <v/>
      </c>
    </row>
    <row r="25" spans="1:25" x14ac:dyDescent="0.45">
      <c r="C25" s="4" t="s">
        <v>19</v>
      </c>
      <c r="D25" s="1"/>
      <c r="K25" s="7"/>
      <c r="L25" s="7"/>
      <c r="M25" s="7"/>
      <c r="N25" s="7"/>
      <c r="O25" s="7"/>
      <c r="Q25" s="24" t="str">
        <v>INTU US EQUITY</v>
      </c>
      <c r="R25" s="24">
        <v>0</v>
      </c>
      <c r="S25" s="25">
        <v>0</v>
      </c>
      <c r="T25" s="26">
        <v>0</v>
      </c>
      <c r="U25" s="27" t="str">
        <v/>
      </c>
      <c r="V25" s="28" t="str">
        <v/>
      </c>
      <c r="W25" s="29" t="str">
        <v/>
      </c>
      <c r="X25" s="28" t="str">
        <v/>
      </c>
      <c r="Y25" s="29" t="str">
        <v/>
      </c>
    </row>
    <row r="26" spans="1:25" x14ac:dyDescent="0.4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INTU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45">
      <c r="C27" s="4" t="s">
        <v>5</v>
      </c>
      <c r="D27" s="1"/>
      <c r="K27" s="7"/>
      <c r="L27" s="7">
        <f ca="1">(L23-K23)*100</f>
        <v>3301.1800000000003</v>
      </c>
      <c r="M27" s="7">
        <f ca="1">(M23-L23)*100</f>
        <v>-3912.63</v>
      </c>
      <c r="N27" s="7">
        <f ca="1">(N23-M23)*100</f>
        <v>489.63</v>
      </c>
      <c r="O27" s="7">
        <f ca="1">(O23-N23)*100</f>
        <v>463.78999999999985</v>
      </c>
      <c r="Q27" s="24" t="str">
        <v>INTU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45">
      <c r="C28" s="4"/>
      <c r="D28" s="1"/>
      <c r="K28" s="7"/>
      <c r="L28" s="7"/>
      <c r="M28" s="7"/>
      <c r="N28" s="7"/>
      <c r="O28" s="7"/>
      <c r="Q28" s="24" t="str">
        <v>INTU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45">
      <c r="C29" s="13"/>
      <c r="D29" s="14">
        <f t="shared" ref="D29:L29" si="6">EOMONTH(DATE(YEAR(D30),ROUNDUP(MONTH(D30)/3,0)*3,1),0)</f>
        <v>45107</v>
      </c>
      <c r="E29" s="14">
        <f t="shared" si="6"/>
        <v>45199</v>
      </c>
      <c r="F29" s="14">
        <f t="shared" si="6"/>
        <v>45291</v>
      </c>
      <c r="G29" s="14">
        <f t="shared" si="6"/>
        <v>45382</v>
      </c>
      <c r="H29" s="14">
        <f t="shared" si="6"/>
        <v>45473</v>
      </c>
      <c r="I29" s="14">
        <f t="shared" si="6"/>
        <v>45565</v>
      </c>
      <c r="J29" s="14">
        <f t="shared" si="6"/>
        <v>45657</v>
      </c>
      <c r="K29" s="14">
        <f t="shared" si="6"/>
        <v>45747</v>
      </c>
      <c r="L29" s="14">
        <f t="shared" si="6"/>
        <v>45838</v>
      </c>
      <c r="M29" s="14">
        <f>EOMONTH(DATE(YEAR(M30),ROUNDUP(MONTH(M30)/3,0)*3,1),0)</f>
        <v>45930</v>
      </c>
      <c r="N29" s="14">
        <f>EOMONTH(DATE(YEAR(N30),ROUNDUP(MONTH(N30)/3,0)*3,1),0)</f>
        <v>46022</v>
      </c>
      <c r="O29" s="14">
        <f>EOMONTH(DATE(YEAR(O30),ROUNDUP(MONTH(O30)/3,0)*3,1),0)</f>
        <v>46112</v>
      </c>
      <c r="Q29" s="24" t="str">
        <v>INTU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45">
      <c r="D30" s="2">
        <v>45046</v>
      </c>
      <c r="E30" s="2">
        <v>45138</v>
      </c>
      <c r="F30" s="2">
        <v>45230</v>
      </c>
      <c r="G30" s="2">
        <v>45322</v>
      </c>
      <c r="H30" s="2">
        <v>45412</v>
      </c>
      <c r="I30" s="2">
        <v>45504</v>
      </c>
      <c r="J30" s="2">
        <v>45596</v>
      </c>
      <c r="K30" s="2">
        <v>45688</v>
      </c>
      <c r="L30" s="2">
        <v>45777</v>
      </c>
      <c r="M30" s="2">
        <v>45869</v>
      </c>
      <c r="N30" s="2">
        <v>45961</v>
      </c>
      <c r="O30" s="2">
        <v>46053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INTU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45">
      <c r="A31" s="16" t="s">
        <v>21</v>
      </c>
      <c r="B31" s="16" t="s">
        <v>60</v>
      </c>
      <c r="C31" s="2" t="s">
        <v>63</v>
      </c>
      <c r="D31" s="32">
        <v>2021</v>
      </c>
      <c r="E31" s="32">
        <v>2132</v>
      </c>
      <c r="F31" s="32">
        <v>2344</v>
      </c>
      <c r="G31" s="32">
        <v>2245</v>
      </c>
      <c r="H31" s="32">
        <v>2387</v>
      </c>
      <c r="I31" s="32">
        <v>2557</v>
      </c>
      <c r="J31" s="32">
        <v>2544</v>
      </c>
      <c r="K31" s="32">
        <v>2671</v>
      </c>
      <c r="L31" s="32">
        <v>2849</v>
      </c>
      <c r="M31" s="32">
        <v>3013</v>
      </c>
      <c r="N31" s="32">
        <v>2991</v>
      </c>
      <c r="O31" s="32">
        <v>3164</v>
      </c>
      <c r="Q31" s="24" t="str">
        <v>INTU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45">
      <c r="C32" s="4" t="s">
        <v>4</v>
      </c>
      <c r="D32" s="5"/>
      <c r="E32" s="4"/>
      <c r="F32" s="4"/>
      <c r="G32" s="12"/>
      <c r="H32" s="12">
        <f t="shared" ref="H32" si="7">+H31/D31-1</f>
        <v>0.18109846610588809</v>
      </c>
      <c r="I32" s="12">
        <f t="shared" ref="I32" si="8">+I31/E31-1</f>
        <v>0.19934333958724193</v>
      </c>
      <c r="J32" s="12">
        <f t="shared" ref="J32" si="9">+J31/F31-1</f>
        <v>8.53242320819112E-2</v>
      </c>
      <c r="K32" s="12">
        <f t="shared" ref="K32" si="10">+K31/G31-1</f>
        <v>0.18975501113585747</v>
      </c>
      <c r="L32" s="12">
        <f t="shared" ref="L32" si="11">+L31/H31-1</f>
        <v>0.19354838709677424</v>
      </c>
      <c r="M32" s="12">
        <f t="shared" ref="M32" si="12">+M31/I31-1</f>
        <v>0.17833398513883458</v>
      </c>
      <c r="N32" s="12">
        <f t="shared" ref="N32" si="13">+N31/J31-1</f>
        <v>0.1757075471698113</v>
      </c>
      <c r="O32" s="12">
        <f t="shared" ref="O32" si="14">+O31/K31-1</f>
        <v>0.18457506551853231</v>
      </c>
      <c r="Q32" s="24" t="str">
        <v>INTU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45">
      <c r="C33" s="4" t="s">
        <v>19</v>
      </c>
      <c r="D33" s="1"/>
      <c r="L33" s="7">
        <f>(L32-K32)*10000</f>
        <v>37.93375960916778</v>
      </c>
      <c r="M33" s="7">
        <f>(M32-L32)*10000</f>
        <v>-152.1440195793966</v>
      </c>
      <c r="N33" s="7">
        <f>(N32-M32)*10000</f>
        <v>-26.264379690232875</v>
      </c>
      <c r="O33" s="7">
        <f>(O32-N32)*10000</f>
        <v>88.675183487210148</v>
      </c>
      <c r="Q33" s="24" t="str">
        <v>INTU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45">
      <c r="C34" s="4" t="s">
        <v>23</v>
      </c>
      <c r="D34" s="1"/>
      <c r="E34" s="6"/>
      <c r="F34" s="6"/>
      <c r="G34" s="6"/>
      <c r="H34" s="6"/>
      <c r="I34" s="6"/>
      <c r="J34" s="6"/>
      <c r="K34" s="6"/>
      <c r="L34" s="7">
        <f>(L32-H32)*10000</f>
        <v>124.49920990886154</v>
      </c>
      <c r="M34" s="7">
        <f>(M32-I32)*10000</f>
        <v>-210.09354448407348</v>
      </c>
      <c r="N34" s="7">
        <f>(N32-J32)*10000</f>
        <v>903.83315087900098</v>
      </c>
      <c r="O34" s="7">
        <f>(O32-K32)*10000</f>
        <v>-51.799456173251542</v>
      </c>
    </row>
    <row r="35" spans="1:25" x14ac:dyDescent="0.45">
      <c r="C35" s="4" t="s">
        <v>5</v>
      </c>
      <c r="D35" s="1"/>
      <c r="L35" s="12">
        <f>L31/K31-1</f>
        <v>6.6641707225758129E-2</v>
      </c>
      <c r="M35" s="12">
        <f>M31/L31-1</f>
        <v>5.7564057564057469E-2</v>
      </c>
      <c r="N35" s="12">
        <f>N31/M31-1</f>
        <v>-7.3016926651178204E-3</v>
      </c>
      <c r="O35" s="12">
        <f>O31/N31-1</f>
        <v>5.7840187228351825E-2</v>
      </c>
    </row>
    <row r="36" spans="1:25" x14ac:dyDescent="0.45">
      <c r="C36" s="4"/>
      <c r="D36" s="1"/>
      <c r="L36" s="7"/>
      <c r="M36" s="7"/>
      <c r="N36" s="7"/>
      <c r="O36" s="7"/>
    </row>
    <row r="37" spans="1:25" x14ac:dyDescent="0.45">
      <c r="C37" s="13"/>
      <c r="D37" s="14">
        <f t="shared" ref="D37:L37" si="15">EOMONTH(DATE(YEAR(D38),ROUNDUP(MONTH(D38)/3,0)*3,1),0)</f>
        <v>45107</v>
      </c>
      <c r="E37" s="14">
        <f t="shared" si="15"/>
        <v>45199</v>
      </c>
      <c r="F37" s="14">
        <f t="shared" si="15"/>
        <v>45291</v>
      </c>
      <c r="G37" s="14">
        <f t="shared" si="15"/>
        <v>45382</v>
      </c>
      <c r="H37" s="14">
        <f t="shared" si="15"/>
        <v>45473</v>
      </c>
      <c r="I37" s="14">
        <f t="shared" si="15"/>
        <v>45565</v>
      </c>
      <c r="J37" s="14">
        <f t="shared" si="15"/>
        <v>45657</v>
      </c>
      <c r="K37" s="14">
        <f t="shared" si="15"/>
        <v>45747</v>
      </c>
      <c r="L37" s="14">
        <f t="shared" si="15"/>
        <v>45838</v>
      </c>
      <c r="M37" s="14">
        <f>EOMONTH(DATE(YEAR(M38),ROUNDUP(MONTH(M38)/3,0)*3,1),0)</f>
        <v>45930</v>
      </c>
      <c r="N37" s="14">
        <f>EOMONTH(DATE(YEAR(N38),ROUNDUP(MONTH(N38)/3,0)*3,1),0)</f>
        <v>46022</v>
      </c>
      <c r="O37" s="14">
        <f>EOMONTH(DATE(YEAR(O38),ROUNDUP(MONTH(O38)/3,0)*3,1),0)</f>
        <v>46112</v>
      </c>
    </row>
    <row r="38" spans="1:25" x14ac:dyDescent="0.45">
      <c r="D38" s="2">
        <v>45046</v>
      </c>
      <c r="E38" s="2">
        <v>45138</v>
      </c>
      <c r="F38" s="2">
        <v>45230</v>
      </c>
      <c r="G38" s="2">
        <v>45322</v>
      </c>
      <c r="H38" s="2">
        <v>45412</v>
      </c>
      <c r="I38" s="2">
        <v>45504</v>
      </c>
      <c r="J38" s="2">
        <v>45596</v>
      </c>
      <c r="K38" s="2">
        <v>45688</v>
      </c>
      <c r="L38" s="2">
        <v>45777</v>
      </c>
      <c r="M38" s="2">
        <v>45869</v>
      </c>
      <c r="N38" s="2">
        <v>45961</v>
      </c>
      <c r="O38" s="2">
        <v>46053</v>
      </c>
    </row>
    <row r="39" spans="1:25" x14ac:dyDescent="0.45">
      <c r="A39" s="16" t="s">
        <v>21</v>
      </c>
      <c r="B39" s="16" t="s">
        <v>61</v>
      </c>
      <c r="C39" s="2" t="s">
        <v>62</v>
      </c>
      <c r="D39" s="32">
        <v>3361</v>
      </c>
      <c r="E39" s="32">
        <v>138</v>
      </c>
      <c r="F39" s="32">
        <v>196</v>
      </c>
      <c r="G39" s="32">
        <v>502</v>
      </c>
      <c r="H39" s="32">
        <v>3684</v>
      </c>
      <c r="I39" s="32">
        <v>126</v>
      </c>
      <c r="J39" s="32">
        <v>187</v>
      </c>
      <c r="K39" s="32">
        <v>520</v>
      </c>
      <c r="L39" s="32">
        <v>4078</v>
      </c>
      <c r="M39" s="32">
        <v>148</v>
      </c>
      <c r="N39" s="32">
        <v>198</v>
      </c>
      <c r="O39" s="32">
        <v>581</v>
      </c>
    </row>
    <row r="40" spans="1:25" x14ac:dyDescent="0.45">
      <c r="C40" s="4" t="s">
        <v>4</v>
      </c>
      <c r="D40" s="5"/>
      <c r="E40" s="4"/>
      <c r="F40" s="4"/>
      <c r="G40" s="12"/>
      <c r="H40" s="12">
        <f t="shared" ref="H40:O40" si="16">+H39/D39-1</f>
        <v>9.6102350490925303E-2</v>
      </c>
      <c r="I40" s="12">
        <f t="shared" si="16"/>
        <v>-8.6956521739130488E-2</v>
      </c>
      <c r="J40" s="12">
        <f t="shared" si="16"/>
        <v>-4.5918367346938771E-2</v>
      </c>
      <c r="K40" s="12">
        <f t="shared" si="16"/>
        <v>3.5856573705179251E-2</v>
      </c>
      <c r="L40" s="12">
        <f t="shared" si="16"/>
        <v>0.10694896851248648</v>
      </c>
      <c r="M40" s="12">
        <f t="shared" si="16"/>
        <v>0.17460317460317465</v>
      </c>
      <c r="N40" s="12">
        <f t="shared" si="16"/>
        <v>5.8823529411764719E-2</v>
      </c>
      <c r="O40" s="12">
        <f t="shared" si="16"/>
        <v>0.11730769230769234</v>
      </c>
    </row>
    <row r="41" spans="1:25" x14ac:dyDescent="0.45">
      <c r="C41" s="4" t="s">
        <v>19</v>
      </c>
      <c r="D41" s="1"/>
      <c r="L41" s="7">
        <f>(L40-K40)*10000</f>
        <v>710.92394807307221</v>
      </c>
      <c r="M41" s="7">
        <f>(M40-L40)*10000</f>
        <v>676.54206090688172</v>
      </c>
      <c r="N41" s="7">
        <f>(N40-M40)*10000</f>
        <v>-1157.7964519140994</v>
      </c>
      <c r="O41" s="7">
        <f>(O40-N40)*10000</f>
        <v>584.84162895927614</v>
      </c>
    </row>
    <row r="42" spans="1:25" x14ac:dyDescent="0.45">
      <c r="C42" s="4" t="s">
        <v>23</v>
      </c>
      <c r="D42" s="1"/>
      <c r="E42" s="6"/>
      <c r="F42" s="6"/>
      <c r="G42" s="6"/>
      <c r="H42" s="6"/>
      <c r="I42" s="6"/>
      <c r="J42" s="6"/>
      <c r="K42" s="6"/>
      <c r="L42" s="7">
        <f>(L40-H40)*10000</f>
        <v>108.46618021561171</v>
      </c>
      <c r="M42" s="7">
        <f>(M40-I40)*10000</f>
        <v>2615.5969634230514</v>
      </c>
      <c r="N42" s="7">
        <f>(N40-J40)*10000</f>
        <v>1047.4189675870348</v>
      </c>
      <c r="O42" s="7">
        <f>(O40-K40)*10000</f>
        <v>814.51118602513088</v>
      </c>
    </row>
    <row r="43" spans="1:25" x14ac:dyDescent="0.45">
      <c r="C43" s="4" t="s">
        <v>5</v>
      </c>
      <c r="D43" s="1"/>
      <c r="L43" s="12">
        <f>L39/K39-1</f>
        <v>6.842307692307692</v>
      </c>
      <c r="M43" s="12">
        <f>M39/L39-1</f>
        <v>-0.96370769985286908</v>
      </c>
      <c r="N43" s="12">
        <f>N39/M39-1</f>
        <v>0.33783783783783794</v>
      </c>
      <c r="O43" s="12">
        <f>O39/N39-1</f>
        <v>1.9343434343434343</v>
      </c>
    </row>
    <row r="44" spans="1:25" x14ac:dyDescent="0.45">
      <c r="C44" s="4"/>
      <c r="D44" s="1"/>
      <c r="G44" s="1"/>
    </row>
    <row r="45" spans="1:25" x14ac:dyDescent="0.45"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25" x14ac:dyDescent="0.45"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25" x14ac:dyDescent="0.45">
      <c r="A47" s="16"/>
      <c r="B47" s="16"/>
      <c r="C47" s="2"/>
      <c r="D47" s="34"/>
      <c r="E47" s="34"/>
      <c r="F47" s="34"/>
      <c r="G47" s="35"/>
      <c r="H47" s="35"/>
      <c r="I47" s="35"/>
      <c r="J47" s="35"/>
      <c r="K47" s="35"/>
      <c r="L47" s="35"/>
      <c r="M47" s="35"/>
      <c r="N47" s="35"/>
      <c r="O47" s="35"/>
    </row>
    <row r="48" spans="1:25" x14ac:dyDescent="0.45">
      <c r="C48" s="4"/>
      <c r="D48" s="5"/>
      <c r="E48" s="4"/>
      <c r="F48" s="4"/>
      <c r="G48" s="4"/>
      <c r="H48" s="7"/>
      <c r="I48" s="7"/>
      <c r="J48" s="7"/>
      <c r="K48" s="7"/>
      <c r="L48" s="7"/>
      <c r="M48" s="7"/>
      <c r="N48" s="7"/>
      <c r="O48" s="7"/>
    </row>
    <row r="49" spans="1:15" x14ac:dyDescent="0.45">
      <c r="C49" s="4"/>
      <c r="D49" s="1"/>
      <c r="K49" s="7"/>
      <c r="L49" s="7"/>
      <c r="M49" s="7"/>
      <c r="N49" s="7"/>
      <c r="O49" s="7"/>
    </row>
    <row r="50" spans="1:15" x14ac:dyDescent="0.45">
      <c r="C50" s="4"/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45">
      <c r="C51" s="4"/>
      <c r="D51" s="1"/>
      <c r="K51" s="7"/>
      <c r="L51" s="7"/>
      <c r="M51" s="7"/>
      <c r="N51" s="7"/>
      <c r="O51" s="7"/>
    </row>
    <row r="52" spans="1:15" x14ac:dyDescent="0.45">
      <c r="C52" s="4"/>
      <c r="D52" s="1"/>
      <c r="G52" s="1"/>
    </row>
    <row r="53" spans="1:15" x14ac:dyDescent="0.4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4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4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4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45">
      <c r="C57" s="4"/>
      <c r="D57" s="1"/>
      <c r="K57" s="7"/>
      <c r="L57" s="7"/>
      <c r="M57" s="7"/>
      <c r="N57" s="7"/>
      <c r="O57" s="7"/>
    </row>
    <row r="58" spans="1:15" x14ac:dyDescent="0.4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45">
      <c r="C59" s="4"/>
      <c r="D59" s="1"/>
      <c r="K59" s="7"/>
      <c r="L59" s="7"/>
      <c r="M59" s="7"/>
      <c r="N59" s="7"/>
      <c r="O59" s="7"/>
    </row>
    <row r="64" spans="1:15" x14ac:dyDescent="0.4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45">
      <c r="C65" s="4"/>
      <c r="D65" s="1"/>
      <c r="K65" s="7"/>
      <c r="L65" s="7"/>
      <c r="M65" s="7"/>
      <c r="N65" s="7"/>
      <c r="O65" s="7"/>
    </row>
    <row r="66" spans="3:15" x14ac:dyDescent="0.4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4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4B6EA-83AD-44B4-A5C5-9E6332D9EF79}">
  <dimension ref="A1:Y67"/>
  <sheetViews>
    <sheetView topLeftCell="B1" zoomScale="85" zoomScaleNormal="85" workbookViewId="0">
      <pane xSplit="2" topLeftCell="D1" activePane="topRight" state="frozen"/>
      <selection activeCell="B1" sqref="B1"/>
      <selection pane="topRight" activeCell="L37" sqref="L37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6" width="10.1328125" bestFit="1" customWidth="1"/>
    <col min="7" max="7" width="10.59765625" bestFit="1" customWidth="1"/>
    <col min="8" max="10" width="10.1328125" bestFit="1" customWidth="1"/>
    <col min="11" max="11" width="10.59765625" bestFit="1" customWidth="1"/>
    <col min="12" max="12" width="10.1328125" bestFit="1" customWidth="1"/>
    <col min="13" max="15" width="10.265625" bestFit="1" customWidth="1"/>
    <col min="16" max="16" width="9" customWidth="1"/>
    <col min="17" max="17" width="12.3984375" bestFit="1" customWidth="1"/>
    <col min="18" max="18" width="14.3984375" bestFit="1" customWidth="1"/>
    <col min="19" max="19" width="8.59765625" bestFit="1" customWidth="1"/>
    <col min="20" max="20" width="20.265625" bestFit="1" customWidth="1"/>
    <col min="21" max="21" width="7.3984375" bestFit="1" customWidth="1"/>
    <col min="22" max="22" width="10.73046875" bestFit="1" customWidth="1"/>
    <col min="23" max="23" width="9.1328125" bestFit="1" customWidth="1"/>
    <col min="24" max="24" width="10.3984375" bestFit="1" customWidth="1"/>
    <col min="25" max="25" width="9.1328125" bestFit="1" customWidth="1"/>
  </cols>
  <sheetData>
    <row r="1" spans="1:25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45">
      <c r="A2" s="17" t="s">
        <v>1</v>
      </c>
      <c r="B2" s="31" t="s">
        <v>64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LAW US EQUITY</v>
      </c>
      <c r="R2" s="24">
        <f ca="1"/>
        <v>45747</v>
      </c>
      <c r="S2" s="25" t="str">
        <f ca="1"/>
        <v>canonical</v>
      </c>
      <c r="T2" s="26" t="str">
        <f ca="1"/>
        <v>revenue</v>
      </c>
      <c r="U2" s="27" t="str">
        <f ca="1"/>
        <v>36.653</v>
      </c>
      <c r="V2" s="28" t="str">
        <f ca="1"/>
        <v>0.0304180371651064</v>
      </c>
      <c r="W2" s="29" t="str">
        <f ca="1"/>
        <v>-47.5067191664635</v>
      </c>
      <c r="X2" s="28" t="str">
        <f ca="1"/>
        <v>-432.938164978476</v>
      </c>
      <c r="Y2" s="29" t="str">
        <f ca="1"/>
        <v>-0.00935160409740809</v>
      </c>
    </row>
    <row r="3" spans="1:25" x14ac:dyDescent="0.45">
      <c r="A3" s="18" t="s">
        <v>3</v>
      </c>
      <c r="B3" s="19">
        <f ca="1">+B4-365*3</f>
        <v>45001</v>
      </c>
      <c r="Q3" s="24" t="str">
        <f ca="1"/>
        <v>LAW US EQUITY</v>
      </c>
      <c r="R3" s="24">
        <f ca="1"/>
        <v>45838</v>
      </c>
      <c r="S3" s="25" t="str">
        <f ca="1"/>
        <v>canonical</v>
      </c>
      <c r="T3" s="26" t="str">
        <f ca="1"/>
        <v>revenue</v>
      </c>
      <c r="U3" s="27" t="str">
        <f ca="1"/>
        <v>38.106</v>
      </c>
      <c r="V3" s="28" t="str">
        <f ca="1"/>
        <v>0.0583530065268711</v>
      </c>
      <c r="W3" s="29" t="str">
        <f ca="1"/>
        <v>279.349693617648</v>
      </c>
      <c r="X3" s="29" t="str">
        <f ca="1"/>
        <v>79.0954754682693</v>
      </c>
      <c r="Y3" s="29" t="str">
        <f ca="1"/>
        <v>0.0396420483998583</v>
      </c>
    </row>
    <row r="4" spans="1:25" x14ac:dyDescent="0.45">
      <c r="A4" s="20" t="s">
        <v>2</v>
      </c>
      <c r="B4" s="21">
        <f ca="1">TODAY()</f>
        <v>46096</v>
      </c>
      <c r="Q4" s="24" t="str">
        <f ca="1"/>
        <v>LAW US EQUITY</v>
      </c>
      <c r="R4" s="24">
        <f ca="1"/>
        <v>45930</v>
      </c>
      <c r="S4" s="25" t="str">
        <f ca="1"/>
        <v>canonical</v>
      </c>
      <c r="T4" s="26" t="str">
        <f ca="1"/>
        <v>revenue</v>
      </c>
      <c r="U4" s="27" t="str">
        <f ca="1"/>
        <v>40.919</v>
      </c>
      <c r="V4" s="28" t="str">
        <f ca="1"/>
        <v>0.12830199084542</v>
      </c>
      <c r="W4" s="29" t="str">
        <f ca="1"/>
        <v>699.489843185488</v>
      </c>
      <c r="X4" s="29" t="str">
        <f ca="1"/>
        <v>904.403304270243</v>
      </c>
      <c r="Y4" s="29" t="str">
        <f ca="1"/>
        <v>0.0738203957382038</v>
      </c>
    </row>
    <row r="5" spans="1:25" x14ac:dyDescent="0.45">
      <c r="C5" s="13" t="s">
        <v>12</v>
      </c>
      <c r="D5" s="14">
        <f t="shared" ref="D5:O5" ca="1" si="0">EOMONTH(DATE(YEAR(D6),ROUNDUP(MONTH(D6)/3,0)*3,1),0)</f>
        <v>45016</v>
      </c>
      <c r="E5" s="14">
        <f t="shared" ca="1" si="0"/>
        <v>45107</v>
      </c>
      <c r="F5" s="14">
        <f t="shared" ca="1" si="0"/>
        <v>45199</v>
      </c>
      <c r="G5" s="14">
        <f t="shared" ca="1" si="0"/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t="shared" ca="1" si="0"/>
        <v>45747</v>
      </c>
      <c r="M5" s="14">
        <f t="shared" ca="1" si="0"/>
        <v>45838</v>
      </c>
      <c r="N5" s="14">
        <f t="shared" ca="1" si="0"/>
        <v>45930</v>
      </c>
      <c r="O5" s="14">
        <f t="shared" ca="1" si="0"/>
        <v>46022</v>
      </c>
      <c r="Q5" s="24" t="str">
        <f ca="1"/>
        <v>LAW US EQUITY</v>
      </c>
      <c r="R5" s="24">
        <f ca="1"/>
        <v>46022</v>
      </c>
      <c r="S5" s="25" t="str">
        <f ca="1"/>
        <v>canonical</v>
      </c>
      <c r="T5" s="26" t="str">
        <f ca="1"/>
        <v>revenue</v>
      </c>
      <c r="U5" s="27" t="str">
        <f ca="1"/>
        <v>41.171</v>
      </c>
      <c r="V5" s="28" t="str">
        <f ca="1"/>
        <v>0.112759804319036</v>
      </c>
      <c r="W5" s="29" t="str">
        <f ca="1"/>
        <v>-155.421865263843</v>
      </c>
      <c r="X5" s="29" t="str">
        <f ca="1"/>
        <v>775.910952372829</v>
      </c>
      <c r="Y5" s="29" t="str">
        <f ca="1"/>
        <v>0.00615850827244069</v>
      </c>
    </row>
    <row r="6" spans="1:25" x14ac:dyDescent="0.45">
      <c r="D6" s="15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LAW US EQUITY</v>
      </c>
      <c r="R6" s="24">
        <f ca="1"/>
        <v>45747</v>
      </c>
      <c r="S6" s="25" t="str">
        <f ca="1"/>
        <v>canonical</v>
      </c>
      <c r="T6" s="26" t="str">
        <f ca="1"/>
        <v>gross_margin_gaap</v>
      </c>
      <c r="U6" s="30" t="str">
        <f ca="1"/>
        <v>74.0731</v>
      </c>
      <c r="V6" s="29" t="str">
        <f ca="1"/>
        <v>-104.15</v>
      </c>
      <c r="W6" s="29" t="str">
        <f ca="1"/>
        <v/>
      </c>
      <c r="X6" s="29" t="str">
        <f ca="1"/>
        <v/>
      </c>
      <c r="Y6" s="29" t="str">
        <f ca="1"/>
        <v>-15.8600000000007</v>
      </c>
    </row>
    <row r="7" spans="1:25" x14ac:dyDescent="0.45">
      <c r="A7" s="16" t="s">
        <v>9</v>
      </c>
      <c r="B7" s="16" t="s">
        <v>8</v>
      </c>
      <c r="C7" s="9" t="s">
        <v>0</v>
      </c>
      <c r="D7" s="11">
        <f ca="1"/>
        <v>33.128999999999998</v>
      </c>
      <c r="E7" s="11">
        <f ca="1"/>
        <v>34.276000000000003</v>
      </c>
      <c r="F7" s="11">
        <f ca="1"/>
        <v>34.942999999999998</v>
      </c>
      <c r="G7" s="11">
        <f ca="1"/>
        <v>35.741999999999997</v>
      </c>
      <c r="H7" s="11">
        <f ca="1"/>
        <v>35.570999999999998</v>
      </c>
      <c r="I7" s="11">
        <f ca="1"/>
        <v>36.005000000000003</v>
      </c>
      <c r="J7" s="11">
        <f ca="1"/>
        <v>36.265999999999998</v>
      </c>
      <c r="K7" s="11">
        <f ca="1"/>
        <v>36.999000000000002</v>
      </c>
      <c r="L7" s="11">
        <f ca="1"/>
        <v>36.652999999999999</v>
      </c>
      <c r="M7" s="11">
        <f ca="1"/>
        <v>38.106000000000002</v>
      </c>
      <c r="N7" s="11">
        <f ca="1"/>
        <v>40.918999999999997</v>
      </c>
      <c r="O7" s="3">
        <f ca="1"/>
        <v>41.170999999999999</v>
      </c>
      <c r="P7" s="1"/>
      <c r="Q7" s="24" t="str">
        <f ca="1"/>
        <v>LAW US EQUITY</v>
      </c>
      <c r="R7" s="24">
        <f ca="1"/>
        <v>45838</v>
      </c>
      <c r="S7" s="25" t="str">
        <f ca="1"/>
        <v>canonical</v>
      </c>
      <c r="T7" s="26" t="str">
        <f ca="1"/>
        <v>gross_margin_gaap</v>
      </c>
      <c r="U7" s="30" t="str">
        <f ca="1"/>
        <v>74.5893</v>
      </c>
      <c r="V7" s="29" t="str">
        <f ca="1"/>
        <v>38.57</v>
      </c>
      <c r="W7" s="29" t="str">
        <f ca="1"/>
        <v/>
      </c>
      <c r="X7" s="29" t="str">
        <f ca="1"/>
        <v/>
      </c>
      <c r="Y7" s="29" t="str">
        <f ca="1"/>
        <v>51.6199999999998</v>
      </c>
    </row>
    <row r="8" spans="1:25" x14ac:dyDescent="0.45">
      <c r="C8" s="4" t="s">
        <v>4</v>
      </c>
      <c r="D8" s="5"/>
      <c r="E8" s="4"/>
      <c r="F8" s="4"/>
      <c r="G8" s="12"/>
      <c r="H8" s="12">
        <f t="shared" ref="H8:O8" ca="1" si="1">+H7/D7-1</f>
        <v>7.3711853662953963E-2</v>
      </c>
      <c r="I8" s="12">
        <f t="shared" ca="1" si="1"/>
        <v>5.0443458980044209E-2</v>
      </c>
      <c r="J8" s="12">
        <f t="shared" ca="1" si="1"/>
        <v>3.7861660418395671E-2</v>
      </c>
      <c r="K8" s="12">
        <f t="shared" ca="1" si="1"/>
        <v>3.5168709081752736E-2</v>
      </c>
      <c r="L8" s="12">
        <f t="shared" ca="1" si="1"/>
        <v>3.0418037165106382E-2</v>
      </c>
      <c r="M8" s="12">
        <f t="shared" ca="1" si="1"/>
        <v>5.8353006526871143E-2</v>
      </c>
      <c r="N8" s="12">
        <f t="shared" ca="1" si="1"/>
        <v>0.12830199084541993</v>
      </c>
      <c r="O8" s="12">
        <f t="shared" ca="1" si="1"/>
        <v>0.11275980431903565</v>
      </c>
      <c r="P8" s="3"/>
      <c r="Q8" s="24" t="str">
        <f ca="1"/>
        <v>LAW US EQUITY</v>
      </c>
      <c r="R8" s="24">
        <f ca="1"/>
        <v>45930</v>
      </c>
      <c r="S8" s="25" t="str">
        <f ca="1"/>
        <v>canonical</v>
      </c>
      <c r="T8" s="26" t="str">
        <f ca="1"/>
        <v>gross_margin_gaap</v>
      </c>
      <c r="U8" s="30" t="str">
        <f ca="1"/>
        <v>75.5419</v>
      </c>
      <c r="V8" s="29" t="str">
        <f ca="1"/>
        <v>239.9</v>
      </c>
      <c r="W8" s="29" t="str">
        <f ca="1"/>
        <v/>
      </c>
      <c r="X8" s="29" t="str">
        <f ca="1"/>
        <v/>
      </c>
      <c r="Y8" s="29" t="str">
        <f ca="1"/>
        <v>95.2600000000004</v>
      </c>
    </row>
    <row r="9" spans="1:25" x14ac:dyDescent="0.45">
      <c r="C9" s="4" t="s">
        <v>19</v>
      </c>
      <c r="D9" s="1"/>
      <c r="L9" s="7">
        <f ca="1">(L8-K8)*10000</f>
        <v>-47.50671916646354</v>
      </c>
      <c r="M9" s="7">
        <f ca="1">(M8-L8)*10000</f>
        <v>279.34969361764763</v>
      </c>
      <c r="N9" s="7">
        <f ca="1">(N8-M8)*10000</f>
        <v>699.48984318548787</v>
      </c>
      <c r="O9" s="7">
        <f ca="1">(O8-N8)*10000</f>
        <v>-155.42186526384282</v>
      </c>
      <c r="Q9" s="22" t="str">
        <f ca="1"/>
        <v>LAW US EQUITY</v>
      </c>
      <c r="R9" s="24">
        <f ca="1"/>
        <v>46022</v>
      </c>
      <c r="S9" s="25" t="str">
        <f ca="1"/>
        <v>canonical</v>
      </c>
      <c r="T9" s="26" t="str">
        <f ca="1"/>
        <v>gross_margin_gaap</v>
      </c>
      <c r="U9" s="30" t="str">
        <f ca="1"/>
        <v>75.15</v>
      </c>
      <c r="V9" s="29" t="str">
        <f ca="1"/>
        <v>91.8300000000002</v>
      </c>
      <c r="W9" s="29" t="str">
        <f ca="1"/>
        <v/>
      </c>
      <c r="X9" s="29" t="str">
        <f ca="1"/>
        <v/>
      </c>
      <c r="Y9" s="29" t="str">
        <f ca="1"/>
        <v>-39.1899999999993</v>
      </c>
    </row>
    <row r="10" spans="1:25" x14ac:dyDescent="0.4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-432.93816497847581</v>
      </c>
      <c r="M10" s="7">
        <f ca="1">(M8-I8)*10000</f>
        <v>79.095475468269342</v>
      </c>
      <c r="N10" s="7">
        <f ca="1">(N8-J8)*10000</f>
        <v>904.40330427024264</v>
      </c>
      <c r="O10" s="7">
        <f ca="1">(O8-K8)*10000</f>
        <v>775.91095237282912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LAW US EQUITY</v>
      </c>
      <c r="R10" s="24">
        <f ca="1"/>
        <v>45747</v>
      </c>
      <c r="S10" s="25" t="str">
        <f ca="1"/>
        <v>canonical</v>
      </c>
      <c r="T10" s="26" t="str">
        <f ca="1"/>
        <v>operating_margin_gaap</v>
      </c>
      <c r="U10" s="30" t="str">
        <f ca="1"/>
        <v>-34.4037</v>
      </c>
      <c r="V10" s="29" t="str">
        <f ca="1"/>
        <v>26.5000000000001</v>
      </c>
      <c r="W10" s="29" t="str">
        <f ca="1"/>
        <v/>
      </c>
      <c r="X10" s="29" t="str">
        <f ca="1"/>
        <v/>
      </c>
      <c r="Y10" s="29" t="str">
        <f ca="1"/>
        <v>3621.98</v>
      </c>
    </row>
    <row r="11" spans="1:25" x14ac:dyDescent="0.45">
      <c r="C11" s="4" t="s">
        <v>5</v>
      </c>
      <c r="D11" s="1"/>
      <c r="L11" s="12">
        <f ca="1">L7/K7-1</f>
        <v>-9.351604097408095E-3</v>
      </c>
      <c r="M11" s="12">
        <f ca="1">M7/L7-1</f>
        <v>3.9642048399858298E-2</v>
      </c>
      <c r="N11" s="12">
        <f ca="1">N7/M7-1</f>
        <v>7.3820395738203759E-2</v>
      </c>
      <c r="O11" s="12">
        <f ca="1">O7/N7-1</f>
        <v>6.1585082724406881E-3</v>
      </c>
      <c r="Q11" s="24" t="str">
        <f ca="1"/>
        <v>LAW US EQUITY</v>
      </c>
      <c r="R11" s="24">
        <f ca="1"/>
        <v>45838</v>
      </c>
      <c r="S11" s="25" t="str">
        <f ca="1"/>
        <v>canonical</v>
      </c>
      <c r="T11" s="26" t="str">
        <f ca="1"/>
        <v>operating_margin_gaap</v>
      </c>
      <c r="U11" s="30" t="str">
        <f ca="1"/>
        <v>-30.9925</v>
      </c>
      <c r="V11" s="29" t="str">
        <f ca="1"/>
        <v>340.27</v>
      </c>
      <c r="W11" s="29" t="str">
        <f ca="1"/>
        <v/>
      </c>
      <c r="X11" s="29" t="str">
        <f ca="1"/>
        <v/>
      </c>
      <c r="Y11" s="29" t="str">
        <f ca="1"/>
        <v>341.12</v>
      </c>
    </row>
    <row r="12" spans="1:25" x14ac:dyDescent="0.45">
      <c r="Q12" s="24" t="str">
        <f ca="1"/>
        <v>LAW US EQUITY</v>
      </c>
      <c r="R12" s="24">
        <f ca="1"/>
        <v>45930</v>
      </c>
      <c r="S12" s="25" t="str">
        <f ca="1"/>
        <v>canonical</v>
      </c>
      <c r="T12" s="26" t="str">
        <f ca="1"/>
        <v>operating_margin_gaap</v>
      </c>
      <c r="U12" s="30" t="str">
        <f ca="1"/>
        <v>-35.343</v>
      </c>
      <c r="V12" s="29" t="str">
        <f ca="1"/>
        <v>-535.07</v>
      </c>
      <c r="W12" s="29" t="str">
        <f ca="1"/>
        <v/>
      </c>
      <c r="X12" s="29" t="str">
        <f ca="1"/>
        <v/>
      </c>
      <c r="Y12" s="29" t="str">
        <f ca="1"/>
        <v>-435.05</v>
      </c>
    </row>
    <row r="13" spans="1:25" x14ac:dyDescent="0.45">
      <c r="C13" s="13" t="s">
        <v>12</v>
      </c>
      <c r="D13" s="14">
        <f t="shared" ref="D13:O13" ca="1" si="2">EOMONTH(DATE(YEAR(D14),ROUNDUP(MONTH(D14)/3,0)*3,1),0)</f>
        <v>45016</v>
      </c>
      <c r="E13" s="14">
        <f t="shared" ca="1" si="2"/>
        <v>45107</v>
      </c>
      <c r="F13" s="14">
        <f t="shared" ca="1" si="2"/>
        <v>45199</v>
      </c>
      <c r="G13" s="14">
        <f t="shared" ca="1" si="2"/>
        <v>45291</v>
      </c>
      <c r="H13" s="14">
        <f t="shared" ca="1" si="2"/>
        <v>45382</v>
      </c>
      <c r="I13" s="14">
        <f t="shared" ca="1" si="2"/>
        <v>45473</v>
      </c>
      <c r="J13" s="14">
        <f t="shared" ca="1" si="2"/>
        <v>45565</v>
      </c>
      <c r="K13" s="14">
        <f t="shared" ca="1" si="2"/>
        <v>45657</v>
      </c>
      <c r="L13" s="14">
        <f t="shared" ca="1" si="2"/>
        <v>45747</v>
      </c>
      <c r="M13" s="14">
        <f t="shared" ca="1" si="2"/>
        <v>45838</v>
      </c>
      <c r="N13" s="14">
        <f t="shared" ca="1" si="2"/>
        <v>45930</v>
      </c>
      <c r="O13" s="14">
        <f t="shared" ca="1" si="2"/>
        <v>46022</v>
      </c>
      <c r="Q13" s="24" t="str">
        <f ca="1"/>
        <v>LAW US EQUITY</v>
      </c>
      <c r="R13" s="24">
        <f ca="1"/>
        <v>46022</v>
      </c>
      <c r="S13" s="25" t="str">
        <f ca="1"/>
        <v>canonical</v>
      </c>
      <c r="T13" s="26" t="str">
        <f ca="1"/>
        <v>operating_margin_gaap</v>
      </c>
      <c r="U13" s="30" t="str">
        <f ca="1"/>
        <v>-22.4478</v>
      </c>
      <c r="V13" s="29" t="str">
        <f ca="1"/>
        <v>4817.57</v>
      </c>
      <c r="W13" s="29" t="str">
        <f ca="1"/>
        <v/>
      </c>
      <c r="X13" s="29" t="str">
        <f ca="1"/>
        <v/>
      </c>
      <c r="Y13" s="29" t="str">
        <f ca="1"/>
        <v>1289.52</v>
      </c>
    </row>
    <row r="14" spans="1:25" x14ac:dyDescent="0.4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LAW US EQUITY</v>
      </c>
      <c r="R14" s="24">
        <v>45747</v>
      </c>
      <c r="S14" s="25" t="str">
        <v>custom</v>
      </c>
      <c r="T14" s="26" t="str">
        <v>crpo</v>
      </c>
      <c r="U14" s="30" t="str">
        <v>10.9</v>
      </c>
      <c r="V14" s="29" t="str">
        <v>0.0092592592592593</v>
      </c>
      <c r="W14" s="29" t="str">
        <v>986.901535682025</v>
      </c>
      <c r="X14" s="29" t="str">
        <v>1166.97275788185</v>
      </c>
      <c r="Y14" s="29" t="str">
        <v>-0.0267857142857142</v>
      </c>
    </row>
    <row r="15" spans="1:25" x14ac:dyDescent="0.45">
      <c r="A15" s="16" t="s">
        <v>9</v>
      </c>
      <c r="B15" s="16" t="s">
        <v>14</v>
      </c>
      <c r="C15" s="9" t="s">
        <v>6</v>
      </c>
      <c r="D15" s="3">
        <f ca="1"/>
        <v>75.015799999999999</v>
      </c>
      <c r="E15" s="3">
        <f ca="1"/>
        <v>73.628799999999998</v>
      </c>
      <c r="F15" s="3">
        <f ca="1"/>
        <v>74.418300000000002</v>
      </c>
      <c r="G15" s="3">
        <f ca="1"/>
        <v>75.6785</v>
      </c>
      <c r="H15" s="3">
        <f ca="1"/>
        <v>75.114599999999996</v>
      </c>
      <c r="I15" s="3">
        <f ca="1"/>
        <v>74.203599999999994</v>
      </c>
      <c r="J15" s="3">
        <f ca="1"/>
        <v>73.142899999999997</v>
      </c>
      <c r="K15" s="3">
        <f ca="1"/>
        <v>74.231700000000004</v>
      </c>
      <c r="L15" s="3">
        <f ca="1"/>
        <v>74.073099999999997</v>
      </c>
      <c r="M15" s="3">
        <f ca="1"/>
        <v>74.589299999999994</v>
      </c>
      <c r="N15" s="3">
        <f ca="1"/>
        <v>75.541899999999998</v>
      </c>
      <c r="O15">
        <f ca="1"/>
        <v>75.150000000000006</v>
      </c>
      <c r="Q15" s="24" t="str">
        <v>LAW US EQUITY</v>
      </c>
      <c r="R15" s="24">
        <v>45838</v>
      </c>
      <c r="S15" s="25" t="str">
        <v>custom</v>
      </c>
      <c r="T15" s="26" t="str">
        <v>crpo</v>
      </c>
      <c r="U15" s="30" t="str">
        <v>11.1</v>
      </c>
      <c r="V15" s="29" t="str">
        <v>0.180851063829787</v>
      </c>
      <c r="W15" s="29" t="str">
        <v>1715.91804570528</v>
      </c>
      <c r="X15" s="29" t="str">
        <v>4039.91559697556</v>
      </c>
      <c r="Y15" s="29" t="str">
        <v>0.0183486238532109</v>
      </c>
    </row>
    <row r="16" spans="1:25" x14ac:dyDescent="0.45">
      <c r="C16" s="4" t="s">
        <v>4</v>
      </c>
      <c r="D16" s="5"/>
      <c r="E16" s="4"/>
      <c r="F16" s="4"/>
      <c r="G16" s="4"/>
      <c r="H16" s="7">
        <f t="shared" ref="H16:O16" ca="1" si="3">(H15-D15)*100</f>
        <v>9.8799999999997112</v>
      </c>
      <c r="I16" s="7">
        <f t="shared" ca="1" si="3"/>
        <v>57.47999999999962</v>
      </c>
      <c r="J16" s="7">
        <f t="shared" ca="1" si="3"/>
        <v>-127.54000000000048</v>
      </c>
      <c r="K16" s="7">
        <f t="shared" ca="1" si="3"/>
        <v>-144.67999999999961</v>
      </c>
      <c r="L16" s="7">
        <f t="shared" ca="1" si="3"/>
        <v>-104.14999999999992</v>
      </c>
      <c r="M16" s="7">
        <f t="shared" ca="1" si="3"/>
        <v>38.569999999999993</v>
      </c>
      <c r="N16" s="7">
        <f t="shared" ca="1" si="3"/>
        <v>239.90000000000009</v>
      </c>
      <c r="O16" s="7">
        <f t="shared" ca="1" si="3"/>
        <v>91.830000000000211</v>
      </c>
      <c r="Q16" s="24" t="str">
        <v>LAW US EQUITY</v>
      </c>
      <c r="R16" s="24">
        <v>45930</v>
      </c>
      <c r="S16" s="25" t="str">
        <v>custom</v>
      </c>
      <c r="T16" s="26" t="str">
        <v>crpo</v>
      </c>
      <c r="U16" s="30" t="str">
        <v>13.8</v>
      </c>
      <c r="V16" s="29" t="str">
        <v>0.393939393939394</v>
      </c>
      <c r="W16" s="29" t="str">
        <v>2130.88330109607</v>
      </c>
      <c r="X16" s="29" t="str">
        <v>5757.57575757576</v>
      </c>
      <c r="Y16" s="29" t="str">
        <v>0.243243243243243</v>
      </c>
    </row>
    <row r="17" spans="1:25" x14ac:dyDescent="0.45">
      <c r="C17" s="4" t="s">
        <v>19</v>
      </c>
      <c r="D17" s="1"/>
      <c r="K17" s="7"/>
      <c r="L17" s="7"/>
      <c r="M17" s="7"/>
      <c r="N17" s="7"/>
      <c r="O17" s="7"/>
      <c r="Q17" s="24" t="str">
        <v>LAW US EQUITY</v>
      </c>
      <c r="R17" s="24">
        <v>46022</v>
      </c>
      <c r="S17" s="25" t="str">
        <v>custom</v>
      </c>
      <c r="T17" s="26" t="str">
        <v>crpo</v>
      </c>
      <c r="U17" s="30" t="str">
        <v>14.8</v>
      </c>
      <c r="V17" s="29" t="str">
        <v>0.321428571428572</v>
      </c>
      <c r="W17" s="29" t="str">
        <v>-725.108225108224</v>
      </c>
      <c r="X17" s="29" t="str">
        <v>4108.59465737515</v>
      </c>
      <c r="Y17" s="29" t="str">
        <v>0.0724637681159421</v>
      </c>
    </row>
    <row r="18" spans="1:25" x14ac:dyDescent="0.4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LAW US EQUITY</v>
      </c>
      <c r="R18" s="24">
        <v>45747</v>
      </c>
      <c r="S18" s="25" t="str">
        <v>custom</v>
      </c>
      <c r="T18" s="26" t="str">
        <v>net_retention_pct</v>
      </c>
      <c r="U18" s="30" t="str">
        <v/>
      </c>
      <c r="V18" s="29" t="str">
        <v/>
      </c>
      <c r="W18" s="29" t="str">
        <v/>
      </c>
      <c r="X18" s="29" t="str">
        <v/>
      </c>
      <c r="Y18" s="29" t="str">
        <v/>
      </c>
    </row>
    <row r="19" spans="1:25" x14ac:dyDescent="0.45">
      <c r="C19" s="4" t="s">
        <v>5</v>
      </c>
      <c r="D19" s="1"/>
      <c r="K19" s="7"/>
      <c r="L19" s="7">
        <f ca="1">(L15-K15)*100</f>
        <v>-15.860000000000696</v>
      </c>
      <c r="M19" s="7">
        <f ca="1">(M15-L15)*100</f>
        <v>51.619999999999777</v>
      </c>
      <c r="N19" s="7">
        <f ca="1">(N15-M15)*100</f>
        <v>95.260000000000389</v>
      </c>
      <c r="O19" s="7">
        <f ca="1">(O15-N15)*100</f>
        <v>-39.189999999999259</v>
      </c>
      <c r="Q19" s="24" t="str">
        <v>LAW US EQUITY</v>
      </c>
      <c r="R19" s="24">
        <v>45838</v>
      </c>
      <c r="S19" s="25" t="str">
        <v>custom</v>
      </c>
      <c r="T19" s="26" t="str">
        <v>net_retention_pct</v>
      </c>
      <c r="U19" s="30" t="str">
        <v/>
      </c>
      <c r="V19" s="29" t="str">
        <v/>
      </c>
      <c r="W19" s="29" t="str">
        <v/>
      </c>
      <c r="X19" s="29" t="str">
        <v/>
      </c>
      <c r="Y19" s="29" t="str">
        <v/>
      </c>
    </row>
    <row r="20" spans="1:25" x14ac:dyDescent="0.45">
      <c r="Q20" s="24" t="str">
        <v>LAW US EQUITY</v>
      </c>
      <c r="R20" s="24">
        <v>45930</v>
      </c>
      <c r="S20" s="25" t="str">
        <v>custom</v>
      </c>
      <c r="T20" s="26" t="str">
        <v>net_retention_pct</v>
      </c>
      <c r="U20" s="30" t="str">
        <v/>
      </c>
      <c r="V20" s="29" t="str">
        <v/>
      </c>
      <c r="W20" s="29" t="str">
        <v/>
      </c>
      <c r="X20" s="29" t="str">
        <v/>
      </c>
      <c r="Y20" s="29" t="str">
        <v/>
      </c>
    </row>
    <row r="21" spans="1:25" x14ac:dyDescent="0.45">
      <c r="C21" s="13" t="s">
        <v>12</v>
      </c>
      <c r="D21" s="14">
        <f t="shared" ref="D21:O21" ca="1" si="4">EOMONTH(DATE(YEAR(D22),ROUNDUP(MONTH(D22)/3,0)*3,1),0)</f>
        <v>45016</v>
      </c>
      <c r="E21" s="14">
        <f t="shared" ca="1" si="4"/>
        <v>45107</v>
      </c>
      <c r="F21" s="14">
        <f t="shared" ca="1" si="4"/>
        <v>45199</v>
      </c>
      <c r="G21" s="14">
        <f t="shared" ca="1" si="4"/>
        <v>45291</v>
      </c>
      <c r="H21" s="14">
        <f t="shared" ca="1" si="4"/>
        <v>45382</v>
      </c>
      <c r="I21" s="14">
        <f t="shared" ca="1" si="4"/>
        <v>45473</v>
      </c>
      <c r="J21" s="14">
        <f t="shared" ca="1" si="4"/>
        <v>45565</v>
      </c>
      <c r="K21" s="14">
        <f t="shared" ca="1" si="4"/>
        <v>45657</v>
      </c>
      <c r="L21" s="14">
        <f t="shared" ca="1" si="4"/>
        <v>45747</v>
      </c>
      <c r="M21" s="14">
        <f t="shared" ca="1" si="4"/>
        <v>45838</v>
      </c>
      <c r="N21" s="14">
        <f t="shared" ca="1" si="4"/>
        <v>45930</v>
      </c>
      <c r="O21" s="14">
        <f t="shared" ca="1" si="4"/>
        <v>46022</v>
      </c>
      <c r="Q21" s="24" t="str">
        <v>LAW US EQUITY</v>
      </c>
      <c r="R21" s="24">
        <v>46022</v>
      </c>
      <c r="S21" s="25" t="str">
        <v>custom</v>
      </c>
      <c r="T21" s="26" t="str">
        <v>net_retention_pct</v>
      </c>
      <c r="U21" s="30" t="str">
        <v>0.98</v>
      </c>
      <c r="V21" s="29" t="str">
        <v>200</v>
      </c>
      <c r="W21" s="29" t="str">
        <v/>
      </c>
      <c r="X21" s="29" t="str">
        <v/>
      </c>
      <c r="Y21" s="29" t="str">
        <v/>
      </c>
    </row>
    <row r="22" spans="1:25" x14ac:dyDescent="0.45">
      <c r="D22" s="1" cm="1">
        <f t="array" aca="1" ref="D22:O23" ca="1">+_xll.BDH($B$2,C23,$B$3,$B$4,"DIR=H")</f>
        <v>45016</v>
      </c>
      <c r="E22" s="1">
        <f ca="1"/>
        <v>45107</v>
      </c>
      <c r="F22" s="1">
        <f ca="1"/>
        <v>45199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45565</v>
      </c>
      <c r="K22" s="1">
        <f ca="1"/>
        <v>45657</v>
      </c>
      <c r="L22" s="1">
        <f ca="1"/>
        <v>45747</v>
      </c>
      <c r="M22" s="1">
        <f ca="1"/>
        <v>45838</v>
      </c>
      <c r="N22" s="1">
        <f ca="1"/>
        <v>45930</v>
      </c>
      <c r="O22" s="1">
        <f ca="1"/>
        <v>46022</v>
      </c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LAW US EQUITY</v>
      </c>
      <c r="R22" s="24">
        <v>0</v>
      </c>
      <c r="S22" s="25">
        <v>0</v>
      </c>
      <c r="T22" s="26">
        <v>0</v>
      </c>
      <c r="U22" s="27" t="str">
        <v/>
      </c>
      <c r="V22" s="28" t="str">
        <v/>
      </c>
      <c r="W22" s="29" t="str">
        <v/>
      </c>
      <c r="X22" s="28" t="str">
        <v/>
      </c>
      <c r="Y22" s="29" t="str">
        <v/>
      </c>
    </row>
    <row r="23" spans="1:25" x14ac:dyDescent="0.45">
      <c r="A23" s="16" t="s">
        <v>9</v>
      </c>
      <c r="B23" s="16" t="s">
        <v>15</v>
      </c>
      <c r="C23" s="9" t="s">
        <v>7</v>
      </c>
      <c r="D23" s="3">
        <f ca="1"/>
        <v>-67.252300000000005</v>
      </c>
      <c r="E23" s="3">
        <f ca="1"/>
        <v>-49.571100000000001</v>
      </c>
      <c r="F23" s="3">
        <f ca="1"/>
        <v>-8.2905999999999995</v>
      </c>
      <c r="G23" s="3">
        <f ca="1"/>
        <v>-21.478899999999999</v>
      </c>
      <c r="H23" s="3">
        <f ca="1"/>
        <v>-34.668700000000001</v>
      </c>
      <c r="I23" s="3">
        <f ca="1"/>
        <v>-34.395200000000003</v>
      </c>
      <c r="J23" s="3">
        <f ca="1"/>
        <v>-29.9923</v>
      </c>
      <c r="K23" s="3">
        <f ca="1"/>
        <v>-70.623500000000007</v>
      </c>
      <c r="L23" s="3">
        <f ca="1"/>
        <v>-34.403700000000001</v>
      </c>
      <c r="M23" s="3">
        <f ca="1"/>
        <v>-30.9925</v>
      </c>
      <c r="N23" s="3">
        <f ca="1"/>
        <v>-35.343000000000004</v>
      </c>
      <c r="O23">
        <f ca="1"/>
        <v>-22.447800000000001</v>
      </c>
      <c r="Q23" s="24" t="str">
        <v>LAW US EQUITY</v>
      </c>
      <c r="R23" s="24">
        <v>0</v>
      </c>
      <c r="S23" s="25">
        <v>0</v>
      </c>
      <c r="T23" s="26">
        <v>0</v>
      </c>
      <c r="U23" s="27" t="str">
        <v/>
      </c>
      <c r="V23" s="28" t="str">
        <v/>
      </c>
      <c r="W23" s="29" t="str">
        <v/>
      </c>
      <c r="X23" s="28" t="str">
        <v/>
      </c>
      <c r="Y23" s="29" t="str">
        <v/>
      </c>
    </row>
    <row r="24" spans="1:25" x14ac:dyDescent="0.45">
      <c r="C24" s="4" t="s">
        <v>4</v>
      </c>
      <c r="D24" s="5"/>
      <c r="E24" s="4"/>
      <c r="F24" s="4"/>
      <c r="G24" s="4"/>
      <c r="H24" s="7">
        <f t="shared" ref="H24:O24" ca="1" si="5">(H23-D23)*100</f>
        <v>3258.3600000000006</v>
      </c>
      <c r="I24" s="7">
        <f t="shared" ca="1" si="5"/>
        <v>1517.59</v>
      </c>
      <c r="J24" s="7">
        <f t="shared" ca="1" si="5"/>
        <v>-2170.17</v>
      </c>
      <c r="K24" s="7">
        <f t="shared" ca="1" si="5"/>
        <v>-4914.4600000000009</v>
      </c>
      <c r="L24" s="7">
        <f t="shared" ca="1" si="5"/>
        <v>26.500000000000057</v>
      </c>
      <c r="M24" s="7">
        <f t="shared" ca="1" si="5"/>
        <v>340.27000000000032</v>
      </c>
      <c r="N24" s="7">
        <f t="shared" ca="1" si="5"/>
        <v>-535.07000000000039</v>
      </c>
      <c r="O24" s="7">
        <f t="shared" ca="1" si="5"/>
        <v>4817.5700000000006</v>
      </c>
      <c r="Q24" s="24" t="str">
        <v>LAW US EQUITY</v>
      </c>
      <c r="R24" s="24">
        <v>0</v>
      </c>
      <c r="S24" s="25">
        <v>0</v>
      </c>
      <c r="T24" s="26">
        <v>0</v>
      </c>
      <c r="U24" s="27" t="str">
        <v/>
      </c>
      <c r="V24" s="28" t="str">
        <v/>
      </c>
      <c r="W24" s="29" t="str">
        <v/>
      </c>
      <c r="X24" s="28" t="str">
        <v/>
      </c>
      <c r="Y24" s="29" t="str">
        <v/>
      </c>
    </row>
    <row r="25" spans="1:25" x14ac:dyDescent="0.45">
      <c r="C25" s="4" t="s">
        <v>19</v>
      </c>
      <c r="D25" s="1"/>
      <c r="K25" s="7"/>
      <c r="L25" s="7"/>
      <c r="M25" s="7"/>
      <c r="N25" s="7"/>
      <c r="O25" s="7"/>
      <c r="Q25" s="24" t="str">
        <v>LAW US EQUITY</v>
      </c>
      <c r="R25" s="24">
        <v>0</v>
      </c>
      <c r="S25" s="25">
        <v>0</v>
      </c>
      <c r="T25" s="26">
        <v>0</v>
      </c>
      <c r="U25" s="27" t="str">
        <v/>
      </c>
      <c r="V25" s="28" t="str">
        <v/>
      </c>
      <c r="W25" s="29" t="str">
        <v/>
      </c>
      <c r="X25" s="28" t="str">
        <v/>
      </c>
      <c r="Y25" s="29" t="str">
        <v/>
      </c>
    </row>
    <row r="26" spans="1:25" x14ac:dyDescent="0.4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LAW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45">
      <c r="C27" s="4" t="s">
        <v>5</v>
      </c>
      <c r="D27" s="1"/>
      <c r="K27" s="7"/>
      <c r="L27" s="7">
        <f ca="1">(L23-K23)*100</f>
        <v>3621.9800000000005</v>
      </c>
      <c r="M27" s="7">
        <f ca="1">(M23-L23)*100</f>
        <v>341.12000000000012</v>
      </c>
      <c r="N27" s="7">
        <f ca="1">(N23-M23)*100</f>
        <v>-435.05000000000041</v>
      </c>
      <c r="O27" s="7">
        <f ca="1">(O23-N23)*100</f>
        <v>1289.5200000000002</v>
      </c>
      <c r="Q27" s="24" t="str">
        <v>LAW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45">
      <c r="C28" s="4"/>
      <c r="D28" s="1"/>
      <c r="K28" s="7"/>
      <c r="L28" s="7"/>
      <c r="M28" s="7"/>
      <c r="N28" s="7"/>
      <c r="O28" s="7"/>
      <c r="Q28" s="24" t="str">
        <v>LAW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45">
      <c r="C29" s="13"/>
      <c r="D29" s="14">
        <f t="shared" ref="D29:L29" si="6">EOMONTH(DATE(YEAR(D30),ROUNDUP(MONTH(D30)/3,0)*3,1),0)</f>
        <v>45016</v>
      </c>
      <c r="E29" s="14">
        <f t="shared" si="6"/>
        <v>45107</v>
      </c>
      <c r="F29" s="14">
        <f t="shared" si="6"/>
        <v>45199</v>
      </c>
      <c r="G29" s="14">
        <f t="shared" si="6"/>
        <v>45291</v>
      </c>
      <c r="H29" s="14">
        <f t="shared" si="6"/>
        <v>45382</v>
      </c>
      <c r="I29" s="14">
        <f t="shared" si="6"/>
        <v>45473</v>
      </c>
      <c r="J29" s="14">
        <f t="shared" si="6"/>
        <v>45565</v>
      </c>
      <c r="K29" s="14">
        <f t="shared" si="6"/>
        <v>45657</v>
      </c>
      <c r="L29" s="14">
        <f t="shared" si="6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LAW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45">
      <c r="D30" s="2">
        <v>45016</v>
      </c>
      <c r="E30" s="2">
        <v>45107</v>
      </c>
      <c r="F30" s="2">
        <v>45199</v>
      </c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LAW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45">
      <c r="A31" s="16" t="s">
        <v>21</v>
      </c>
      <c r="B31" s="16" t="s">
        <v>65</v>
      </c>
      <c r="C31" s="2" t="s">
        <v>66</v>
      </c>
      <c r="D31" s="32">
        <v>12.1</v>
      </c>
      <c r="E31" s="32">
        <v>12.1</v>
      </c>
      <c r="F31" s="32">
        <v>12.1</v>
      </c>
      <c r="G31" s="37">
        <v>12.3</v>
      </c>
      <c r="H31" s="37">
        <v>10.8</v>
      </c>
      <c r="I31" s="37">
        <v>9.4</v>
      </c>
      <c r="J31" s="37">
        <v>9.9</v>
      </c>
      <c r="K31" s="37">
        <v>11.2</v>
      </c>
      <c r="L31" s="37">
        <v>10.9</v>
      </c>
      <c r="M31" s="37">
        <v>11.1</v>
      </c>
      <c r="N31" s="37">
        <v>13.8</v>
      </c>
      <c r="O31" s="37">
        <v>14.8</v>
      </c>
      <c r="Q31" s="24" t="str">
        <v>LAW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45">
      <c r="C32" s="4" t="s">
        <v>4</v>
      </c>
      <c r="D32" s="5"/>
      <c r="E32" s="4"/>
      <c r="F32" s="4"/>
      <c r="G32" s="12"/>
      <c r="H32" s="12">
        <f t="shared" ref="H32" si="7">+H31/D31-1</f>
        <v>-0.10743801652892548</v>
      </c>
      <c r="I32" s="12">
        <f t="shared" ref="I32" si="8">+I31/E31-1</f>
        <v>-0.22314049586776852</v>
      </c>
      <c r="J32" s="12">
        <f t="shared" ref="J32" si="9">+J31/F31-1</f>
        <v>-0.18181818181818177</v>
      </c>
      <c r="K32" s="12">
        <f t="shared" ref="K32" si="10">+K31/G31-1</f>
        <v>-8.9430894308943243E-2</v>
      </c>
      <c r="L32" s="12">
        <f t="shared" ref="L32" si="11">+L31/H31-1</f>
        <v>9.2592592592593004E-3</v>
      </c>
      <c r="M32" s="12">
        <f t="shared" ref="M32" si="12">+M31/I31-1</f>
        <v>0.18085106382978711</v>
      </c>
      <c r="N32" s="12">
        <f t="shared" ref="N32" si="13">+N31/J31-1</f>
        <v>0.39393939393939403</v>
      </c>
      <c r="O32" s="12">
        <f t="shared" ref="O32" si="14">+O31/K31-1</f>
        <v>0.32142857142857162</v>
      </c>
      <c r="Q32" s="24" t="str">
        <v>LAW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45">
      <c r="C33" s="4" t="s">
        <v>19</v>
      </c>
      <c r="D33" s="1"/>
      <c r="L33" s="7">
        <f>(L32-K32)*10000</f>
        <v>986.90153568202538</v>
      </c>
      <c r="M33" s="7">
        <f>(M32-L32)*10000</f>
        <v>1715.918045705278</v>
      </c>
      <c r="N33" s="7">
        <f>(N32-M32)*10000</f>
        <v>2130.8833010960693</v>
      </c>
      <c r="O33" s="7">
        <f>(O32-N32)*10000</f>
        <v>-725.10822510822413</v>
      </c>
      <c r="Q33" s="24" t="str">
        <v>LAW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45">
      <c r="C34" s="4" t="s">
        <v>23</v>
      </c>
      <c r="D34" s="1"/>
      <c r="E34" s="6"/>
      <c r="F34" s="6"/>
      <c r="G34" s="6"/>
      <c r="H34" s="6"/>
      <c r="I34" s="6"/>
      <c r="J34" s="6"/>
      <c r="K34" s="6"/>
      <c r="L34" s="7">
        <f>(L32-H32)*10000</f>
        <v>1166.9727578818479</v>
      </c>
      <c r="M34" s="7">
        <f>(M32-I32)*10000</f>
        <v>4039.9155969755561</v>
      </c>
      <c r="N34" s="7">
        <f>(N32-J32)*10000</f>
        <v>5757.575757575758</v>
      </c>
      <c r="O34" s="7">
        <f>(O32-K32)*10000</f>
        <v>4108.5946573751489</v>
      </c>
    </row>
    <row r="35" spans="1:25" x14ac:dyDescent="0.45">
      <c r="C35" s="4" t="s">
        <v>5</v>
      </c>
      <c r="D35" s="1"/>
      <c r="L35" s="12">
        <f>L31/K31-1</f>
        <v>-2.6785714285714191E-2</v>
      </c>
      <c r="M35" s="12">
        <f>M31/L31-1</f>
        <v>1.8348623853210899E-2</v>
      </c>
      <c r="N35" s="12">
        <f>N31/M31-1</f>
        <v>0.24324324324324342</v>
      </c>
      <c r="O35" s="12">
        <f>O31/N31-1</f>
        <v>7.2463768115942129E-2</v>
      </c>
    </row>
    <row r="36" spans="1:25" x14ac:dyDescent="0.45">
      <c r="C36" s="4"/>
      <c r="D36" s="1"/>
      <c r="L36" s="7"/>
      <c r="M36" s="7"/>
      <c r="N36" s="7"/>
      <c r="O36" s="7"/>
    </row>
    <row r="37" spans="1:25" x14ac:dyDescent="0.45">
      <c r="C37" s="13"/>
      <c r="D37" s="14">
        <f t="shared" ref="D37:L37" si="15">EOMONTH(DATE(YEAR(D38),ROUNDUP(MONTH(D38)/3,0)*3,1),0)</f>
        <v>45016</v>
      </c>
      <c r="E37" s="14">
        <f t="shared" si="15"/>
        <v>45107</v>
      </c>
      <c r="F37" s="14">
        <f t="shared" si="15"/>
        <v>45199</v>
      </c>
      <c r="G37" s="14">
        <f t="shared" si="15"/>
        <v>45291</v>
      </c>
      <c r="H37" s="14">
        <f t="shared" si="15"/>
        <v>45382</v>
      </c>
      <c r="I37" s="14">
        <f t="shared" si="15"/>
        <v>45473</v>
      </c>
      <c r="J37" s="14">
        <f t="shared" si="15"/>
        <v>45565</v>
      </c>
      <c r="K37" s="14">
        <f t="shared" si="15"/>
        <v>45657</v>
      </c>
      <c r="L37" s="14">
        <f t="shared" si="15"/>
        <v>45747</v>
      </c>
      <c r="M37" s="14">
        <f>EOMONTH(DATE(YEAR(M38),ROUNDUP(MONTH(M38)/3,0)*3,1),0)</f>
        <v>45838</v>
      </c>
      <c r="N37" s="14">
        <f>EOMONTH(DATE(YEAR(N38),ROUNDUP(MONTH(N38)/3,0)*3,1),0)</f>
        <v>45930</v>
      </c>
      <c r="O37" s="14">
        <f>EOMONTH(DATE(YEAR(O38),ROUNDUP(MONTH(O38)/3,0)*3,1),0)</f>
        <v>46022</v>
      </c>
    </row>
    <row r="38" spans="1:25" x14ac:dyDescent="0.45">
      <c r="D38" s="2">
        <v>45016</v>
      </c>
      <c r="E38" s="2">
        <v>45107</v>
      </c>
      <c r="F38" s="2">
        <v>45199</v>
      </c>
      <c r="G38" s="2">
        <v>45291</v>
      </c>
      <c r="H38" s="2">
        <v>45382</v>
      </c>
      <c r="I38" s="2">
        <v>45473</v>
      </c>
      <c r="J38" s="2">
        <v>45565</v>
      </c>
      <c r="K38" s="2">
        <v>45657</v>
      </c>
      <c r="L38" s="2">
        <v>45747</v>
      </c>
      <c r="M38" s="2">
        <v>45838</v>
      </c>
      <c r="N38" s="2">
        <v>45930</v>
      </c>
      <c r="O38" s="2">
        <v>46022</v>
      </c>
    </row>
    <row r="39" spans="1:25" x14ac:dyDescent="0.45">
      <c r="A39" s="16" t="s">
        <v>21</v>
      </c>
      <c r="B39" s="16" t="s">
        <v>68</v>
      </c>
      <c r="C39" s="2" t="s">
        <v>67</v>
      </c>
      <c r="D39" s="32"/>
      <c r="E39" s="32"/>
      <c r="F39" s="32"/>
      <c r="G39" s="34">
        <v>0.92</v>
      </c>
      <c r="H39" s="32"/>
      <c r="I39" s="32"/>
      <c r="J39" s="32"/>
      <c r="K39" s="34">
        <v>0.96</v>
      </c>
      <c r="L39" s="32"/>
      <c r="M39" s="32"/>
      <c r="N39" s="32"/>
      <c r="O39" s="34">
        <v>0.98</v>
      </c>
    </row>
    <row r="40" spans="1:25" x14ac:dyDescent="0.45">
      <c r="C40" s="4" t="s">
        <v>4</v>
      </c>
      <c r="D40" s="5"/>
      <c r="E40" s="4"/>
      <c r="F40" s="4"/>
      <c r="G40" s="12"/>
      <c r="H40" s="12"/>
      <c r="I40" s="12"/>
      <c r="J40" s="12"/>
      <c r="K40" s="7">
        <f>(K39-G39)*10000</f>
        <v>399.99999999999926</v>
      </c>
      <c r="L40" s="7"/>
      <c r="M40" s="7"/>
      <c r="N40" s="7"/>
      <c r="O40" s="7">
        <f>(O39-K39)*10000</f>
        <v>200.00000000000017</v>
      </c>
    </row>
    <row r="41" spans="1:25" x14ac:dyDescent="0.45">
      <c r="C41" s="4" t="s">
        <v>19</v>
      </c>
      <c r="D41" s="1"/>
      <c r="K41" s="7"/>
      <c r="L41" s="7"/>
      <c r="M41" s="7"/>
      <c r="N41" s="7"/>
      <c r="O41" s="7"/>
    </row>
    <row r="42" spans="1:25" x14ac:dyDescent="0.45">
      <c r="C42" s="4" t="s">
        <v>23</v>
      </c>
      <c r="D42" s="1"/>
      <c r="E42" s="6"/>
      <c r="F42" s="6"/>
      <c r="G42" s="6"/>
      <c r="H42" s="6"/>
      <c r="I42" s="6"/>
      <c r="J42" s="6"/>
      <c r="K42" s="7"/>
      <c r="L42" s="7"/>
      <c r="M42" s="7"/>
      <c r="N42" s="7"/>
      <c r="O42" s="7"/>
    </row>
    <row r="43" spans="1:25" x14ac:dyDescent="0.45">
      <c r="C43" s="4" t="s">
        <v>5</v>
      </c>
      <c r="D43" s="1"/>
      <c r="K43" s="7"/>
      <c r="L43" s="7"/>
      <c r="M43" s="7"/>
      <c r="N43" s="7"/>
      <c r="O43" s="7"/>
    </row>
    <row r="44" spans="1:25" x14ac:dyDescent="0.45">
      <c r="C44" s="4"/>
      <c r="D44" s="1"/>
      <c r="G44" s="1"/>
    </row>
    <row r="45" spans="1:25" x14ac:dyDescent="0.45"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25" x14ac:dyDescent="0.45"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25" x14ac:dyDescent="0.45">
      <c r="A47" s="16"/>
      <c r="B47" s="16"/>
      <c r="C47" s="2"/>
      <c r="D47" s="34"/>
      <c r="E47" s="34"/>
      <c r="F47" s="34"/>
      <c r="G47" s="35"/>
      <c r="H47" s="35"/>
      <c r="I47" s="35"/>
      <c r="J47" s="35"/>
      <c r="K47" s="35"/>
      <c r="L47" s="35"/>
      <c r="M47" s="35"/>
      <c r="N47" s="35"/>
      <c r="O47" s="35"/>
    </row>
    <row r="48" spans="1:25" x14ac:dyDescent="0.45">
      <c r="C48" s="4"/>
      <c r="D48" s="5"/>
      <c r="E48" s="4"/>
      <c r="F48" s="4"/>
      <c r="G48" s="4"/>
      <c r="H48" s="7"/>
      <c r="I48" s="7"/>
      <c r="J48" s="7"/>
      <c r="K48" s="7"/>
      <c r="L48" s="7"/>
      <c r="M48" s="7"/>
      <c r="N48" s="7"/>
      <c r="O48" s="7"/>
    </row>
    <row r="49" spans="1:15" x14ac:dyDescent="0.45">
      <c r="C49" s="4"/>
      <c r="D49" s="1"/>
      <c r="K49" s="7"/>
      <c r="L49" s="7"/>
      <c r="M49" s="7"/>
      <c r="N49" s="7"/>
      <c r="O49" s="7"/>
    </row>
    <row r="50" spans="1:15" x14ac:dyDescent="0.45">
      <c r="C50" s="4"/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45">
      <c r="C51" s="4"/>
      <c r="D51" s="1"/>
      <c r="K51" s="7"/>
      <c r="L51" s="7"/>
      <c r="M51" s="7"/>
      <c r="N51" s="7"/>
      <c r="O51" s="7"/>
    </row>
    <row r="52" spans="1:15" x14ac:dyDescent="0.45">
      <c r="C52" s="4"/>
      <c r="D52" s="1"/>
      <c r="G52" s="1"/>
    </row>
    <row r="53" spans="1:15" x14ac:dyDescent="0.4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4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4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4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45">
      <c r="C57" s="4"/>
      <c r="D57" s="1"/>
      <c r="K57" s="7"/>
      <c r="L57" s="7"/>
      <c r="M57" s="7"/>
      <c r="N57" s="7"/>
      <c r="O57" s="7"/>
    </row>
    <row r="58" spans="1:15" x14ac:dyDescent="0.4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45">
      <c r="C59" s="4"/>
      <c r="D59" s="1"/>
      <c r="K59" s="7"/>
      <c r="L59" s="7"/>
      <c r="M59" s="7"/>
      <c r="N59" s="7"/>
      <c r="O59" s="7"/>
    </row>
    <row r="64" spans="1:15" x14ac:dyDescent="0.4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45">
      <c r="C65" s="4"/>
      <c r="D65" s="1"/>
      <c r="K65" s="7"/>
      <c r="L65" s="7"/>
      <c r="M65" s="7"/>
      <c r="N65" s="7"/>
      <c r="O65" s="7"/>
    </row>
    <row r="66" spans="3:15" x14ac:dyDescent="0.4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4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BC6E8-E613-4ACB-8E11-E4E31DA95C65}">
  <dimension ref="A1:Y67"/>
  <sheetViews>
    <sheetView topLeftCell="A7" zoomScale="85" zoomScaleNormal="85" workbookViewId="0">
      <pane xSplit="3" topLeftCell="E1" activePane="topRight" state="frozen"/>
      <selection pane="topRight" activeCell="K43" sqref="K43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6" width="10.1328125" bestFit="1" customWidth="1"/>
    <col min="7" max="7" width="10.59765625" bestFit="1" customWidth="1"/>
    <col min="8" max="10" width="10.1328125" bestFit="1" customWidth="1"/>
    <col min="11" max="11" width="10.59765625" bestFit="1" customWidth="1"/>
    <col min="12" max="12" width="10.1328125" bestFit="1" customWidth="1"/>
    <col min="13" max="15" width="10.265625" bestFit="1" customWidth="1"/>
    <col min="16" max="16" width="9" customWidth="1"/>
    <col min="17" max="17" width="12.3984375" bestFit="1" customWidth="1"/>
    <col min="18" max="18" width="14.3984375" bestFit="1" customWidth="1"/>
    <col min="19" max="19" width="8.59765625" bestFit="1" customWidth="1"/>
    <col min="20" max="20" width="20.265625" bestFit="1" customWidth="1"/>
    <col min="21" max="21" width="7.3984375" bestFit="1" customWidth="1"/>
    <col min="22" max="22" width="10.73046875" bestFit="1" customWidth="1"/>
    <col min="23" max="23" width="9.1328125" bestFit="1" customWidth="1"/>
    <col min="24" max="24" width="10.3984375" bestFit="1" customWidth="1"/>
    <col min="25" max="25" width="9.1328125" bestFit="1" customWidth="1"/>
  </cols>
  <sheetData>
    <row r="1" spans="1:25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45">
      <c r="A2" s="17" t="s">
        <v>1</v>
      </c>
      <c r="B2" s="31" t="s">
        <v>69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OTEX US EQUITY</v>
      </c>
      <c r="R2" s="24">
        <f ca="1"/>
        <v>45747</v>
      </c>
      <c r="S2" s="25" t="str">
        <f ca="1"/>
        <v>canonical</v>
      </c>
      <c r="T2" s="26" t="str">
        <f ca="1"/>
        <v>revenue</v>
      </c>
      <c r="U2" s="27" t="str">
        <f ca="1"/>
        <v>1254.363</v>
      </c>
      <c r="V2" s="28" t="str">
        <f ca="1"/>
        <v>-0.133207014430622</v>
      </c>
      <c r="W2" s="29" t="str">
        <f ca="1"/>
        <v>-26.6288946352355</v>
      </c>
      <c r="X2" s="28" t="str">
        <f ca="1"/>
        <v>-2958.65670432113</v>
      </c>
      <c r="Y2" s="29" t="str">
        <f ca="1"/>
        <v>-0.060050206069689</v>
      </c>
    </row>
    <row r="3" spans="1:25" x14ac:dyDescent="0.45">
      <c r="A3" s="18" t="s">
        <v>3</v>
      </c>
      <c r="B3" s="19">
        <f ca="1">+B4-365*3</f>
        <v>45001</v>
      </c>
      <c r="Q3" s="24" t="str">
        <f ca="1"/>
        <v>OTEX US EQUITY</v>
      </c>
      <c r="R3" s="24">
        <f ca="1"/>
        <v>45838</v>
      </c>
      <c r="S3" s="25" t="str">
        <f ca="1"/>
        <v>canonical</v>
      </c>
      <c r="T3" s="26" t="str">
        <f ca="1"/>
        <v>revenue</v>
      </c>
      <c r="U3" s="27" t="str">
        <f ca="1"/>
        <v>1310</v>
      </c>
      <c r="V3" s="28" t="str">
        <f ca="1"/>
        <v>-0.0382843580254435</v>
      </c>
      <c r="W3" s="29" t="str">
        <f ca="1"/>
        <v>949.226564051782</v>
      </c>
      <c r="X3" s="29" t="str">
        <f ca="1"/>
        <v>480.306477096168</v>
      </c>
      <c r="Y3" s="29" t="str">
        <f ca="1"/>
        <v>0.0443547840617109</v>
      </c>
    </row>
    <row r="4" spans="1:25" x14ac:dyDescent="0.45">
      <c r="A4" s="20" t="s">
        <v>2</v>
      </c>
      <c r="B4" s="21">
        <f ca="1">TODAY()</f>
        <v>46096</v>
      </c>
      <c r="Q4" s="24" t="str">
        <f ca="1"/>
        <v>OTEX US EQUITY</v>
      </c>
      <c r="R4" s="24">
        <f ca="1"/>
        <v>45930</v>
      </c>
      <c r="S4" s="25" t="str">
        <f ca="1"/>
        <v>canonical</v>
      </c>
      <c r="T4" s="26" t="str">
        <f ca="1"/>
        <v>revenue</v>
      </c>
      <c r="U4" s="27" t="str">
        <f ca="1"/>
        <v>1288.135</v>
      </c>
      <c r="V4" s="28" t="str">
        <f ca="1"/>
        <v>0.0150748026997529</v>
      </c>
      <c r="W4" s="29" t="str">
        <f ca="1"/>
        <v>533.591607251964</v>
      </c>
      <c r="X4" s="29" t="str">
        <f ca="1"/>
        <v>1248.12993798713</v>
      </c>
      <c r="Y4" s="29" t="str">
        <f ca="1"/>
        <v>-0.0166908396946565</v>
      </c>
    </row>
    <row r="5" spans="1:25" x14ac:dyDescent="0.45">
      <c r="C5" s="13" t="s">
        <v>12</v>
      </c>
      <c r="D5" s="14">
        <f t="shared" ref="D5:O5" ca="1" si="0">EOMONTH(DATE(YEAR(D6),ROUNDUP(MONTH(D6)/3,0)*3,1),0)</f>
        <v>45016</v>
      </c>
      <c r="E5" s="14">
        <f t="shared" ca="1" si="0"/>
        <v>45107</v>
      </c>
      <c r="F5" s="14">
        <f t="shared" ca="1" si="0"/>
        <v>45199</v>
      </c>
      <c r="G5" s="14">
        <f t="shared" ca="1" si="0"/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t="shared" ca="1" si="0"/>
        <v>45747</v>
      </c>
      <c r="M5" s="14">
        <f t="shared" ca="1" si="0"/>
        <v>45838</v>
      </c>
      <c r="N5" s="14">
        <f t="shared" ca="1" si="0"/>
        <v>45930</v>
      </c>
      <c r="O5" s="14">
        <f t="shared" ca="1" si="0"/>
        <v>46022</v>
      </c>
      <c r="Q5" s="24" t="str">
        <f ca="1"/>
        <v>OTEX US EQUITY</v>
      </c>
      <c r="R5" s="24">
        <f ca="1"/>
        <v>46022</v>
      </c>
      <c r="S5" s="25" t="str">
        <f ca="1"/>
        <v>canonical</v>
      </c>
      <c r="T5" s="26" t="str">
        <f ca="1"/>
        <v>revenue</v>
      </c>
      <c r="U5" s="27" t="str">
        <f ca="1"/>
        <v>1326.736</v>
      </c>
      <c r="V5" s="28" t="str">
        <f ca="1"/>
        <v>-0.00581790932933679</v>
      </c>
      <c r="W5" s="29" t="str">
        <f ca="1"/>
        <v>-208.927120290897</v>
      </c>
      <c r="X5" s="29" t="str">
        <f ca="1"/>
        <v>1247.26215637761</v>
      </c>
      <c r="Y5" s="29" t="str">
        <f ca="1"/>
        <v>0.0299665795898723</v>
      </c>
    </row>
    <row r="6" spans="1:25" x14ac:dyDescent="0.45">
      <c r="D6" s="15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OTEX US EQUITY</v>
      </c>
      <c r="R6" s="24">
        <f ca="1"/>
        <v>45747</v>
      </c>
      <c r="S6" s="25" t="str">
        <f ca="1"/>
        <v>canonical</v>
      </c>
      <c r="T6" s="26" t="str">
        <f ca="1"/>
        <v>gross_margin_gaap</v>
      </c>
      <c r="U6" s="30" t="str">
        <f ca="1"/>
        <v>71.6104</v>
      </c>
      <c r="V6" s="29" t="str">
        <f ca="1"/>
        <v>-134.6</v>
      </c>
      <c r="W6" s="29" t="str">
        <f ca="1"/>
        <v/>
      </c>
      <c r="X6" s="29" t="str">
        <f ca="1"/>
        <v/>
      </c>
      <c r="Y6" s="29" t="str">
        <f ca="1"/>
        <v>-167.37</v>
      </c>
    </row>
    <row r="7" spans="1:25" x14ac:dyDescent="0.45">
      <c r="A7" s="16" t="s">
        <v>9</v>
      </c>
      <c r="B7" s="16" t="s">
        <v>8</v>
      </c>
      <c r="C7" s="9" t="s">
        <v>0</v>
      </c>
      <c r="D7" s="11">
        <f ca="1"/>
        <v>1244.674</v>
      </c>
      <c r="E7" s="11">
        <f ca="1"/>
        <v>1490.83</v>
      </c>
      <c r="F7" s="11">
        <f ca="1"/>
        <v>1425.4290000000001</v>
      </c>
      <c r="G7" s="11">
        <f ca="1"/>
        <v>1534.8679999999999</v>
      </c>
      <c r="H7" s="11">
        <f ca="1"/>
        <v>1447.1310000000001</v>
      </c>
      <c r="I7" s="11">
        <f ca="1"/>
        <v>1362.1489999999999</v>
      </c>
      <c r="J7" s="11">
        <f ca="1"/>
        <v>1269.0050000000001</v>
      </c>
      <c r="K7" s="11">
        <f ca="1"/>
        <v>1334.5</v>
      </c>
      <c r="L7" s="11">
        <f ca="1"/>
        <v>1254.3630000000001</v>
      </c>
      <c r="M7" s="11">
        <f ca="1"/>
        <v>1310</v>
      </c>
      <c r="N7" s="11">
        <f ca="1"/>
        <v>1288.135</v>
      </c>
      <c r="O7" s="3">
        <f ca="1"/>
        <v>1326.7360000000001</v>
      </c>
      <c r="P7" s="1"/>
      <c r="Q7" s="24" t="str">
        <f ca="1"/>
        <v>OTEX US EQUITY</v>
      </c>
      <c r="R7" s="24">
        <f ca="1"/>
        <v>45838</v>
      </c>
      <c r="S7" s="25" t="str">
        <f ca="1"/>
        <v>canonical</v>
      </c>
      <c r="T7" s="26" t="str">
        <f ca="1"/>
        <v>gross_margin_gaap</v>
      </c>
      <c r="U7" s="30" t="str">
        <f ca="1"/>
        <v>72.3138</v>
      </c>
      <c r="V7" s="29" t="str">
        <f ca="1"/>
        <v>-19.7800000000001</v>
      </c>
      <c r="W7" s="29" t="str">
        <f ca="1"/>
        <v/>
      </c>
      <c r="X7" s="29" t="str">
        <f ca="1"/>
        <v/>
      </c>
      <c r="Y7" s="29" t="str">
        <f ca="1"/>
        <v>70.3400000000002</v>
      </c>
    </row>
    <row r="8" spans="1:25" x14ac:dyDescent="0.45">
      <c r="C8" s="4" t="s">
        <v>4</v>
      </c>
      <c r="D8" s="5"/>
      <c r="E8" s="4"/>
      <c r="F8" s="4"/>
      <c r="G8" s="12"/>
      <c r="H8" s="12">
        <f t="shared" ref="H8:O8" ca="1" si="1">+H7/D7-1</f>
        <v>0.16265865600149132</v>
      </c>
      <c r="I8" s="12">
        <f t="shared" ca="1" si="1"/>
        <v>-8.6315005735060346E-2</v>
      </c>
      <c r="J8" s="12">
        <f t="shared" ca="1" si="1"/>
        <v>-0.10973819109896032</v>
      </c>
      <c r="K8" s="12">
        <f t="shared" ca="1" si="1"/>
        <v>-0.13054412496709811</v>
      </c>
      <c r="L8" s="12">
        <f t="shared" ca="1" si="1"/>
        <v>-0.13320701443062166</v>
      </c>
      <c r="M8" s="12">
        <f t="shared" ca="1" si="1"/>
        <v>-3.8284358025443499E-2</v>
      </c>
      <c r="N8" s="12">
        <f t="shared" ca="1" si="1"/>
        <v>1.5074802699752921E-2</v>
      </c>
      <c r="O8" s="12">
        <f t="shared" ca="1" si="1"/>
        <v>-5.8179093293367901E-3</v>
      </c>
      <c r="P8" s="3"/>
      <c r="Q8" s="24" t="str">
        <f ca="1"/>
        <v>OTEX US EQUITY</v>
      </c>
      <c r="R8" s="24">
        <f ca="1"/>
        <v>45930</v>
      </c>
      <c r="S8" s="25" t="str">
        <f ca="1"/>
        <v>canonical</v>
      </c>
      <c r="T8" s="26" t="str">
        <f ca="1"/>
        <v>gross_margin_gaap</v>
      </c>
      <c r="U8" s="30" t="str">
        <f ca="1"/>
        <v>72.7809</v>
      </c>
      <c r="V8" s="29" t="str">
        <f ca="1"/>
        <v>104.300000000001</v>
      </c>
      <c r="W8" s="29" t="str">
        <f ca="1"/>
        <v/>
      </c>
      <c r="X8" s="29" t="str">
        <f ca="1"/>
        <v/>
      </c>
      <c r="Y8" s="29" t="str">
        <f ca="1"/>
        <v>46.7100000000002</v>
      </c>
    </row>
    <row r="9" spans="1:25" x14ac:dyDescent="0.45">
      <c r="C9" s="4" t="s">
        <v>19</v>
      </c>
      <c r="D9" s="1"/>
      <c r="L9" s="7">
        <f ca="1">(L8-K8)*10000</f>
        <v>-26.628894635235547</v>
      </c>
      <c r="M9" s="7">
        <f ca="1">(M8-L8)*10000</f>
        <v>949.22656405178168</v>
      </c>
      <c r="N9" s="7">
        <f ca="1">(N8-M8)*10000</f>
        <v>533.59160725196421</v>
      </c>
      <c r="O9" s="7">
        <f ca="1">(O8-N8)*10000</f>
        <v>-208.92712029089711</v>
      </c>
      <c r="Q9" s="22" t="str">
        <f ca="1"/>
        <v>OTEX US EQUITY</v>
      </c>
      <c r="R9" s="24">
        <f ca="1"/>
        <v>46022</v>
      </c>
      <c r="S9" s="25" t="str">
        <f ca="1"/>
        <v>canonical</v>
      </c>
      <c r="T9" s="26" t="str">
        <f ca="1"/>
        <v>gross_margin_gaap</v>
      </c>
      <c r="U9" s="30" t="str">
        <f ca="1"/>
        <v>74.0313</v>
      </c>
      <c r="V9" s="29" t="str">
        <f ca="1"/>
        <v>74.7200000000007</v>
      </c>
      <c r="W9" s="29" t="str">
        <f ca="1"/>
        <v/>
      </c>
      <c r="X9" s="29" t="str">
        <f ca="1"/>
        <v/>
      </c>
      <c r="Y9" s="29" t="str">
        <f ca="1"/>
        <v>125.04</v>
      </c>
    </row>
    <row r="10" spans="1:25" x14ac:dyDescent="0.4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-2958.6567043211298</v>
      </c>
      <c r="M10" s="7">
        <f ca="1">(M8-I8)*10000</f>
        <v>480.30647709616846</v>
      </c>
      <c r="N10" s="7">
        <f ca="1">(N8-J8)*10000</f>
        <v>1248.1299379871325</v>
      </c>
      <c r="O10" s="7">
        <f ca="1">(O8-K8)*10000</f>
        <v>1247.2621563776131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OTEX US EQUITY</v>
      </c>
      <c r="R10" s="24">
        <f ca="1"/>
        <v>45747</v>
      </c>
      <c r="S10" s="25" t="str">
        <f ca="1"/>
        <v>canonical</v>
      </c>
      <c r="T10" s="26" t="str">
        <f ca="1"/>
        <v>operating_margin_gaap</v>
      </c>
      <c r="U10" s="30" t="str">
        <f ca="1"/>
        <v>16.669</v>
      </c>
      <c r="V10" s="29" t="str">
        <f ca="1"/>
        <v>97.8100000000001</v>
      </c>
      <c r="W10" s="29" t="str">
        <f ca="1"/>
        <v/>
      </c>
      <c r="X10" s="29" t="str">
        <f ca="1"/>
        <v/>
      </c>
      <c r="Y10" s="29" t="str">
        <f ca="1"/>
        <v>-549.65</v>
      </c>
    </row>
    <row r="11" spans="1:25" x14ac:dyDescent="0.45">
      <c r="C11" s="4" t="s">
        <v>5</v>
      </c>
      <c r="D11" s="1"/>
      <c r="L11" s="12">
        <f ca="1">L7/K7-1</f>
        <v>-6.0050206069689027E-2</v>
      </c>
      <c r="M11" s="12">
        <f ca="1">M7/L7-1</f>
        <v>4.4354784061710895E-2</v>
      </c>
      <c r="N11" s="12">
        <f ca="1">N7/M7-1</f>
        <v>-1.6690839694656456E-2</v>
      </c>
      <c r="O11" s="12">
        <f ca="1">O7/N7-1</f>
        <v>2.9966579589872255E-2</v>
      </c>
      <c r="Q11" s="24" t="str">
        <f ca="1"/>
        <v>OTEX US EQUITY</v>
      </c>
      <c r="R11" s="24">
        <f ca="1"/>
        <v>45838</v>
      </c>
      <c r="S11" s="25" t="str">
        <f ca="1"/>
        <v>canonical</v>
      </c>
      <c r="T11" s="26" t="str">
        <f ca="1"/>
        <v>operating_margin_gaap</v>
      </c>
      <c r="U11" s="30" t="str">
        <f ca="1"/>
        <v>13.8537</v>
      </c>
      <c r="V11" s="29" t="str">
        <f ca="1"/>
        <v>-33.4</v>
      </c>
      <c r="W11" s="29" t="str">
        <f ca="1"/>
        <v/>
      </c>
      <c r="X11" s="29" t="str">
        <f ca="1"/>
        <v/>
      </c>
      <c r="Y11" s="29" t="str">
        <f ca="1"/>
        <v>-281.53</v>
      </c>
    </row>
    <row r="12" spans="1:25" x14ac:dyDescent="0.45">
      <c r="Q12" s="24" t="str">
        <f ca="1"/>
        <v>OTEX US EQUITY</v>
      </c>
      <c r="R12" s="24">
        <f ca="1"/>
        <v>45930</v>
      </c>
      <c r="S12" s="25" t="str">
        <f ca="1"/>
        <v>canonical</v>
      </c>
      <c r="T12" s="26" t="str">
        <f ca="1"/>
        <v>operating_margin_gaap</v>
      </c>
      <c r="U12" s="30" t="str">
        <f ca="1"/>
        <v>20.9566</v>
      </c>
      <c r="V12" s="29" t="str">
        <f ca="1"/>
        <v>470.43</v>
      </c>
      <c r="W12" s="29" t="str">
        <f ca="1"/>
        <v/>
      </c>
      <c r="X12" s="29" t="str">
        <f ca="1"/>
        <v/>
      </c>
      <c r="Y12" s="29" t="str">
        <f ca="1"/>
        <v>710.29</v>
      </c>
    </row>
    <row r="13" spans="1:25" x14ac:dyDescent="0.45">
      <c r="C13" s="13" t="s">
        <v>12</v>
      </c>
      <c r="D13" s="14">
        <f t="shared" ref="D13:O13" ca="1" si="2">EOMONTH(DATE(YEAR(D14),ROUNDUP(MONTH(D14)/3,0)*3,1),0)</f>
        <v>45016</v>
      </c>
      <c r="E13" s="14">
        <f t="shared" ca="1" si="2"/>
        <v>45107</v>
      </c>
      <c r="F13" s="14">
        <f t="shared" ca="1" si="2"/>
        <v>45199</v>
      </c>
      <c r="G13" s="14">
        <f t="shared" ca="1" si="2"/>
        <v>45291</v>
      </c>
      <c r="H13" s="14">
        <f t="shared" ca="1" si="2"/>
        <v>45382</v>
      </c>
      <c r="I13" s="14">
        <f t="shared" ca="1" si="2"/>
        <v>45473</v>
      </c>
      <c r="J13" s="14">
        <f t="shared" ca="1" si="2"/>
        <v>45565</v>
      </c>
      <c r="K13" s="14">
        <f t="shared" ca="1" si="2"/>
        <v>45657</v>
      </c>
      <c r="L13" s="14">
        <f t="shared" ca="1" si="2"/>
        <v>45747</v>
      </c>
      <c r="M13" s="14">
        <f t="shared" ca="1" si="2"/>
        <v>45838</v>
      </c>
      <c r="N13" s="14">
        <f t="shared" ca="1" si="2"/>
        <v>45930</v>
      </c>
      <c r="O13" s="14">
        <f t="shared" ca="1" si="2"/>
        <v>46022</v>
      </c>
      <c r="Q13" s="24" t="str">
        <f ca="1"/>
        <v>OTEX US EQUITY</v>
      </c>
      <c r="R13" s="24">
        <f ca="1"/>
        <v>46022</v>
      </c>
      <c r="S13" s="25" t="str">
        <f ca="1"/>
        <v>canonical</v>
      </c>
      <c r="T13" s="26" t="str">
        <f ca="1"/>
        <v>operating_margin_gaap</v>
      </c>
      <c r="U13" s="30" t="str">
        <f ca="1"/>
        <v>21.9904</v>
      </c>
      <c r="V13" s="29" t="str">
        <f ca="1"/>
        <v>-17.51</v>
      </c>
      <c r="W13" s="29" t="str">
        <f ca="1"/>
        <v/>
      </c>
      <c r="X13" s="29" t="str">
        <f ca="1"/>
        <v/>
      </c>
      <c r="Y13" s="29" t="str">
        <f ca="1"/>
        <v>103.38</v>
      </c>
    </row>
    <row r="14" spans="1:25" x14ac:dyDescent="0.4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OTEX US EQUITY</v>
      </c>
      <c r="R14" s="24">
        <v>45747</v>
      </c>
      <c r="S14" s="25" t="str">
        <v>custom</v>
      </c>
      <c r="T14" s="26" t="str">
        <v>arr</v>
      </c>
      <c r="U14" s="30" t="str">
        <v>1030</v>
      </c>
      <c r="V14" s="29" t="str">
        <v>-0.101221640488656</v>
      </c>
      <c r="W14" s="29" t="str">
        <v>-200.627260982208</v>
      </c>
      <c r="X14" s="29" t="str">
        <v>-2344.16538145138</v>
      </c>
      <c r="Y14" s="29" t="str">
        <v>-0.0217494538892583</v>
      </c>
    </row>
    <row r="15" spans="1:25" x14ac:dyDescent="0.45">
      <c r="A15" s="16" t="s">
        <v>9</v>
      </c>
      <c r="B15" s="16" t="s">
        <v>14</v>
      </c>
      <c r="C15" s="9" t="s">
        <v>6</v>
      </c>
      <c r="D15" s="3">
        <f ca="1"/>
        <v>70.295000000000002</v>
      </c>
      <c r="E15" s="3">
        <f ca="1"/>
        <v>71.370599999999996</v>
      </c>
      <c r="F15" s="3">
        <f ca="1"/>
        <v>71.446399999999997</v>
      </c>
      <c r="G15" s="3">
        <f ca="1"/>
        <v>73.564599999999999</v>
      </c>
      <c r="H15" s="3">
        <f ca="1"/>
        <v>72.956400000000002</v>
      </c>
      <c r="I15" s="3">
        <f ca="1"/>
        <v>72.511600000000001</v>
      </c>
      <c r="J15" s="3">
        <f ca="1"/>
        <v>71.737899999999996</v>
      </c>
      <c r="K15" s="3">
        <f ca="1"/>
        <v>73.284099999999995</v>
      </c>
      <c r="L15" s="3">
        <f ca="1"/>
        <v>71.610399999999998</v>
      </c>
      <c r="M15" s="3">
        <f ca="1"/>
        <v>72.313800000000001</v>
      </c>
      <c r="N15" s="3">
        <f ca="1"/>
        <v>72.780900000000003</v>
      </c>
      <c r="O15">
        <f ca="1"/>
        <v>74.031300000000002</v>
      </c>
      <c r="Q15" s="24" t="str">
        <v>OTEX US EQUITY</v>
      </c>
      <c r="R15" s="24">
        <v>45838</v>
      </c>
      <c r="S15" s="25" t="str">
        <v>custom</v>
      </c>
      <c r="T15" s="26" t="str">
        <v>arr</v>
      </c>
      <c r="U15" s="30" t="str">
        <v>3160.5</v>
      </c>
      <c r="V15" s="29" t="str">
        <v>1.89078935333394</v>
      </c>
      <c r="W15" s="29" t="str">
        <v>19920.109938226</v>
      </c>
      <c r="X15" s="29" t="str">
        <v>19458.4553310922</v>
      </c>
      <c r="Y15" s="29" t="str">
        <v>2.06844660194175</v>
      </c>
    </row>
    <row r="16" spans="1:25" x14ac:dyDescent="0.45">
      <c r="C16" s="4" t="s">
        <v>4</v>
      </c>
      <c r="D16" s="5"/>
      <c r="E16" s="4"/>
      <c r="F16" s="4"/>
      <c r="G16" s="4"/>
      <c r="H16" s="7">
        <f t="shared" ref="H16:O16" ca="1" si="3">(H15-D15)*100</f>
        <v>266.14000000000004</v>
      </c>
      <c r="I16" s="7">
        <f t="shared" ca="1" si="3"/>
        <v>114.10000000000053</v>
      </c>
      <c r="J16" s="7">
        <f t="shared" ca="1" si="3"/>
        <v>29.14999999999992</v>
      </c>
      <c r="K16" s="7">
        <f t="shared" ca="1" si="3"/>
        <v>-28.050000000000352</v>
      </c>
      <c r="L16" s="7">
        <f t="shared" ca="1" si="3"/>
        <v>-134.60000000000036</v>
      </c>
      <c r="M16" s="7">
        <f t="shared" ca="1" si="3"/>
        <v>-19.780000000000086</v>
      </c>
      <c r="N16" s="7">
        <f t="shared" ca="1" si="3"/>
        <v>104.30000000000064</v>
      </c>
      <c r="O16" s="7">
        <f t="shared" ca="1" si="3"/>
        <v>74.720000000000653</v>
      </c>
      <c r="Q16" s="24" t="str">
        <v>OTEX US EQUITY</v>
      </c>
      <c r="R16" s="24">
        <v>45930</v>
      </c>
      <c r="S16" s="25" t="str">
        <v>custom</v>
      </c>
      <c r="T16" s="26" t="str">
        <v>arr</v>
      </c>
      <c r="U16" s="30" t="str">
        <v>1071.4</v>
      </c>
      <c r="V16" s="29" t="str">
        <v>0.017957244655582</v>
      </c>
      <c r="W16" s="29" t="str">
        <v>-18728.3210867836</v>
      </c>
      <c r="X16" s="29" t="str">
        <v>1017.04088914309</v>
      </c>
      <c r="Y16" s="29" t="str">
        <v>-0.661003005853504</v>
      </c>
    </row>
    <row r="17" spans="1:25" x14ac:dyDescent="0.45">
      <c r="C17" s="4" t="s">
        <v>19</v>
      </c>
      <c r="D17" s="1"/>
      <c r="K17" s="7"/>
      <c r="L17" s="7"/>
      <c r="M17" s="7"/>
      <c r="N17" s="7"/>
      <c r="O17" s="7"/>
      <c r="Q17" s="24" t="str">
        <v>OTEX US EQUITY</v>
      </c>
      <c r="R17" s="24">
        <v>46022</v>
      </c>
      <c r="S17" s="25" t="str">
        <v>custom</v>
      </c>
      <c r="T17" s="26" t="str">
        <v>arr</v>
      </c>
      <c r="U17" s="30" t="str">
        <v>1060</v>
      </c>
      <c r="V17" s="29" t="str">
        <v>0.00674328046348172</v>
      </c>
      <c r="W17" s="29" t="str">
        <v>-112.139641921003</v>
      </c>
      <c r="X17" s="29" t="str">
        <v>879.021948539171</v>
      </c>
      <c r="Y17" s="29" t="str">
        <v>-0.0106402837408999</v>
      </c>
    </row>
    <row r="18" spans="1:25" x14ac:dyDescent="0.4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OTEX US EQUITY</v>
      </c>
      <c r="R18" s="24">
        <v>45747</v>
      </c>
      <c r="S18" s="25" t="str">
        <v>custom</v>
      </c>
      <c r="T18" s="26" t="str">
        <v>enterprise_cloud_bookings</v>
      </c>
      <c r="U18" s="30" t="str">
        <v>151</v>
      </c>
      <c r="V18" s="29" t="str">
        <v>-0.0848484848484848</v>
      </c>
      <c r="W18" s="29" t="str">
        <v>-1441.7051874679</v>
      </c>
      <c r="X18" s="29" t="str">
        <v>-6126.26262626263</v>
      </c>
      <c r="Y18" s="29" t="str">
        <v>-0.396</v>
      </c>
    </row>
    <row r="19" spans="1:25" x14ac:dyDescent="0.45">
      <c r="C19" s="4" t="s">
        <v>5</v>
      </c>
      <c r="D19" s="1"/>
      <c r="K19" s="7"/>
      <c r="L19" s="7">
        <f ca="1">(L15-K15)*100</f>
        <v>-167.36999999999966</v>
      </c>
      <c r="M19" s="7">
        <f ca="1">(M15-L15)*100</f>
        <v>70.340000000000202</v>
      </c>
      <c r="N19" s="7">
        <f ca="1">(N15-M15)*100</f>
        <v>46.710000000000207</v>
      </c>
      <c r="O19" s="7">
        <f ca="1">(O15-N15)*100</f>
        <v>125.03999999999991</v>
      </c>
      <c r="Q19" s="24" t="str">
        <v>OTEX US EQUITY</v>
      </c>
      <c r="R19" s="24">
        <v>45838</v>
      </c>
      <c r="S19" s="25" t="str">
        <v>custom</v>
      </c>
      <c r="T19" s="26" t="str">
        <v>enterprise_cloud_bookings</v>
      </c>
      <c r="U19" s="30" t="str">
        <v>238</v>
      </c>
      <c r="V19" s="29" t="str">
        <v>0.322222222222222</v>
      </c>
      <c r="W19" s="29" t="str">
        <v>4070.70707070707</v>
      </c>
      <c r="X19" s="29" t="str">
        <v>2246.61246612466</v>
      </c>
      <c r="Y19" s="29" t="str">
        <v>0.576158940397351</v>
      </c>
    </row>
    <row r="20" spans="1:25" x14ac:dyDescent="0.45">
      <c r="Q20" s="24" t="str">
        <v>OTEX US EQUITY</v>
      </c>
      <c r="R20" s="24">
        <v>45930</v>
      </c>
      <c r="S20" s="25" t="str">
        <v>custom</v>
      </c>
      <c r="T20" s="26" t="str">
        <v>enterprise_cloud_bookings</v>
      </c>
      <c r="U20" s="30" t="str">
        <v>160.4</v>
      </c>
      <c r="V20" s="29" t="str">
        <v>0.206015037593985</v>
      </c>
      <c r="W20" s="29" t="str">
        <v>-1162.07184628237</v>
      </c>
      <c r="X20" s="29" t="str">
        <v>1068.41483874977</v>
      </c>
      <c r="Y20" s="29" t="str">
        <v>-0.326050420168067</v>
      </c>
    </row>
    <row r="21" spans="1:25" x14ac:dyDescent="0.45">
      <c r="C21" s="13" t="s">
        <v>12</v>
      </c>
      <c r="D21" s="14">
        <f t="shared" ref="D21:O21" ca="1" si="4">EOMONTH(DATE(YEAR(D22),ROUNDUP(MONTH(D22)/3,0)*3,1),0)</f>
        <v>45016</v>
      </c>
      <c r="E21" s="14">
        <f t="shared" ca="1" si="4"/>
        <v>45107</v>
      </c>
      <c r="F21" s="14">
        <f t="shared" ca="1" si="4"/>
        <v>45199</v>
      </c>
      <c r="G21" s="14">
        <f t="shared" ca="1" si="4"/>
        <v>45291</v>
      </c>
      <c r="H21" s="14">
        <f t="shared" ca="1" si="4"/>
        <v>45382</v>
      </c>
      <c r="I21" s="14">
        <f t="shared" ca="1" si="4"/>
        <v>45473</v>
      </c>
      <c r="J21" s="14">
        <f t="shared" ca="1" si="4"/>
        <v>45565</v>
      </c>
      <c r="K21" s="14">
        <f t="shared" ca="1" si="4"/>
        <v>45657</v>
      </c>
      <c r="L21" s="14">
        <f t="shared" ca="1" si="4"/>
        <v>45747</v>
      </c>
      <c r="M21" s="14">
        <f t="shared" ca="1" si="4"/>
        <v>45838</v>
      </c>
      <c r="N21" s="14">
        <f t="shared" ca="1" si="4"/>
        <v>45930</v>
      </c>
      <c r="O21" s="14">
        <f t="shared" ca="1" si="4"/>
        <v>46022</v>
      </c>
      <c r="Q21" s="24" t="str">
        <v>OTEX US EQUITY</v>
      </c>
      <c r="R21" s="24">
        <v>46022</v>
      </c>
      <c r="S21" s="25" t="str">
        <v>custom</v>
      </c>
      <c r="T21" s="26" t="str">
        <v>enterprise_cloud_bookings</v>
      </c>
      <c r="U21" s="30" t="str">
        <v>295</v>
      </c>
      <c r="V21" s="29" t="str">
        <v>0.18</v>
      </c>
      <c r="W21" s="29" t="str">
        <v>-260.150375939852</v>
      </c>
      <c r="X21" s="29" t="str">
        <v>1206.77966101695</v>
      </c>
      <c r="Y21" s="29" t="str">
        <v>0.839152119700748</v>
      </c>
    </row>
    <row r="22" spans="1:25" x14ac:dyDescent="0.45">
      <c r="D22" s="1" cm="1">
        <f t="array" aca="1" ref="D22:O23" ca="1">+_xll.BDH($B$2,C23,$B$3,$B$4,"DIR=H")</f>
        <v>45016</v>
      </c>
      <c r="E22" s="1">
        <f ca="1"/>
        <v>45107</v>
      </c>
      <c r="F22" s="1">
        <f ca="1"/>
        <v>45199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45565</v>
      </c>
      <c r="K22" s="1">
        <f ca="1"/>
        <v>45657</v>
      </c>
      <c r="L22" s="1">
        <f ca="1"/>
        <v>45747</v>
      </c>
      <c r="M22" s="1">
        <f ca="1"/>
        <v>45838</v>
      </c>
      <c r="N22" s="1">
        <f ca="1"/>
        <v>45930</v>
      </c>
      <c r="O22" s="1">
        <f ca="1"/>
        <v>46022</v>
      </c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OTEX US EQUITY</v>
      </c>
      <c r="R22" s="24">
        <v>45747</v>
      </c>
      <c r="S22" s="25" t="str">
        <v>custom</v>
      </c>
      <c r="T22" s="26" t="str">
        <v>cloud_net_renewal_rate_pct</v>
      </c>
      <c r="U22" s="27" t="str">
        <v>0.96</v>
      </c>
      <c r="V22" s="28" t="str">
        <v>399.999999999999</v>
      </c>
      <c r="W22" s="29" t="str">
        <v/>
      </c>
      <c r="X22" s="28" t="str">
        <v/>
      </c>
      <c r="Y22" s="29" t="str">
        <v>100</v>
      </c>
    </row>
    <row r="23" spans="1:25" x14ac:dyDescent="0.45">
      <c r="A23" s="16" t="s">
        <v>9</v>
      </c>
      <c r="B23" s="16" t="s">
        <v>15</v>
      </c>
      <c r="C23" s="9" t="s">
        <v>7</v>
      </c>
      <c r="D23" s="3">
        <f ca="1"/>
        <v>5.141</v>
      </c>
      <c r="E23" s="3">
        <f ca="1"/>
        <v>8.1355000000000004</v>
      </c>
      <c r="F23" s="3">
        <f ca="1"/>
        <v>14.9353</v>
      </c>
      <c r="G23" s="3">
        <f ca="1"/>
        <v>16.54</v>
      </c>
      <c r="H23" s="3">
        <f ca="1"/>
        <v>15.690899999999999</v>
      </c>
      <c r="I23" s="3">
        <f ca="1"/>
        <v>14.1877</v>
      </c>
      <c r="J23" s="3">
        <f ca="1"/>
        <v>16.252300000000002</v>
      </c>
      <c r="K23" s="3">
        <f ca="1"/>
        <v>22.165500000000002</v>
      </c>
      <c r="L23" s="3">
        <f ca="1"/>
        <v>16.669</v>
      </c>
      <c r="M23" s="3">
        <f ca="1"/>
        <v>13.8537</v>
      </c>
      <c r="N23" s="3">
        <f ca="1"/>
        <v>20.956600000000002</v>
      </c>
      <c r="O23">
        <f ca="1"/>
        <v>21.990400000000001</v>
      </c>
      <c r="Q23" s="24" t="str">
        <v>OTEX US EQUITY</v>
      </c>
      <c r="R23" s="24">
        <v>45838</v>
      </c>
      <c r="S23" s="25" t="str">
        <v>custom</v>
      </c>
      <c r="T23" s="26" t="str">
        <v>cloud_net_renewal_rate_pct</v>
      </c>
      <c r="U23" s="27" t="str">
        <v>0.96</v>
      </c>
      <c r="V23" s="28" t="str">
        <v>399.999999999999</v>
      </c>
      <c r="W23" s="29" t="str">
        <v/>
      </c>
      <c r="X23" s="28" t="str">
        <v/>
      </c>
      <c r="Y23" s="29" t="str">
        <v>0</v>
      </c>
    </row>
    <row r="24" spans="1:25" x14ac:dyDescent="0.45">
      <c r="C24" s="4" t="s">
        <v>4</v>
      </c>
      <c r="D24" s="5"/>
      <c r="E24" s="4"/>
      <c r="F24" s="4"/>
      <c r="G24" s="4"/>
      <c r="H24" s="7">
        <f t="shared" ref="H24:O24" ca="1" si="5">(H23-D23)*100</f>
        <v>1054.99</v>
      </c>
      <c r="I24" s="7">
        <f t="shared" ca="1" si="5"/>
        <v>605.21999999999991</v>
      </c>
      <c r="J24" s="7">
        <f t="shared" ca="1" si="5"/>
        <v>131.70000000000019</v>
      </c>
      <c r="K24" s="7">
        <f t="shared" ca="1" si="5"/>
        <v>562.55000000000018</v>
      </c>
      <c r="L24" s="7">
        <f t="shared" ca="1" si="5"/>
        <v>97.81000000000013</v>
      </c>
      <c r="M24" s="7">
        <f t="shared" ca="1" si="5"/>
        <v>-33.399999999999963</v>
      </c>
      <c r="N24" s="7">
        <f t="shared" ca="1" si="5"/>
        <v>470.43</v>
      </c>
      <c r="O24" s="7">
        <f t="shared" ca="1" si="5"/>
        <v>-17.510000000000048</v>
      </c>
      <c r="Q24" s="24" t="str">
        <v>OTEX US EQUITY</v>
      </c>
      <c r="R24" s="24">
        <v>45930</v>
      </c>
      <c r="S24" s="25" t="str">
        <v>custom</v>
      </c>
      <c r="T24" s="26" t="str">
        <v>cloud_net_renewal_rate_pct</v>
      </c>
      <c r="U24" s="27" t="str">
        <v>0.96</v>
      </c>
      <c r="V24" s="28" t="str">
        <v>200</v>
      </c>
      <c r="W24" s="29" t="str">
        <v/>
      </c>
      <c r="X24" s="28" t="str">
        <v/>
      </c>
      <c r="Y24" s="29" t="str">
        <v>0</v>
      </c>
    </row>
    <row r="25" spans="1:25" x14ac:dyDescent="0.45">
      <c r="C25" s="4" t="s">
        <v>19</v>
      </c>
      <c r="D25" s="1"/>
      <c r="K25" s="7"/>
      <c r="L25" s="7"/>
      <c r="M25" s="7"/>
      <c r="N25" s="7"/>
      <c r="O25" s="7"/>
      <c r="Q25" s="24" t="str">
        <v>OTEX US EQUITY</v>
      </c>
      <c r="R25" s="24">
        <v>46022</v>
      </c>
      <c r="S25" s="25" t="str">
        <v>custom</v>
      </c>
      <c r="T25" s="26" t="str">
        <v>cloud_net_renewal_rate_pct</v>
      </c>
      <c r="U25" s="27" t="str">
        <v>0.95</v>
      </c>
      <c r="V25" s="28" t="str">
        <v>0</v>
      </c>
      <c r="W25" s="29" t="str">
        <v/>
      </c>
      <c r="X25" s="28" t="str">
        <v/>
      </c>
      <c r="Y25" s="29" t="str">
        <v>-100</v>
      </c>
    </row>
    <row r="26" spans="1:25" x14ac:dyDescent="0.4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OTEX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45">
      <c r="C27" s="4" t="s">
        <v>5</v>
      </c>
      <c r="D27" s="1"/>
      <c r="K27" s="7"/>
      <c r="L27" s="7">
        <f ca="1">(L23-K23)*100</f>
        <v>-549.65000000000009</v>
      </c>
      <c r="M27" s="7">
        <f ca="1">(M23-L23)*100</f>
        <v>-281.53000000000009</v>
      </c>
      <c r="N27" s="7">
        <f ca="1">(N23-M23)*100</f>
        <v>710.29000000000019</v>
      </c>
      <c r="O27" s="7">
        <f ca="1">(O23-N23)*100</f>
        <v>103.37999999999994</v>
      </c>
      <c r="Q27" s="24" t="str">
        <v>OTEX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45">
      <c r="C28" s="4"/>
      <c r="D28" s="1"/>
      <c r="K28" s="7"/>
      <c r="L28" s="7"/>
      <c r="M28" s="7"/>
      <c r="N28" s="7"/>
      <c r="O28" s="7"/>
      <c r="Q28" s="24" t="str">
        <v>OTEX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45">
      <c r="C29" s="13"/>
      <c r="D29" s="14">
        <f t="shared" ref="D29:L29" si="6">EOMONTH(DATE(YEAR(D30),ROUNDUP(MONTH(D30)/3,0)*3,1),0)</f>
        <v>45016</v>
      </c>
      <c r="E29" s="14">
        <f t="shared" si="6"/>
        <v>45107</v>
      </c>
      <c r="F29" s="14">
        <f t="shared" si="6"/>
        <v>45199</v>
      </c>
      <c r="G29" s="14">
        <f t="shared" si="6"/>
        <v>45291</v>
      </c>
      <c r="H29" s="14">
        <f t="shared" si="6"/>
        <v>45382</v>
      </c>
      <c r="I29" s="14">
        <f t="shared" si="6"/>
        <v>45473</v>
      </c>
      <c r="J29" s="14">
        <f t="shared" si="6"/>
        <v>45565</v>
      </c>
      <c r="K29" s="14">
        <f t="shared" si="6"/>
        <v>45657</v>
      </c>
      <c r="L29" s="14">
        <f t="shared" si="6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OTEX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45">
      <c r="D30" s="2">
        <v>45016</v>
      </c>
      <c r="E30" s="2">
        <v>45107</v>
      </c>
      <c r="F30" s="2">
        <v>45199</v>
      </c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OTEX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45">
      <c r="A31" s="16" t="s">
        <v>21</v>
      </c>
      <c r="B31" s="16" t="s">
        <v>58</v>
      </c>
      <c r="C31" s="2" t="s">
        <v>27</v>
      </c>
      <c r="D31" s="32">
        <v>1011.3</v>
      </c>
      <c r="E31" s="32">
        <v>1157</v>
      </c>
      <c r="F31" s="32">
        <v>1148.7</v>
      </c>
      <c r="G31" s="32">
        <v>1145.9000000000001</v>
      </c>
      <c r="H31" s="32">
        <v>1146</v>
      </c>
      <c r="I31" s="32">
        <v>1093.3</v>
      </c>
      <c r="J31" s="32">
        <v>1052.5</v>
      </c>
      <c r="K31" s="32">
        <v>1052.9000000000001</v>
      </c>
      <c r="L31" s="32">
        <v>1030</v>
      </c>
      <c r="M31" s="32">
        <v>3160.5</v>
      </c>
      <c r="N31" s="32">
        <v>1071.4000000000001</v>
      </c>
      <c r="O31" s="32">
        <v>1060</v>
      </c>
      <c r="Q31" s="24" t="str">
        <v>OTEX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45">
      <c r="C32" s="4" t="s">
        <v>4</v>
      </c>
      <c r="D32" s="5"/>
      <c r="E32" s="4"/>
      <c r="F32" s="4"/>
      <c r="G32" s="12"/>
      <c r="H32" s="12">
        <f t="shared" ref="H32:O32" si="7">+H31/D31-1</f>
        <v>0.13319489765648185</v>
      </c>
      <c r="I32" s="12">
        <f t="shared" si="7"/>
        <v>-5.5056179775280989E-2</v>
      </c>
      <c r="J32" s="12">
        <f t="shared" si="7"/>
        <v>-8.3746844258727249E-2</v>
      </c>
      <c r="K32" s="12">
        <f t="shared" si="7"/>
        <v>-8.1158914390435433E-2</v>
      </c>
      <c r="L32" s="12">
        <f t="shared" si="7"/>
        <v>-0.10122164048865623</v>
      </c>
      <c r="M32" s="12">
        <f t="shared" si="7"/>
        <v>1.8907893533339433</v>
      </c>
      <c r="N32" s="12">
        <f t="shared" si="7"/>
        <v>1.7957244655582016E-2</v>
      </c>
      <c r="O32" s="12">
        <f t="shared" si="7"/>
        <v>6.7432804634817156E-3</v>
      </c>
      <c r="Q32" s="24" t="str">
        <v>OTEX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45">
      <c r="C33" s="4" t="s">
        <v>19</v>
      </c>
      <c r="D33" s="1"/>
      <c r="L33" s="7">
        <f>(L32-K32)*10000</f>
        <v>-200.62726098220796</v>
      </c>
      <c r="M33" s="7">
        <f>(M32-L32)*10000</f>
        <v>19920.109938225993</v>
      </c>
      <c r="N33" s="7">
        <f>(N32-M32)*10000</f>
        <v>-18728.321086783613</v>
      </c>
      <c r="O33" s="7">
        <f>(O32-N32)*10000</f>
        <v>-112.139641921003</v>
      </c>
      <c r="Q33" s="24" t="str">
        <v>OTEX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45">
      <c r="C34" s="4" t="s">
        <v>23</v>
      </c>
      <c r="D34" s="1"/>
      <c r="E34" s="6"/>
      <c r="F34" s="6"/>
      <c r="G34" s="6"/>
      <c r="H34" s="6"/>
      <c r="I34" s="6"/>
      <c r="J34" s="6"/>
      <c r="K34" s="6"/>
      <c r="L34" s="7">
        <f>(L32-H32)*10000</f>
        <v>-2344.1653814513807</v>
      </c>
      <c r="M34" s="7">
        <f>(M32-I32)*10000</f>
        <v>19458.455331092242</v>
      </c>
      <c r="N34" s="7">
        <f>(N32-J32)*10000</f>
        <v>1017.0408891430926</v>
      </c>
      <c r="O34" s="7">
        <f>(O32-K32)*10000</f>
        <v>879.02194853917149</v>
      </c>
    </row>
    <row r="35" spans="1:25" x14ac:dyDescent="0.45">
      <c r="C35" s="4" t="s">
        <v>5</v>
      </c>
      <c r="D35" s="1"/>
      <c r="L35" s="12">
        <f>L31/K31-1</f>
        <v>-2.1749453889258308E-2</v>
      </c>
      <c r="M35" s="12">
        <f>M31/L31-1</f>
        <v>2.0684466019417478</v>
      </c>
      <c r="N35" s="12">
        <f>N31/M31-1</f>
        <v>-0.66100300585350413</v>
      </c>
      <c r="O35" s="12">
        <f>O31/N31-1</f>
        <v>-1.064028374089987E-2</v>
      </c>
    </row>
    <row r="36" spans="1:25" x14ac:dyDescent="0.45">
      <c r="C36" s="4"/>
      <c r="D36" s="1"/>
      <c r="L36" s="7"/>
      <c r="M36" s="7"/>
      <c r="N36" s="7"/>
      <c r="O36" s="7"/>
    </row>
    <row r="37" spans="1:25" x14ac:dyDescent="0.45">
      <c r="C37" s="13"/>
      <c r="D37" s="14">
        <f t="shared" ref="D37:L37" si="8">EOMONTH(DATE(YEAR(D38),ROUNDUP(MONTH(D38)/3,0)*3,1),0)</f>
        <v>45016</v>
      </c>
      <c r="E37" s="14">
        <f t="shared" si="8"/>
        <v>45107</v>
      </c>
      <c r="F37" s="14">
        <f t="shared" si="8"/>
        <v>45199</v>
      </c>
      <c r="G37" s="14">
        <f t="shared" si="8"/>
        <v>45291</v>
      </c>
      <c r="H37" s="14">
        <f t="shared" si="8"/>
        <v>45382</v>
      </c>
      <c r="I37" s="14">
        <f t="shared" si="8"/>
        <v>45473</v>
      </c>
      <c r="J37" s="14">
        <f t="shared" si="8"/>
        <v>45565</v>
      </c>
      <c r="K37" s="14">
        <f t="shared" si="8"/>
        <v>45657</v>
      </c>
      <c r="L37" s="14">
        <f t="shared" si="8"/>
        <v>45747</v>
      </c>
      <c r="M37" s="14">
        <f>EOMONTH(DATE(YEAR(M38),ROUNDUP(MONTH(M38)/3,0)*3,1),0)</f>
        <v>45838</v>
      </c>
      <c r="N37" s="14">
        <f>EOMONTH(DATE(YEAR(N38),ROUNDUP(MONTH(N38)/3,0)*3,1),0)</f>
        <v>45930</v>
      </c>
      <c r="O37" s="14">
        <f>EOMONTH(DATE(YEAR(O38),ROUNDUP(MONTH(O38)/3,0)*3,1),0)</f>
        <v>46022</v>
      </c>
    </row>
    <row r="38" spans="1:25" x14ac:dyDescent="0.45">
      <c r="D38" s="2">
        <v>45016</v>
      </c>
      <c r="E38" s="2">
        <v>45107</v>
      </c>
      <c r="F38" s="2">
        <v>45199</v>
      </c>
      <c r="G38" s="2">
        <v>45291</v>
      </c>
      <c r="H38" s="2">
        <v>45382</v>
      </c>
      <c r="I38" s="2">
        <v>45473</v>
      </c>
      <c r="J38" s="2">
        <v>45565</v>
      </c>
      <c r="K38" s="2">
        <v>45657</v>
      </c>
      <c r="L38" s="2">
        <v>45747</v>
      </c>
      <c r="M38" s="2">
        <v>45838</v>
      </c>
      <c r="N38" s="2">
        <v>45930</v>
      </c>
      <c r="O38" s="2">
        <v>46022</v>
      </c>
    </row>
    <row r="39" spans="1:25" x14ac:dyDescent="0.45">
      <c r="A39" s="16" t="s">
        <v>21</v>
      </c>
      <c r="B39" s="16" t="s">
        <v>70</v>
      </c>
      <c r="C39" s="2" t="s">
        <v>71</v>
      </c>
      <c r="D39" s="32">
        <v>108</v>
      </c>
      <c r="E39" s="32">
        <v>164</v>
      </c>
      <c r="F39" s="32">
        <v>121</v>
      </c>
      <c r="G39" s="32">
        <v>236</v>
      </c>
      <c r="H39" s="32">
        <v>165</v>
      </c>
      <c r="I39" s="32">
        <v>180</v>
      </c>
      <c r="J39" s="32">
        <v>133</v>
      </c>
      <c r="K39" s="32">
        <v>250</v>
      </c>
      <c r="L39" s="32">
        <v>151</v>
      </c>
      <c r="M39" s="32">
        <v>238</v>
      </c>
      <c r="N39" s="32">
        <v>160.4</v>
      </c>
      <c r="O39" s="32">
        <v>295</v>
      </c>
    </row>
    <row r="40" spans="1:25" x14ac:dyDescent="0.45">
      <c r="C40" s="4" t="s">
        <v>4</v>
      </c>
      <c r="D40" s="5"/>
      <c r="E40" s="4"/>
      <c r="F40" s="4"/>
      <c r="G40" s="12"/>
      <c r="H40" s="12">
        <f t="shared" ref="H40" si="9">+H39/D39-1</f>
        <v>0.52777777777777768</v>
      </c>
      <c r="I40" s="12">
        <f t="shared" ref="I40" si="10">+I39/E39-1</f>
        <v>9.7560975609756184E-2</v>
      </c>
      <c r="J40" s="12">
        <f t="shared" ref="J40" si="11">+J39/F39-1</f>
        <v>9.9173553719008156E-2</v>
      </c>
      <c r="K40" s="12">
        <f t="shared" ref="K40" si="12">+K39/G39-1</f>
        <v>5.9322033898305149E-2</v>
      </c>
      <c r="L40" s="12">
        <f t="shared" ref="L40" si="13">+L39/H39-1</f>
        <v>-8.484848484848484E-2</v>
      </c>
      <c r="M40" s="12">
        <f t="shared" ref="M40" si="14">+M39/I39-1</f>
        <v>0.32222222222222219</v>
      </c>
      <c r="N40" s="12">
        <f t="shared" ref="N40" si="15">+N39/J39-1</f>
        <v>0.2060150375939851</v>
      </c>
      <c r="O40" s="12">
        <f t="shared" ref="O40" si="16">+O39/K39-1</f>
        <v>0.17999999999999994</v>
      </c>
    </row>
    <row r="41" spans="1:25" x14ac:dyDescent="0.45">
      <c r="C41" s="4" t="s">
        <v>19</v>
      </c>
      <c r="D41" s="1"/>
      <c r="L41" s="7">
        <f>(L40-K40)*10000</f>
        <v>-1441.7051874678998</v>
      </c>
      <c r="M41" s="7">
        <f>(M40-L40)*10000</f>
        <v>4070.7070707070702</v>
      </c>
      <c r="N41" s="7">
        <f>(N40-M40)*10000</f>
        <v>-1162.0718462823709</v>
      </c>
      <c r="O41" s="7">
        <f>(O40-N40)*10000</f>
        <v>-260.15037593985159</v>
      </c>
    </row>
    <row r="42" spans="1:25" x14ac:dyDescent="0.45">
      <c r="C42" s="4" t="s">
        <v>23</v>
      </c>
      <c r="D42" s="1"/>
      <c r="E42" s="6"/>
      <c r="F42" s="6"/>
      <c r="G42" s="6"/>
      <c r="H42" s="6"/>
      <c r="I42" s="6"/>
      <c r="J42" s="6"/>
      <c r="K42" s="6"/>
      <c r="L42" s="7">
        <f>(L40-H40)*10000</f>
        <v>-6126.2626262626254</v>
      </c>
      <c r="M42" s="7">
        <f>(M40-I40)*10000</f>
        <v>2246.6124661246599</v>
      </c>
      <c r="N42" s="7">
        <f>(N40-J40)*10000</f>
        <v>1068.4148387497694</v>
      </c>
      <c r="O42" s="7">
        <f>(O40-K40)*10000</f>
        <v>1206.7796610169478</v>
      </c>
    </row>
    <row r="43" spans="1:25" x14ac:dyDescent="0.45">
      <c r="C43" s="4" t="s">
        <v>5</v>
      </c>
      <c r="D43" s="1"/>
      <c r="L43" s="12">
        <f>L39/K39-1</f>
        <v>-0.39600000000000002</v>
      </c>
      <c r="M43" s="12">
        <f>M39/L39-1</f>
        <v>0.57615894039735105</v>
      </c>
      <c r="N43" s="12">
        <f>N39/M39-1</f>
        <v>-0.32605042016806718</v>
      </c>
      <c r="O43" s="12">
        <f>O39/N39-1</f>
        <v>0.8391521197007481</v>
      </c>
    </row>
    <row r="44" spans="1:25" x14ac:dyDescent="0.45">
      <c r="C44" s="4"/>
      <c r="D44" s="1"/>
      <c r="G44" s="1"/>
    </row>
    <row r="45" spans="1:25" x14ac:dyDescent="0.45">
      <c r="C45" s="13"/>
      <c r="D45" s="14">
        <f t="shared" ref="D45:L45" si="17">EOMONTH(DATE(YEAR(D46),ROUNDUP(MONTH(D46)/3,0)*3,1),0)</f>
        <v>45016</v>
      </c>
      <c r="E45" s="14">
        <f t="shared" si="17"/>
        <v>45107</v>
      </c>
      <c r="F45" s="14">
        <f t="shared" si="17"/>
        <v>45199</v>
      </c>
      <c r="G45" s="14">
        <f t="shared" si="17"/>
        <v>45291</v>
      </c>
      <c r="H45" s="14">
        <f t="shared" si="17"/>
        <v>45382</v>
      </c>
      <c r="I45" s="14">
        <f t="shared" si="17"/>
        <v>45473</v>
      </c>
      <c r="J45" s="14">
        <f t="shared" si="17"/>
        <v>45565</v>
      </c>
      <c r="K45" s="14">
        <f t="shared" si="17"/>
        <v>45657</v>
      </c>
      <c r="L45" s="14">
        <f t="shared" si="17"/>
        <v>45747</v>
      </c>
      <c r="M45" s="14">
        <f>EOMONTH(DATE(YEAR(M46),ROUNDUP(MONTH(M46)/3,0)*3,1),0)</f>
        <v>45838</v>
      </c>
      <c r="N45" s="14">
        <f>EOMONTH(DATE(YEAR(N46),ROUNDUP(MONTH(N46)/3,0)*3,1),0)</f>
        <v>45930</v>
      </c>
      <c r="O45" s="14">
        <f>EOMONTH(DATE(YEAR(O46),ROUNDUP(MONTH(O46)/3,0)*3,1),0)</f>
        <v>46022</v>
      </c>
    </row>
    <row r="46" spans="1:25" x14ac:dyDescent="0.45">
      <c r="D46" s="2">
        <v>45016</v>
      </c>
      <c r="E46" s="2">
        <v>45107</v>
      </c>
      <c r="F46" s="2">
        <v>45199</v>
      </c>
      <c r="G46" s="2">
        <v>45291</v>
      </c>
      <c r="H46" s="2">
        <v>45382</v>
      </c>
      <c r="I46" s="2">
        <v>45473</v>
      </c>
      <c r="J46" s="2">
        <v>45565</v>
      </c>
      <c r="K46" s="2">
        <v>45657</v>
      </c>
      <c r="L46" s="2">
        <v>45747</v>
      </c>
      <c r="M46" s="2">
        <v>45838</v>
      </c>
      <c r="N46" s="2">
        <v>45930</v>
      </c>
      <c r="O46" s="2">
        <v>46022</v>
      </c>
    </row>
    <row r="47" spans="1:25" x14ac:dyDescent="0.45">
      <c r="A47" s="16" t="s">
        <v>21</v>
      </c>
      <c r="B47" s="16" t="s">
        <v>72</v>
      </c>
      <c r="C47" s="2" t="s">
        <v>73</v>
      </c>
      <c r="D47" s="34">
        <v>0.95</v>
      </c>
      <c r="E47" s="34">
        <v>0.94</v>
      </c>
      <c r="F47" s="34">
        <v>0.94</v>
      </c>
      <c r="G47" s="35">
        <v>0.93</v>
      </c>
      <c r="H47" s="35">
        <v>0.92</v>
      </c>
      <c r="I47" s="35">
        <v>0.92</v>
      </c>
      <c r="J47" s="35">
        <v>0.94</v>
      </c>
      <c r="K47" s="35">
        <v>0.95</v>
      </c>
      <c r="L47" s="35">
        <v>0.96</v>
      </c>
      <c r="M47" s="35">
        <v>0.96</v>
      </c>
      <c r="N47" s="35">
        <v>0.96</v>
      </c>
      <c r="O47" s="35">
        <v>0.95</v>
      </c>
    </row>
    <row r="48" spans="1:25" x14ac:dyDescent="0.45">
      <c r="C48" s="4"/>
      <c r="D48" s="5"/>
      <c r="E48" s="4"/>
      <c r="F48" s="4"/>
      <c r="G48" s="4"/>
      <c r="H48" s="7">
        <f t="shared" ref="H48:O48" si="18">(H47-D47)*10000</f>
        <v>-299.99999999999915</v>
      </c>
      <c r="I48" s="7">
        <f t="shared" si="18"/>
        <v>-199.99999999999906</v>
      </c>
      <c r="J48" s="7">
        <f t="shared" si="18"/>
        <v>0</v>
      </c>
      <c r="K48" s="7">
        <f t="shared" si="18"/>
        <v>199.99999999999906</v>
      </c>
      <c r="L48" s="7">
        <f t="shared" si="18"/>
        <v>399.99999999999926</v>
      </c>
      <c r="M48" s="7">
        <f t="shared" si="18"/>
        <v>399.99999999999926</v>
      </c>
      <c r="N48" s="7">
        <f t="shared" si="18"/>
        <v>200.00000000000017</v>
      </c>
      <c r="O48" s="7">
        <f t="shared" si="18"/>
        <v>0</v>
      </c>
    </row>
    <row r="49" spans="1:15" x14ac:dyDescent="0.45">
      <c r="C49" s="4"/>
      <c r="D49" s="1"/>
      <c r="K49" s="7"/>
      <c r="L49" s="7"/>
      <c r="M49" s="7"/>
      <c r="N49" s="7"/>
      <c r="O49" s="7"/>
    </row>
    <row r="50" spans="1:15" x14ac:dyDescent="0.45">
      <c r="C50" s="4"/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45">
      <c r="C51" s="4"/>
      <c r="D51" s="1"/>
      <c r="K51" s="7"/>
      <c r="L51" s="7">
        <f>(L47-K47)*10000</f>
        <v>100.00000000000009</v>
      </c>
      <c r="M51" s="7">
        <f t="shared" ref="M51:O51" si="19">(M47-L47)*10000</f>
        <v>0</v>
      </c>
      <c r="N51" s="7">
        <f t="shared" si="19"/>
        <v>0</v>
      </c>
      <c r="O51" s="7">
        <f t="shared" si="19"/>
        <v>-100.00000000000009</v>
      </c>
    </row>
    <row r="52" spans="1:15" x14ac:dyDescent="0.45">
      <c r="C52" s="4"/>
      <c r="D52" s="1"/>
      <c r="G52" s="1"/>
    </row>
    <row r="53" spans="1:15" x14ac:dyDescent="0.4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4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4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4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45">
      <c r="C57" s="4"/>
      <c r="D57" s="1"/>
      <c r="K57" s="7"/>
      <c r="L57" s="7"/>
      <c r="M57" s="7"/>
      <c r="N57" s="7"/>
      <c r="O57" s="7"/>
    </row>
    <row r="58" spans="1:15" x14ac:dyDescent="0.4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45">
      <c r="C59" s="4"/>
      <c r="D59" s="1"/>
      <c r="K59" s="7"/>
      <c r="L59" s="7"/>
      <c r="M59" s="7"/>
      <c r="N59" s="7"/>
      <c r="O59" s="7"/>
    </row>
    <row r="64" spans="1:15" x14ac:dyDescent="0.4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45">
      <c r="C65" s="4"/>
      <c r="D65" s="1"/>
      <c r="K65" s="7"/>
      <c r="L65" s="7"/>
      <c r="M65" s="7"/>
      <c r="N65" s="7"/>
      <c r="O65" s="7"/>
    </row>
    <row r="66" spans="3:15" x14ac:dyDescent="0.4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4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9B315-E476-44BF-9FCC-6A1859DD15FD}">
  <dimension ref="A1:Y67"/>
  <sheetViews>
    <sheetView zoomScale="85" zoomScaleNormal="85" workbookViewId="0">
      <pane xSplit="3" topLeftCell="G1" activePane="topRight" state="frozen"/>
      <selection pane="topRight" activeCell="N23" sqref="N23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6" width="10.1328125" bestFit="1" customWidth="1"/>
    <col min="7" max="7" width="10.59765625" bestFit="1" customWidth="1"/>
    <col min="8" max="10" width="10.1328125" bestFit="1" customWidth="1"/>
    <col min="11" max="11" width="10.59765625" bestFit="1" customWidth="1"/>
    <col min="12" max="12" width="10.1328125" bestFit="1" customWidth="1"/>
    <col min="13" max="15" width="10.265625" bestFit="1" customWidth="1"/>
    <col min="16" max="16" width="9" customWidth="1"/>
    <col min="17" max="17" width="12.3984375" bestFit="1" customWidth="1"/>
    <col min="18" max="18" width="14.3984375" bestFit="1" customWidth="1"/>
    <col min="19" max="19" width="8.59765625" bestFit="1" customWidth="1"/>
    <col min="20" max="20" width="20.265625" bestFit="1" customWidth="1"/>
    <col min="21" max="21" width="7.3984375" bestFit="1" customWidth="1"/>
    <col min="22" max="22" width="10.73046875" bestFit="1" customWidth="1"/>
    <col min="23" max="23" width="9.1328125" bestFit="1" customWidth="1"/>
    <col min="24" max="24" width="10.3984375" bestFit="1" customWidth="1"/>
    <col min="25" max="25" width="9.1328125" bestFit="1" customWidth="1"/>
  </cols>
  <sheetData>
    <row r="1" spans="1:25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45">
      <c r="A2" s="17" t="s">
        <v>1</v>
      </c>
      <c r="B2" s="31" t="s">
        <v>74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PAY US EQUITY</v>
      </c>
      <c r="R2" s="24">
        <f ca="1"/>
        <v>45747</v>
      </c>
      <c r="S2" s="25" t="str">
        <f ca="1"/>
        <v>canonical</v>
      </c>
      <c r="T2" s="26" t="str">
        <f ca="1"/>
        <v>revenue</v>
      </c>
      <c r="U2" s="27" t="str">
        <f ca="1"/>
        <v>275.235</v>
      </c>
      <c r="V2" s="28" t="str">
        <f ca="1"/>
        <v>0.488762677484787</v>
      </c>
      <c r="W2" s="29" t="str">
        <f ca="1"/>
        <v>-760.249438744363</v>
      </c>
      <c r="X2" s="28" t="str">
        <f ca="1"/>
        <v>2423.69548743079</v>
      </c>
      <c r="Y2" s="29" t="str">
        <f ca="1"/>
        <v>0.0673111599716143</v>
      </c>
    </row>
    <row r="3" spans="1:25" x14ac:dyDescent="0.45">
      <c r="A3" s="18" t="s">
        <v>3</v>
      </c>
      <c r="B3" s="19">
        <f ca="1">+B4-365*3</f>
        <v>45001</v>
      </c>
      <c r="Q3" s="24" t="str">
        <f ca="1"/>
        <v>PAY US EQUITY</v>
      </c>
      <c r="R3" s="24">
        <f ca="1"/>
        <v>45838</v>
      </c>
      <c r="S3" s="25" t="str">
        <f ca="1"/>
        <v>canonical</v>
      </c>
      <c r="T3" s="26" t="str">
        <f ca="1"/>
        <v>revenue</v>
      </c>
      <c r="U3" s="27" t="str">
        <f ca="1"/>
        <v>280.077</v>
      </c>
      <c r="V3" s="28" t="str">
        <f ca="1"/>
        <v>0.418671677928498</v>
      </c>
      <c r="W3" s="29" t="str">
        <f ca="1"/>
        <v>-700.909995562886</v>
      </c>
      <c r="X3" s="29" t="str">
        <f ca="1"/>
        <v>931.49148570842</v>
      </c>
      <c r="Y3" s="29" t="str">
        <f ca="1"/>
        <v>0.017592239359093</v>
      </c>
    </row>
    <row r="4" spans="1:25" x14ac:dyDescent="0.45">
      <c r="A4" s="20" t="s">
        <v>2</v>
      </c>
      <c r="B4" s="21">
        <f ca="1">TODAY()</f>
        <v>46096</v>
      </c>
      <c r="Q4" s="24" t="str">
        <f ca="1"/>
        <v>PAY US EQUITY</v>
      </c>
      <c r="R4" s="24">
        <f ca="1"/>
        <v>45930</v>
      </c>
      <c r="S4" s="25" t="str">
        <f ca="1"/>
        <v>canonical</v>
      </c>
      <c r="T4" s="26" t="str">
        <f ca="1"/>
        <v>revenue</v>
      </c>
      <c r="U4" s="27" t="str">
        <f ca="1"/>
        <v>310.737</v>
      </c>
      <c r="V4" s="28" t="str">
        <f ca="1"/>
        <v>0.341864914000458</v>
      </c>
      <c r="W4" s="29" t="str">
        <f ca="1"/>
        <v>-768.067639280405</v>
      </c>
      <c r="X4" s="29" t="str">
        <f ca="1"/>
        <v>-1774.00551185242</v>
      </c>
      <c r="Y4" s="29" t="str">
        <f ca="1"/>
        <v>0.109469895778661</v>
      </c>
    </row>
    <row r="5" spans="1:25" x14ac:dyDescent="0.45">
      <c r="C5" s="13" t="s">
        <v>12</v>
      </c>
      <c r="D5" s="14">
        <f t="shared" ref="D5:O5" ca="1" si="0">EOMONTH(DATE(YEAR(D6),ROUNDUP(MONTH(D6)/3,0)*3,1),0)</f>
        <v>45016</v>
      </c>
      <c r="E5" s="14">
        <f t="shared" ca="1" si="0"/>
        <v>45107</v>
      </c>
      <c r="F5" s="14">
        <f t="shared" ca="1" si="0"/>
        <v>45199</v>
      </c>
      <c r="G5" s="14">
        <f t="shared" ca="1" si="0"/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t="shared" ca="1" si="0"/>
        <v>45747</v>
      </c>
      <c r="M5" s="14">
        <f t="shared" ca="1" si="0"/>
        <v>45838</v>
      </c>
      <c r="N5" s="14">
        <f t="shared" ca="1" si="0"/>
        <v>45930</v>
      </c>
      <c r="O5" s="14">
        <f t="shared" ca="1" si="0"/>
        <v>46022</v>
      </c>
      <c r="Q5" s="24" t="str">
        <f ca="1"/>
        <v>PAY US EQUITY</v>
      </c>
      <c r="R5" s="24">
        <f ca="1"/>
        <v>46022</v>
      </c>
      <c r="S5" s="25" t="str">
        <f ca="1"/>
        <v>canonical</v>
      </c>
      <c r="T5" s="26" t="str">
        <f ca="1"/>
        <v>revenue</v>
      </c>
      <c r="U5" s="27" t="str">
        <f ca="1"/>
        <v>330.458</v>
      </c>
      <c r="V5" s="28" t="str">
        <f ca="1"/>
        <v>0.281455887884534</v>
      </c>
      <c r="W5" s="29" t="str">
        <f ca="1"/>
        <v>-604.090261159238</v>
      </c>
      <c r="X5" s="29" t="str">
        <f ca="1"/>
        <v>-2833.31733474689</v>
      </c>
      <c r="Y5" s="29" t="str">
        <f ca="1"/>
        <v>0.0634652455291773</v>
      </c>
    </row>
    <row r="6" spans="1:25" x14ac:dyDescent="0.45">
      <c r="D6" s="15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PAY US EQUITY</v>
      </c>
      <c r="R6" s="24">
        <f ca="1"/>
        <v>45747</v>
      </c>
      <c r="S6" s="25" t="str">
        <f ca="1"/>
        <v>canonical</v>
      </c>
      <c r="T6" s="26" t="str">
        <f ca="1"/>
        <v>gross_margin_gaap</v>
      </c>
      <c r="U6" s="30" t="str">
        <f ca="1"/>
        <v>23.9882</v>
      </c>
      <c r="V6" s="29" t="str">
        <f ca="1"/>
        <v>-453.11</v>
      </c>
      <c r="W6" s="29" t="str">
        <f ca="1"/>
        <v/>
      </c>
      <c r="X6" s="29" t="str">
        <f ca="1"/>
        <v/>
      </c>
      <c r="Y6" s="29" t="str">
        <f ca="1"/>
        <v>-161.66</v>
      </c>
    </row>
    <row r="7" spans="1:25" x14ac:dyDescent="0.45">
      <c r="A7" s="16" t="s">
        <v>9</v>
      </c>
      <c r="B7" s="16" t="s">
        <v>8</v>
      </c>
      <c r="C7" s="9" t="s">
        <v>0</v>
      </c>
      <c r="D7" s="11">
        <f ca="1"/>
        <v>148.328</v>
      </c>
      <c r="E7" s="11">
        <f ca="1"/>
        <v>148.93899999999999</v>
      </c>
      <c r="F7" s="11">
        <f ca="1"/>
        <v>152.423</v>
      </c>
      <c r="G7" s="11">
        <f ca="1"/>
        <v>164.8</v>
      </c>
      <c r="H7" s="11">
        <f ca="1"/>
        <v>184.875</v>
      </c>
      <c r="I7" s="11">
        <f ca="1"/>
        <v>197.422</v>
      </c>
      <c r="J7" s="11">
        <f ca="1"/>
        <v>231.571</v>
      </c>
      <c r="K7" s="11">
        <f ca="1"/>
        <v>257.87700000000001</v>
      </c>
      <c r="L7" s="11">
        <f ca="1"/>
        <v>275.23500000000001</v>
      </c>
      <c r="M7" s="11">
        <f ca="1"/>
        <v>280.077</v>
      </c>
      <c r="N7" s="11">
        <f ca="1"/>
        <v>310.73700000000002</v>
      </c>
      <c r="O7" s="3">
        <f ca="1"/>
        <v>330.45800000000003</v>
      </c>
      <c r="P7" s="1"/>
      <c r="Q7" s="24" t="str">
        <f ca="1"/>
        <v>PAY US EQUITY</v>
      </c>
      <c r="R7" s="24">
        <f ca="1"/>
        <v>45838</v>
      </c>
      <c r="S7" s="25" t="str">
        <f ca="1"/>
        <v>canonical</v>
      </c>
      <c r="T7" s="26" t="str">
        <f ca="1"/>
        <v>gross_margin_gaap</v>
      </c>
      <c r="U7" s="30" t="str">
        <f ca="1"/>
        <v>25.5205</v>
      </c>
      <c r="V7" s="29" t="str">
        <f ca="1"/>
        <v>-423.86</v>
      </c>
      <c r="W7" s="29" t="str">
        <f ca="1"/>
        <v/>
      </c>
      <c r="X7" s="29" t="str">
        <f ca="1"/>
        <v/>
      </c>
      <c r="Y7" s="29" t="str">
        <f ca="1"/>
        <v>153.23</v>
      </c>
    </row>
    <row r="8" spans="1:25" x14ac:dyDescent="0.45">
      <c r="C8" s="4" t="s">
        <v>4</v>
      </c>
      <c r="D8" s="5"/>
      <c r="E8" s="4"/>
      <c r="F8" s="4"/>
      <c r="G8" s="12"/>
      <c r="H8" s="12">
        <f t="shared" ref="H8:O8" ca="1" si="1">+H7/D7-1</f>
        <v>0.2463931287417076</v>
      </c>
      <c r="I8" s="12">
        <f t="shared" ca="1" si="1"/>
        <v>0.32552252935765646</v>
      </c>
      <c r="J8" s="12">
        <f t="shared" ca="1" si="1"/>
        <v>0.51926546518570027</v>
      </c>
      <c r="K8" s="12">
        <f t="shared" ca="1" si="1"/>
        <v>0.56478762135922334</v>
      </c>
      <c r="L8" s="12">
        <f t="shared" ca="1" si="1"/>
        <v>0.48876267748478708</v>
      </c>
      <c r="M8" s="12">
        <f t="shared" ca="1" si="1"/>
        <v>0.41867167792849846</v>
      </c>
      <c r="N8" s="12">
        <f t="shared" ca="1" si="1"/>
        <v>0.34186491400045793</v>
      </c>
      <c r="O8" s="12">
        <f t="shared" ca="1" si="1"/>
        <v>0.28145588788453413</v>
      </c>
      <c r="P8" s="3"/>
      <c r="Q8" s="24" t="str">
        <f ca="1"/>
        <v>PAY US EQUITY</v>
      </c>
      <c r="R8" s="24">
        <f ca="1"/>
        <v>45930</v>
      </c>
      <c r="S8" s="25" t="str">
        <f ca="1"/>
        <v>canonical</v>
      </c>
      <c r="T8" s="26" t="str">
        <f ca="1"/>
        <v>gross_margin_gaap</v>
      </c>
      <c r="U8" s="30" t="str">
        <f ca="1"/>
        <v>24.0876</v>
      </c>
      <c r="V8" s="29" t="str">
        <f ca="1"/>
        <v>-210.95</v>
      </c>
      <c r="W8" s="29" t="str">
        <f ca="1"/>
        <v/>
      </c>
      <c r="X8" s="29" t="str">
        <f ca="1"/>
        <v/>
      </c>
      <c r="Y8" s="29" t="str">
        <f ca="1"/>
        <v>-143.29</v>
      </c>
    </row>
    <row r="9" spans="1:25" x14ac:dyDescent="0.45">
      <c r="C9" s="4" t="s">
        <v>19</v>
      </c>
      <c r="D9" s="1"/>
      <c r="L9" s="7">
        <f ca="1">(L8-K8)*10000</f>
        <v>-760.24943874436258</v>
      </c>
      <c r="M9" s="7">
        <f ca="1">(M8-L8)*10000</f>
        <v>-700.90999556288614</v>
      </c>
      <c r="N9" s="7">
        <f ca="1">(N8-M8)*10000</f>
        <v>-768.06763928040539</v>
      </c>
      <c r="O9" s="7">
        <f ca="1">(O8-N8)*10000</f>
        <v>-604.09026115923803</v>
      </c>
      <c r="Q9" s="22" t="str">
        <f ca="1"/>
        <v>PAY US EQUITY</v>
      </c>
      <c r="R9" s="24">
        <f ca="1"/>
        <v>46022</v>
      </c>
      <c r="S9" s="25" t="str">
        <f ca="1"/>
        <v>canonical</v>
      </c>
      <c r="T9" s="26" t="str">
        <f ca="1"/>
        <v>gross_margin_gaap</v>
      </c>
      <c r="U9" s="30" t="str">
        <f ca="1"/>
        <v>25.4168</v>
      </c>
      <c r="V9" s="29" t="str">
        <f ca="1"/>
        <v>-18.8000000000002</v>
      </c>
      <c r="W9" s="29" t="str">
        <f ca="1"/>
        <v/>
      </c>
      <c r="X9" s="29" t="str">
        <f ca="1"/>
        <v/>
      </c>
      <c r="Y9" s="29" t="str">
        <f ca="1"/>
        <v>132.92</v>
      </c>
    </row>
    <row r="10" spans="1:25" x14ac:dyDescent="0.4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2423.6954874307949</v>
      </c>
      <c r="M10" s="7">
        <f ca="1">(M8-I8)*10000</f>
        <v>931.49148570841999</v>
      </c>
      <c r="N10" s="7">
        <f ca="1">(N8-J8)*10000</f>
        <v>-1774.0055118524233</v>
      </c>
      <c r="O10" s="7">
        <f ca="1">(O8-K8)*10000</f>
        <v>-2833.3173347468919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PAY US EQUITY</v>
      </c>
      <c r="R10" s="24">
        <f ca="1"/>
        <v>45747</v>
      </c>
      <c r="S10" s="25" t="str">
        <f ca="1"/>
        <v>canonical</v>
      </c>
      <c r="T10" s="26" t="str">
        <f ca="1"/>
        <v>operating_margin_gaap</v>
      </c>
      <c r="U10" s="30" t="str">
        <f ca="1"/>
        <v>5.7002</v>
      </c>
      <c r="V10" s="29" t="str">
        <f ca="1"/>
        <v>118.74</v>
      </c>
      <c r="W10" s="29" t="str">
        <f ca="1"/>
        <v/>
      </c>
      <c r="X10" s="29" t="str">
        <f ca="1"/>
        <v/>
      </c>
      <c r="Y10" s="29" t="str">
        <f ca="1"/>
        <v>19.76</v>
      </c>
    </row>
    <row r="11" spans="1:25" x14ac:dyDescent="0.45">
      <c r="C11" s="4" t="s">
        <v>5</v>
      </c>
      <c r="D11" s="1"/>
      <c r="L11" s="12">
        <f ca="1">L7/K7-1</f>
        <v>6.7311159971614298E-2</v>
      </c>
      <c r="M11" s="12">
        <f ca="1">M7/L7-1</f>
        <v>1.7592239359093043E-2</v>
      </c>
      <c r="N11" s="12">
        <f ca="1">N7/M7-1</f>
        <v>0.10946989577866106</v>
      </c>
      <c r="O11" s="12">
        <f ca="1">O7/N7-1</f>
        <v>6.3465245529177317E-2</v>
      </c>
      <c r="Q11" s="24" t="str">
        <f ca="1"/>
        <v>PAY US EQUITY</v>
      </c>
      <c r="R11" s="24">
        <f ca="1"/>
        <v>45838</v>
      </c>
      <c r="S11" s="25" t="str">
        <f ca="1"/>
        <v>canonical</v>
      </c>
      <c r="T11" s="26" t="str">
        <f ca="1"/>
        <v>operating_margin_gaap</v>
      </c>
      <c r="U11" s="30" t="str">
        <f ca="1"/>
        <v>5.6849</v>
      </c>
      <c r="V11" s="29" t="str">
        <f ca="1"/>
        <v>50.01</v>
      </c>
      <c r="W11" s="29" t="str">
        <f ca="1"/>
        <v/>
      </c>
      <c r="X11" s="29" t="str">
        <f ca="1"/>
        <v/>
      </c>
      <c r="Y11" s="29" t="str">
        <f ca="1"/>
        <v>-1.52999999999999</v>
      </c>
    </row>
    <row r="12" spans="1:25" x14ac:dyDescent="0.45">
      <c r="Q12" s="24" t="str">
        <f ca="1"/>
        <v>PAY US EQUITY</v>
      </c>
      <c r="R12" s="24">
        <f ca="1"/>
        <v>45930</v>
      </c>
      <c r="S12" s="25" t="str">
        <f ca="1"/>
        <v>canonical</v>
      </c>
      <c r="T12" s="26" t="str">
        <f ca="1"/>
        <v>operating_margin_gaap</v>
      </c>
      <c r="U12" s="30" t="str">
        <f ca="1"/>
        <v>6.3916</v>
      </c>
      <c r="V12" s="29" t="str">
        <f ca="1"/>
        <v>117.16</v>
      </c>
      <c r="W12" s="29" t="str">
        <f ca="1"/>
        <v/>
      </c>
      <c r="X12" s="29" t="str">
        <f ca="1"/>
        <v/>
      </c>
      <c r="Y12" s="29" t="str">
        <f ca="1"/>
        <v>70.6700000000001</v>
      </c>
    </row>
    <row r="13" spans="1:25" x14ac:dyDescent="0.45">
      <c r="C13" s="13" t="s">
        <v>12</v>
      </c>
      <c r="D13" s="14">
        <f t="shared" ref="D13:O13" ca="1" si="2">EOMONTH(DATE(YEAR(D14),ROUNDUP(MONTH(D14)/3,0)*3,1),0)</f>
        <v>45016</v>
      </c>
      <c r="E13" s="14">
        <f t="shared" ca="1" si="2"/>
        <v>45107</v>
      </c>
      <c r="F13" s="14">
        <f t="shared" ca="1" si="2"/>
        <v>45199</v>
      </c>
      <c r="G13" s="14">
        <f t="shared" ca="1" si="2"/>
        <v>45291</v>
      </c>
      <c r="H13" s="14">
        <f t="shared" ca="1" si="2"/>
        <v>45382</v>
      </c>
      <c r="I13" s="14">
        <f t="shared" ca="1" si="2"/>
        <v>45473</v>
      </c>
      <c r="J13" s="14">
        <f t="shared" ca="1" si="2"/>
        <v>45565</v>
      </c>
      <c r="K13" s="14">
        <f t="shared" ca="1" si="2"/>
        <v>45657</v>
      </c>
      <c r="L13" s="14">
        <f t="shared" ca="1" si="2"/>
        <v>45747</v>
      </c>
      <c r="M13" s="14">
        <f t="shared" ca="1" si="2"/>
        <v>45838</v>
      </c>
      <c r="N13" s="14">
        <f t="shared" ca="1" si="2"/>
        <v>45930</v>
      </c>
      <c r="O13" s="14">
        <f t="shared" ca="1" si="2"/>
        <v>46022</v>
      </c>
      <c r="Q13" s="24" t="str">
        <f ca="1"/>
        <v>PAY US EQUITY</v>
      </c>
      <c r="R13" s="24">
        <f ca="1"/>
        <v>46022</v>
      </c>
      <c r="S13" s="25" t="str">
        <f ca="1"/>
        <v>canonical</v>
      </c>
      <c r="T13" s="26" t="str">
        <f ca="1"/>
        <v>operating_margin_gaap</v>
      </c>
      <c r="U13" s="30" t="str">
        <f ca="1"/>
        <v>7.2832</v>
      </c>
      <c r="V13" s="29" t="str">
        <f ca="1"/>
        <v>178.06</v>
      </c>
      <c r="W13" s="29" t="str">
        <f ca="1"/>
        <v/>
      </c>
      <c r="X13" s="29" t="str">
        <f ca="1"/>
        <v/>
      </c>
      <c r="Y13" s="29" t="str">
        <f ca="1"/>
        <v>89.16</v>
      </c>
    </row>
    <row r="14" spans="1:25" x14ac:dyDescent="0.4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PAY US EQUITY</v>
      </c>
      <c r="R14" s="24">
        <v>45747</v>
      </c>
      <c r="S14" s="25" t="str">
        <v>custom</v>
      </c>
      <c r="T14" s="26" t="str">
        <v>transactions</v>
      </c>
      <c r="U14" s="30" t="str">
        <v>173.2</v>
      </c>
      <c r="V14" s="29" t="str">
        <v>0.280118255728012</v>
      </c>
      <c r="W14" s="29" t="str">
        <v>-500.099494001933</v>
      </c>
      <c r="X14" s="29" t="str">
        <v>331.136474330809</v>
      </c>
      <c r="Y14" s="29" t="str">
        <v>0.0433734939759036</v>
      </c>
    </row>
    <row r="15" spans="1:25" x14ac:dyDescent="0.45">
      <c r="A15" s="16" t="s">
        <v>9</v>
      </c>
      <c r="B15" s="16" t="s">
        <v>14</v>
      </c>
      <c r="C15" s="9" t="s">
        <v>6</v>
      </c>
      <c r="D15" s="3">
        <f ca="1"/>
        <v>27.0198</v>
      </c>
      <c r="E15" s="3">
        <f ca="1"/>
        <v>30.7925</v>
      </c>
      <c r="F15" s="3">
        <f ca="1"/>
        <v>30.776199999999999</v>
      </c>
      <c r="G15" s="3">
        <f ca="1"/>
        <v>30.031600000000001</v>
      </c>
      <c r="H15" s="3">
        <f ca="1"/>
        <v>28.519300000000001</v>
      </c>
      <c r="I15" s="3">
        <f ca="1"/>
        <v>29.7591</v>
      </c>
      <c r="J15" s="3">
        <f ca="1"/>
        <v>26.197099999999999</v>
      </c>
      <c r="K15" s="3">
        <f ca="1"/>
        <v>25.604800000000001</v>
      </c>
      <c r="L15" s="3">
        <f ca="1"/>
        <v>23.988199999999999</v>
      </c>
      <c r="M15" s="3">
        <f ca="1"/>
        <v>25.520499999999998</v>
      </c>
      <c r="N15" s="3">
        <f ca="1"/>
        <v>24.087599999999998</v>
      </c>
      <c r="O15">
        <f ca="1"/>
        <v>25.416799999999999</v>
      </c>
      <c r="Q15" s="24" t="str">
        <v>PAY US EQUITY</v>
      </c>
      <c r="R15" s="24">
        <v>45838</v>
      </c>
      <c r="S15" s="25" t="str">
        <v>custom</v>
      </c>
      <c r="T15" s="26" t="str">
        <v>transactions</v>
      </c>
      <c r="U15" s="30" t="str">
        <v>175.8</v>
      </c>
      <c r="V15" s="29" t="str">
        <v>0.252136752136752</v>
      </c>
      <c r="W15" s="29" t="str">
        <v>-279.815035912596</v>
      </c>
      <c r="X15" s="29" t="str">
        <v>-300.550286851657</v>
      </c>
      <c r="Y15" s="29" t="str">
        <v>0.015011547344111</v>
      </c>
    </row>
    <row r="16" spans="1:25" x14ac:dyDescent="0.45">
      <c r="C16" s="4" t="s">
        <v>4</v>
      </c>
      <c r="D16" s="5"/>
      <c r="E16" s="4"/>
      <c r="F16" s="4"/>
      <c r="G16" s="4"/>
      <c r="H16" s="7">
        <f t="shared" ref="H16:O16" ca="1" si="3">(H15-D15)*100</f>
        <v>149.9500000000001</v>
      </c>
      <c r="I16" s="7">
        <f t="shared" ca="1" si="3"/>
        <v>-103.34000000000003</v>
      </c>
      <c r="J16" s="7">
        <f t="shared" ca="1" si="3"/>
        <v>-457.91</v>
      </c>
      <c r="K16" s="7">
        <f t="shared" ca="1" si="3"/>
        <v>-442.68</v>
      </c>
      <c r="L16" s="7">
        <f t="shared" ca="1" si="3"/>
        <v>-453.11000000000024</v>
      </c>
      <c r="M16" s="7">
        <f t="shared" ca="1" si="3"/>
        <v>-423.86000000000018</v>
      </c>
      <c r="N16" s="7">
        <f t="shared" ca="1" si="3"/>
        <v>-210.95000000000005</v>
      </c>
      <c r="O16" s="7">
        <f t="shared" ca="1" si="3"/>
        <v>-18.800000000000239</v>
      </c>
      <c r="Q16" s="24" t="str">
        <v>PAY US EQUITY</v>
      </c>
      <c r="R16" s="24">
        <v>45930</v>
      </c>
      <c r="S16" s="25" t="str">
        <v>custom</v>
      </c>
      <c r="T16" s="26" t="str">
        <v>transactions</v>
      </c>
      <c r="U16" s="30" t="str">
        <v>182.3</v>
      </c>
      <c r="V16" s="29" t="str">
        <v>0.173857050869285</v>
      </c>
      <c r="W16" s="29" t="str">
        <v>-782.79701267467</v>
      </c>
      <c r="X16" s="29" t="str">
        <v>-1718.96848610784</v>
      </c>
      <c r="Y16" s="29" t="str">
        <v>0.0369738339021615</v>
      </c>
    </row>
    <row r="17" spans="1:25" x14ac:dyDescent="0.45">
      <c r="C17" s="4" t="s">
        <v>19</v>
      </c>
      <c r="D17" s="1"/>
      <c r="K17" s="7"/>
      <c r="L17" s="7"/>
      <c r="M17" s="7"/>
      <c r="N17" s="7"/>
      <c r="O17" s="7"/>
      <c r="Q17" s="24" t="str">
        <v>PAY US EQUITY</v>
      </c>
      <c r="R17" s="24">
        <v>46022</v>
      </c>
      <c r="S17" s="25" t="str">
        <v>custom</v>
      </c>
      <c r="T17" s="26" t="str">
        <v>transactions</v>
      </c>
      <c r="U17" s="30" t="str">
        <v>192.7</v>
      </c>
      <c r="V17" s="29" t="str">
        <v>0.160843373493976</v>
      </c>
      <c r="W17" s="29" t="str">
        <v>-130.136773753093</v>
      </c>
      <c r="X17" s="29" t="str">
        <v>-1692.84831634229</v>
      </c>
      <c r="Y17" s="29" t="str">
        <v>0.0570488206253428</v>
      </c>
    </row>
    <row r="18" spans="1:25" x14ac:dyDescent="0.4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PAY US EQUITY</v>
      </c>
      <c r="R18" s="24">
        <v>0</v>
      </c>
      <c r="S18" s="25">
        <v>0</v>
      </c>
      <c r="T18" s="26">
        <v>0</v>
      </c>
      <c r="U18" s="30" t="str">
        <v/>
      </c>
      <c r="V18" s="29" t="str">
        <v/>
      </c>
      <c r="W18" s="29" t="str">
        <v/>
      </c>
      <c r="X18" s="29" t="str">
        <v/>
      </c>
      <c r="Y18" s="29" t="str">
        <v/>
      </c>
    </row>
    <row r="19" spans="1:25" x14ac:dyDescent="0.45">
      <c r="C19" s="4" t="s">
        <v>5</v>
      </c>
      <c r="D19" s="1"/>
      <c r="K19" s="7"/>
      <c r="L19" s="7">
        <f ca="1">(L15-K15)*100</f>
        <v>-161.6600000000002</v>
      </c>
      <c r="M19" s="7">
        <f ca="1">(M15-L15)*100</f>
        <v>153.22999999999993</v>
      </c>
      <c r="N19" s="7">
        <f ca="1">(N15-M15)*100</f>
        <v>-143.29000000000002</v>
      </c>
      <c r="O19" s="7">
        <f ca="1">(O15-N15)*100</f>
        <v>132.92000000000002</v>
      </c>
      <c r="Q19" s="24" t="str">
        <v>PAY US EQUITY</v>
      </c>
      <c r="R19" s="24">
        <v>0</v>
      </c>
      <c r="S19" s="25">
        <v>0</v>
      </c>
      <c r="T19" s="26">
        <v>0</v>
      </c>
      <c r="U19" s="30" t="str">
        <v/>
      </c>
      <c r="V19" s="29" t="str">
        <v/>
      </c>
      <c r="W19" s="29" t="str">
        <v/>
      </c>
      <c r="X19" s="29" t="str">
        <v/>
      </c>
      <c r="Y19" s="29" t="str">
        <v/>
      </c>
    </row>
    <row r="20" spans="1:25" x14ac:dyDescent="0.45">
      <c r="Q20" s="24" t="str">
        <v>PAY US EQUITY</v>
      </c>
      <c r="R20" s="24">
        <v>0</v>
      </c>
      <c r="S20" s="25">
        <v>0</v>
      </c>
      <c r="T20" s="26">
        <v>0</v>
      </c>
      <c r="U20" s="30" t="str">
        <v/>
      </c>
      <c r="V20" s="29" t="str">
        <v/>
      </c>
      <c r="W20" s="29" t="str">
        <v/>
      </c>
      <c r="X20" s="29" t="str">
        <v/>
      </c>
      <c r="Y20" s="29" t="str">
        <v/>
      </c>
    </row>
    <row r="21" spans="1:25" x14ac:dyDescent="0.45">
      <c r="C21" s="13" t="s">
        <v>12</v>
      </c>
      <c r="D21" s="14">
        <f t="shared" ref="D21:O21" ca="1" si="4">EOMONTH(DATE(YEAR(D22),ROUNDUP(MONTH(D22)/3,0)*3,1),0)</f>
        <v>45016</v>
      </c>
      <c r="E21" s="14">
        <f t="shared" ca="1" si="4"/>
        <v>45107</v>
      </c>
      <c r="F21" s="14">
        <f t="shared" ca="1" si="4"/>
        <v>45199</v>
      </c>
      <c r="G21" s="14">
        <f t="shared" ca="1" si="4"/>
        <v>45291</v>
      </c>
      <c r="H21" s="14">
        <f t="shared" ca="1" si="4"/>
        <v>45382</v>
      </c>
      <c r="I21" s="14">
        <f t="shared" ca="1" si="4"/>
        <v>45473</v>
      </c>
      <c r="J21" s="14">
        <f t="shared" ca="1" si="4"/>
        <v>45565</v>
      </c>
      <c r="K21" s="14">
        <f t="shared" ca="1" si="4"/>
        <v>45657</v>
      </c>
      <c r="L21" s="14">
        <f t="shared" ca="1" si="4"/>
        <v>45747</v>
      </c>
      <c r="M21" s="14">
        <f t="shared" ca="1" si="4"/>
        <v>45838</v>
      </c>
      <c r="N21" s="14">
        <f t="shared" ca="1" si="4"/>
        <v>45930</v>
      </c>
      <c r="O21" s="14">
        <f t="shared" ca="1" si="4"/>
        <v>46022</v>
      </c>
      <c r="Q21" s="24" t="str">
        <v>PAY US EQUITY</v>
      </c>
      <c r="R21" s="24">
        <v>0</v>
      </c>
      <c r="S21" s="25">
        <v>0</v>
      </c>
      <c r="T21" s="26">
        <v>0</v>
      </c>
      <c r="U21" s="30" t="str">
        <v/>
      </c>
      <c r="V21" s="29" t="str">
        <v/>
      </c>
      <c r="W21" s="29" t="str">
        <v/>
      </c>
      <c r="X21" s="29" t="str">
        <v/>
      </c>
      <c r="Y21" s="29" t="str">
        <v/>
      </c>
    </row>
    <row r="22" spans="1:25" x14ac:dyDescent="0.45">
      <c r="D22" s="1" cm="1">
        <f t="array" aca="1" ref="D22:O23" ca="1">+_xll.BDH($B$2,C23,$B$3,$B$4,"DIR=H")</f>
        <v>45016</v>
      </c>
      <c r="E22" s="1">
        <f ca="1"/>
        <v>45107</v>
      </c>
      <c r="F22" s="1">
        <f ca="1"/>
        <v>45199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45565</v>
      </c>
      <c r="K22" s="1">
        <f ca="1"/>
        <v>45657</v>
      </c>
      <c r="L22" s="1">
        <f ca="1"/>
        <v>45747</v>
      </c>
      <c r="M22" s="1">
        <f ca="1"/>
        <v>45838</v>
      </c>
      <c r="N22" s="1">
        <f ca="1"/>
        <v>45930</v>
      </c>
      <c r="O22" s="1">
        <f ca="1"/>
        <v>46022</v>
      </c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PAY US EQUITY</v>
      </c>
      <c r="R22" s="24">
        <v>0</v>
      </c>
      <c r="S22" s="25">
        <v>0</v>
      </c>
      <c r="T22" s="26">
        <v>0</v>
      </c>
      <c r="U22" s="27" t="str">
        <v/>
      </c>
      <c r="V22" s="28" t="str">
        <v/>
      </c>
      <c r="W22" s="29" t="str">
        <v/>
      </c>
      <c r="X22" s="28" t="str">
        <v/>
      </c>
      <c r="Y22" s="29" t="str">
        <v/>
      </c>
    </row>
    <row r="23" spans="1:25" x14ac:dyDescent="0.45">
      <c r="A23" s="16" t="s">
        <v>9</v>
      </c>
      <c r="B23" s="16" t="s">
        <v>15</v>
      </c>
      <c r="C23" s="9" t="s">
        <v>7</v>
      </c>
      <c r="D23" s="3">
        <f ca="1"/>
        <v>-0.66339999999999999</v>
      </c>
      <c r="E23" s="3">
        <f ca="1"/>
        <v>3.1059999999999999</v>
      </c>
      <c r="F23" s="3">
        <f ca="1"/>
        <v>3.4843999999999999</v>
      </c>
      <c r="G23" s="3">
        <f ca="1"/>
        <v>5.5461</v>
      </c>
      <c r="H23" s="3">
        <f ca="1"/>
        <v>4.5128000000000004</v>
      </c>
      <c r="I23" s="3">
        <f ca="1"/>
        <v>5.1848000000000001</v>
      </c>
      <c r="J23" s="3">
        <f ca="1"/>
        <v>5.22</v>
      </c>
      <c r="K23" s="3">
        <f ca="1"/>
        <v>5.5026000000000002</v>
      </c>
      <c r="L23" s="3">
        <f ca="1"/>
        <v>5.7001999999999997</v>
      </c>
      <c r="M23" s="3">
        <f ca="1"/>
        <v>5.6848999999999998</v>
      </c>
      <c r="N23" s="3">
        <f ca="1"/>
        <v>6.3916000000000004</v>
      </c>
      <c r="O23">
        <f ca="1"/>
        <v>7.2831999999999999</v>
      </c>
      <c r="Q23" s="24" t="str">
        <v>PAY US EQUITY</v>
      </c>
      <c r="R23" s="24">
        <v>0</v>
      </c>
      <c r="S23" s="25">
        <v>0</v>
      </c>
      <c r="T23" s="26">
        <v>0</v>
      </c>
      <c r="U23" s="27" t="str">
        <v/>
      </c>
      <c r="V23" s="28" t="str">
        <v/>
      </c>
      <c r="W23" s="29" t="str">
        <v/>
      </c>
      <c r="X23" s="28" t="str">
        <v/>
      </c>
      <c r="Y23" s="29" t="str">
        <v/>
      </c>
    </row>
    <row r="24" spans="1:25" x14ac:dyDescent="0.45">
      <c r="C24" s="4" t="s">
        <v>4</v>
      </c>
      <c r="D24" s="5"/>
      <c r="E24" s="4"/>
      <c r="F24" s="4"/>
      <c r="G24" s="4"/>
      <c r="H24" s="7">
        <f t="shared" ref="H24:O24" ca="1" si="5">(H23-D23)*100</f>
        <v>517.62</v>
      </c>
      <c r="I24" s="7">
        <f t="shared" ca="1" si="5"/>
        <v>207.88000000000002</v>
      </c>
      <c r="J24" s="7">
        <f t="shared" ca="1" si="5"/>
        <v>173.55999999999997</v>
      </c>
      <c r="K24" s="7">
        <f t="shared" ca="1" si="5"/>
        <v>-4.3499999999999872</v>
      </c>
      <c r="L24" s="7">
        <f t="shared" ca="1" si="5"/>
        <v>118.73999999999994</v>
      </c>
      <c r="M24" s="7">
        <f t="shared" ca="1" si="5"/>
        <v>50.009999999999977</v>
      </c>
      <c r="N24" s="7">
        <f t="shared" ca="1" si="5"/>
        <v>117.16000000000007</v>
      </c>
      <c r="O24" s="7">
        <f t="shared" ca="1" si="5"/>
        <v>178.05999999999997</v>
      </c>
      <c r="Q24" s="24" t="str">
        <v>PAY US EQUITY</v>
      </c>
      <c r="R24" s="24">
        <v>0</v>
      </c>
      <c r="S24" s="25">
        <v>0</v>
      </c>
      <c r="T24" s="26">
        <v>0</v>
      </c>
      <c r="U24" s="27" t="str">
        <v/>
      </c>
      <c r="V24" s="28" t="str">
        <v/>
      </c>
      <c r="W24" s="29" t="str">
        <v/>
      </c>
      <c r="X24" s="28" t="str">
        <v/>
      </c>
      <c r="Y24" s="29" t="str">
        <v/>
      </c>
    </row>
    <row r="25" spans="1:25" x14ac:dyDescent="0.45">
      <c r="C25" s="4" t="s">
        <v>19</v>
      </c>
      <c r="D25" s="1"/>
      <c r="K25" s="7"/>
      <c r="L25" s="7"/>
      <c r="M25" s="7"/>
      <c r="N25" s="7"/>
      <c r="O25" s="7"/>
      <c r="Q25" s="24" t="str">
        <v>PAY US EQUITY</v>
      </c>
      <c r="R25" s="24">
        <v>0</v>
      </c>
      <c r="S25" s="25">
        <v>0</v>
      </c>
      <c r="T25" s="26">
        <v>0</v>
      </c>
      <c r="U25" s="27" t="str">
        <v/>
      </c>
      <c r="V25" s="28" t="str">
        <v/>
      </c>
      <c r="W25" s="29" t="str">
        <v/>
      </c>
      <c r="X25" s="28" t="str">
        <v/>
      </c>
      <c r="Y25" s="29" t="str">
        <v/>
      </c>
    </row>
    <row r="26" spans="1:25" x14ac:dyDescent="0.4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PAY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45">
      <c r="C27" s="4" t="s">
        <v>5</v>
      </c>
      <c r="D27" s="1"/>
      <c r="K27" s="7"/>
      <c r="L27" s="7">
        <f ca="1">(L23-K23)*100</f>
        <v>19.759999999999955</v>
      </c>
      <c r="M27" s="7">
        <f ca="1">(M23-L23)*100</f>
        <v>-1.5299999999999869</v>
      </c>
      <c r="N27" s="7">
        <f ca="1">(N23-M23)*100</f>
        <v>70.670000000000059</v>
      </c>
      <c r="O27" s="7">
        <f ca="1">(O23-N23)*100</f>
        <v>89.159999999999954</v>
      </c>
      <c r="Q27" s="24" t="str">
        <v>PAY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45">
      <c r="C28" s="4"/>
      <c r="D28" s="1"/>
      <c r="K28" s="7"/>
      <c r="L28" s="7"/>
      <c r="M28" s="7"/>
      <c r="N28" s="7"/>
      <c r="O28" s="7"/>
      <c r="Q28" s="24" t="str">
        <v>PAY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45">
      <c r="C29" s="13"/>
      <c r="D29" s="14">
        <f t="shared" ref="D29:L29" si="6">EOMONTH(DATE(YEAR(D30),ROUNDUP(MONTH(D30)/3,0)*3,1),0)</f>
        <v>45016</v>
      </c>
      <c r="E29" s="14">
        <f t="shared" si="6"/>
        <v>45107</v>
      </c>
      <c r="F29" s="14">
        <f t="shared" si="6"/>
        <v>45199</v>
      </c>
      <c r="G29" s="14">
        <f t="shared" si="6"/>
        <v>45291</v>
      </c>
      <c r="H29" s="14">
        <f t="shared" si="6"/>
        <v>45382</v>
      </c>
      <c r="I29" s="14">
        <f t="shared" si="6"/>
        <v>45473</v>
      </c>
      <c r="J29" s="14">
        <f t="shared" si="6"/>
        <v>45565</v>
      </c>
      <c r="K29" s="14">
        <f t="shared" si="6"/>
        <v>45657</v>
      </c>
      <c r="L29" s="14">
        <f t="shared" si="6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PAY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45">
      <c r="D30" s="2">
        <v>45016</v>
      </c>
      <c r="E30" s="2">
        <v>45107</v>
      </c>
      <c r="F30" s="2">
        <v>45199</v>
      </c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PAY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45">
      <c r="A31" s="16" t="s">
        <v>21</v>
      </c>
      <c r="B31" s="16" t="s">
        <v>75</v>
      </c>
      <c r="C31" s="2" t="s">
        <v>76</v>
      </c>
      <c r="D31" s="32">
        <v>108.5</v>
      </c>
      <c r="E31" s="32">
        <v>109.5</v>
      </c>
      <c r="F31" s="32">
        <v>115.4</v>
      </c>
      <c r="G31" s="32">
        <v>124.8</v>
      </c>
      <c r="H31" s="32">
        <v>135.30000000000001</v>
      </c>
      <c r="I31" s="32">
        <v>140.4</v>
      </c>
      <c r="J31" s="32">
        <v>155.30000000000001</v>
      </c>
      <c r="K31" s="32">
        <v>166</v>
      </c>
      <c r="L31" s="32">
        <v>173.2</v>
      </c>
      <c r="M31" s="32">
        <v>175.8</v>
      </c>
      <c r="N31" s="32">
        <v>182.3</v>
      </c>
      <c r="O31" s="32">
        <v>192.7</v>
      </c>
      <c r="Q31" s="24" t="str">
        <v>PAY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45">
      <c r="C32" s="4" t="s">
        <v>4</v>
      </c>
      <c r="D32" s="5"/>
      <c r="E32" s="4"/>
      <c r="F32" s="4"/>
      <c r="G32" s="12"/>
      <c r="H32" s="12">
        <f t="shared" ref="H32:O32" si="7">+H31/D31-1</f>
        <v>0.24700460829493087</v>
      </c>
      <c r="I32" s="12">
        <f t="shared" si="7"/>
        <v>0.28219178082191787</v>
      </c>
      <c r="J32" s="12">
        <f t="shared" si="7"/>
        <v>0.34575389948006929</v>
      </c>
      <c r="K32" s="12">
        <f t="shared" si="7"/>
        <v>0.33012820512820507</v>
      </c>
      <c r="L32" s="12">
        <f t="shared" si="7"/>
        <v>0.28011825572801174</v>
      </c>
      <c r="M32" s="12">
        <f t="shared" si="7"/>
        <v>0.25213675213675213</v>
      </c>
      <c r="N32" s="12">
        <f t="shared" si="7"/>
        <v>0.17385705086928516</v>
      </c>
      <c r="O32" s="12">
        <f t="shared" si="7"/>
        <v>0.16084337349397582</v>
      </c>
      <c r="Q32" s="24" t="str">
        <v>PAY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45">
      <c r="C33" s="4" t="s">
        <v>19</v>
      </c>
      <c r="D33" s="1"/>
      <c r="L33" s="7">
        <f>(L32-K32)*10000</f>
        <v>-500.09949400193318</v>
      </c>
      <c r="M33" s="7">
        <f>(M32-L32)*10000</f>
        <v>-279.81503591259616</v>
      </c>
      <c r="N33" s="7">
        <f>(N32-M32)*10000</f>
        <v>-782.79701267466976</v>
      </c>
      <c r="O33" s="7">
        <f>(O32-N32)*10000</f>
        <v>-130.13677375309339</v>
      </c>
      <c r="Q33" s="24" t="str">
        <v>PAY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45">
      <c r="C34" s="4" t="s">
        <v>23</v>
      </c>
      <c r="D34" s="1"/>
      <c r="E34" s="6"/>
      <c r="F34" s="6"/>
      <c r="G34" s="6"/>
      <c r="H34" s="6"/>
      <c r="I34" s="6"/>
      <c r="J34" s="6"/>
      <c r="K34" s="6"/>
      <c r="L34" s="7">
        <f>(L32-H32)*10000</f>
        <v>331.13647433080871</v>
      </c>
      <c r="M34" s="7">
        <f>(M32-I32)*10000</f>
        <v>-300.5502868516574</v>
      </c>
      <c r="N34" s="7">
        <f>(N32-J32)*10000</f>
        <v>-1718.9684861078413</v>
      </c>
      <c r="O34" s="7">
        <f>(O32-K32)*10000</f>
        <v>-1692.8483163422925</v>
      </c>
    </row>
    <row r="35" spans="1:25" x14ac:dyDescent="0.45">
      <c r="C35" s="4" t="s">
        <v>5</v>
      </c>
      <c r="D35" s="1"/>
      <c r="L35" s="12">
        <f>L31/K31-1</f>
        <v>4.3373493975903621E-2</v>
      </c>
      <c r="M35" s="12">
        <f>M31/L31-1</f>
        <v>1.5011547344111031E-2</v>
      </c>
      <c r="N35" s="12">
        <f>N31/M31-1</f>
        <v>3.6973833902161468E-2</v>
      </c>
      <c r="O35" s="12">
        <f>O31/N31-1</f>
        <v>5.7048820625342778E-2</v>
      </c>
    </row>
    <row r="36" spans="1:25" x14ac:dyDescent="0.45">
      <c r="C36" s="4"/>
      <c r="D36" s="1"/>
      <c r="L36" s="7"/>
      <c r="M36" s="7"/>
      <c r="N36" s="7"/>
      <c r="O36" s="7"/>
    </row>
    <row r="37" spans="1:25" x14ac:dyDescent="0.45">
      <c r="C37" s="13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25" x14ac:dyDescent="0.45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25" x14ac:dyDescent="0.45">
      <c r="A39" s="16"/>
      <c r="B39" s="16"/>
      <c r="C39" s="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</row>
    <row r="40" spans="1:25" x14ac:dyDescent="0.45">
      <c r="C40" s="4"/>
      <c r="D40" s="5"/>
      <c r="E40" s="4"/>
      <c r="F40" s="4"/>
      <c r="G40" s="12"/>
      <c r="H40" s="12"/>
      <c r="I40" s="12"/>
      <c r="J40" s="12"/>
      <c r="K40" s="12"/>
      <c r="L40" s="12"/>
      <c r="M40" s="12"/>
      <c r="N40" s="12"/>
      <c r="O40" s="12"/>
    </row>
    <row r="41" spans="1:25" x14ac:dyDescent="0.45">
      <c r="C41" s="4"/>
      <c r="D41" s="1"/>
      <c r="L41" s="7"/>
      <c r="M41" s="7"/>
      <c r="N41" s="7"/>
      <c r="O41" s="7"/>
    </row>
    <row r="42" spans="1:25" x14ac:dyDescent="0.45">
      <c r="C42" s="4"/>
      <c r="D42" s="1"/>
      <c r="E42" s="6"/>
      <c r="F42" s="6"/>
      <c r="G42" s="6"/>
      <c r="H42" s="6"/>
      <c r="I42" s="6"/>
      <c r="J42" s="6"/>
      <c r="K42" s="6"/>
      <c r="L42" s="7"/>
      <c r="M42" s="7"/>
      <c r="N42" s="7"/>
      <c r="O42" s="7"/>
    </row>
    <row r="43" spans="1:25" x14ac:dyDescent="0.45">
      <c r="C43" s="4"/>
      <c r="D43" s="1"/>
      <c r="L43" s="12"/>
      <c r="M43" s="12"/>
      <c r="N43" s="12"/>
      <c r="O43" s="12"/>
    </row>
    <row r="44" spans="1:25" x14ac:dyDescent="0.45">
      <c r="C44" s="4"/>
      <c r="D44" s="1"/>
      <c r="G44" s="1"/>
    </row>
    <row r="45" spans="1:25" x14ac:dyDescent="0.45"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25" x14ac:dyDescent="0.45"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25" x14ac:dyDescent="0.45">
      <c r="A47" s="16"/>
      <c r="B47" s="16"/>
      <c r="C47" s="2"/>
      <c r="D47" s="34"/>
      <c r="E47" s="34"/>
      <c r="F47" s="34"/>
      <c r="G47" s="35"/>
      <c r="H47" s="35"/>
      <c r="I47" s="35"/>
      <c r="J47" s="35"/>
      <c r="K47" s="35"/>
      <c r="L47" s="35"/>
      <c r="M47" s="35"/>
      <c r="N47" s="35"/>
      <c r="O47" s="35"/>
    </row>
    <row r="48" spans="1:25" x14ac:dyDescent="0.45">
      <c r="C48" s="4"/>
      <c r="D48" s="5"/>
      <c r="E48" s="4"/>
      <c r="F48" s="4"/>
      <c r="G48" s="4"/>
      <c r="H48" s="7"/>
      <c r="I48" s="7"/>
      <c r="J48" s="7"/>
      <c r="K48" s="7"/>
      <c r="L48" s="7"/>
      <c r="M48" s="7"/>
      <c r="N48" s="7"/>
      <c r="O48" s="7"/>
    </row>
    <row r="49" spans="1:15" x14ac:dyDescent="0.45">
      <c r="C49" s="4"/>
      <c r="D49" s="1"/>
      <c r="K49" s="7"/>
      <c r="L49" s="7"/>
      <c r="M49" s="7"/>
      <c r="N49" s="7"/>
      <c r="O49" s="7"/>
    </row>
    <row r="50" spans="1:15" x14ac:dyDescent="0.45">
      <c r="C50" s="4"/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45">
      <c r="C51" s="4"/>
      <c r="D51" s="1"/>
      <c r="K51" s="7"/>
      <c r="L51" s="7"/>
      <c r="M51" s="7"/>
      <c r="N51" s="7"/>
      <c r="O51" s="7"/>
    </row>
    <row r="52" spans="1:15" x14ac:dyDescent="0.45">
      <c r="C52" s="4"/>
      <c r="D52" s="1"/>
      <c r="G52" s="1"/>
    </row>
    <row r="53" spans="1:15" x14ac:dyDescent="0.4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4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4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4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45">
      <c r="C57" s="4"/>
      <c r="D57" s="1"/>
      <c r="K57" s="7"/>
      <c r="L57" s="7"/>
      <c r="M57" s="7"/>
      <c r="N57" s="7"/>
      <c r="O57" s="7"/>
    </row>
    <row r="58" spans="1:15" x14ac:dyDescent="0.4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45">
      <c r="C59" s="4"/>
      <c r="D59" s="1"/>
      <c r="K59" s="7"/>
      <c r="L59" s="7"/>
      <c r="M59" s="7"/>
      <c r="N59" s="7"/>
      <c r="O59" s="7"/>
    </row>
    <row r="64" spans="1:15" x14ac:dyDescent="0.4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45">
      <c r="C65" s="4"/>
      <c r="D65" s="1"/>
      <c r="K65" s="7"/>
      <c r="L65" s="7"/>
      <c r="M65" s="7"/>
      <c r="N65" s="7"/>
      <c r="O65" s="7"/>
    </row>
    <row r="66" spans="3:15" x14ac:dyDescent="0.4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4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BED37-49F9-4075-B067-7C48EC60F7B6}">
  <dimension ref="A1:Y67"/>
  <sheetViews>
    <sheetView topLeftCell="A5" zoomScale="85" zoomScaleNormal="85" workbookViewId="0">
      <pane xSplit="3" topLeftCell="D1" activePane="topRight" state="frozen"/>
      <selection pane="topRight" activeCell="H33" sqref="H33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6" width="10.1328125" bestFit="1" customWidth="1"/>
    <col min="7" max="7" width="10.59765625" bestFit="1" customWidth="1"/>
    <col min="8" max="10" width="10.1328125" bestFit="1" customWidth="1"/>
    <col min="11" max="11" width="10.59765625" bestFit="1" customWidth="1"/>
    <col min="12" max="12" width="10.1328125" bestFit="1" customWidth="1"/>
    <col min="13" max="15" width="10.265625" bestFit="1" customWidth="1"/>
    <col min="16" max="16" width="9" customWidth="1"/>
    <col min="17" max="17" width="12.3984375" bestFit="1" customWidth="1"/>
    <col min="18" max="18" width="14.3984375" bestFit="1" customWidth="1"/>
    <col min="19" max="19" width="8.59765625" bestFit="1" customWidth="1"/>
    <col min="20" max="20" width="20.265625" bestFit="1" customWidth="1"/>
    <col min="21" max="21" width="7.3984375" bestFit="1" customWidth="1"/>
    <col min="22" max="22" width="10.73046875" bestFit="1" customWidth="1"/>
    <col min="23" max="23" width="9.1328125" bestFit="1" customWidth="1"/>
    <col min="24" max="24" width="10.3984375" bestFit="1" customWidth="1"/>
    <col min="25" max="25" width="9.1328125" bestFit="1" customWidth="1"/>
  </cols>
  <sheetData>
    <row r="1" spans="1:25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45">
      <c r="A2" s="17" t="s">
        <v>1</v>
      </c>
      <c r="B2" s="31" t="s">
        <v>77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QLYS US EQUITY</v>
      </c>
      <c r="R2" s="24">
        <f ca="1"/>
        <v>45747</v>
      </c>
      <c r="S2" s="25" t="str">
        <f ca="1"/>
        <v>canonical</v>
      </c>
      <c r="T2" s="26" t="str">
        <f ca="1"/>
        <v>revenue</v>
      </c>
      <c r="U2" s="27" t="str">
        <f ca="1"/>
        <v>159.899</v>
      </c>
      <c r="V2" s="28" t="str">
        <f ca="1"/>
        <v>0.0966633517369089</v>
      </c>
      <c r="W2" s="29" t="str">
        <f ca="1"/>
        <v>-44.7104682434185</v>
      </c>
      <c r="X2" s="28" t="str">
        <f ca="1"/>
        <v>-190.517757088953</v>
      </c>
      <c r="Y2" s="29" t="str">
        <f ca="1"/>
        <v>0.0044474876092242</v>
      </c>
    </row>
    <row r="3" spans="1:25" x14ac:dyDescent="0.45">
      <c r="A3" s="18" t="s">
        <v>3</v>
      </c>
      <c r="B3" s="19">
        <f ca="1">+B4-365*3</f>
        <v>45001</v>
      </c>
      <c r="Q3" s="24" t="str">
        <f ca="1"/>
        <v>QLYS US EQUITY</v>
      </c>
      <c r="R3" s="24">
        <f ca="1"/>
        <v>45838</v>
      </c>
      <c r="S3" s="25" t="str">
        <f ca="1"/>
        <v>canonical</v>
      </c>
      <c r="T3" s="26" t="str">
        <f ca="1"/>
        <v>revenue</v>
      </c>
      <c r="U3" s="27" t="str">
        <f ca="1"/>
        <v>164.062</v>
      </c>
      <c r="V3" s="28" t="str">
        <f ca="1"/>
        <v>0.103249320816634</v>
      </c>
      <c r="W3" s="29" t="str">
        <f ca="1"/>
        <v>65.859690797252</v>
      </c>
      <c r="X3" s="29" t="str">
        <f ca="1"/>
        <v>194.42864971901</v>
      </c>
      <c r="Y3" s="29" t="str">
        <f ca="1"/>
        <v>0.0260351847103484</v>
      </c>
    </row>
    <row r="4" spans="1:25" x14ac:dyDescent="0.45">
      <c r="A4" s="20" t="s">
        <v>2</v>
      </c>
      <c r="B4" s="21">
        <f ca="1">TODAY()</f>
        <v>46096</v>
      </c>
      <c r="Q4" s="24" t="str">
        <f ca="1"/>
        <v>QLYS US EQUITY</v>
      </c>
      <c r="R4" s="24">
        <f ca="1"/>
        <v>45930</v>
      </c>
      <c r="S4" s="25" t="str">
        <f ca="1"/>
        <v>canonical</v>
      </c>
      <c r="T4" s="26" t="str">
        <f ca="1"/>
        <v>revenue</v>
      </c>
      <c r="U4" s="27" t="str">
        <f ca="1"/>
        <v>169.882</v>
      </c>
      <c r="V4" s="28" t="str">
        <f ca="1"/>
        <v>0.104083396699747</v>
      </c>
      <c r="W4" s="29" t="str">
        <f ca="1"/>
        <v>8.34075883113128</v>
      </c>
      <c r="X4" s="29" t="str">
        <f ca="1"/>
        <v>204.82450194212</v>
      </c>
      <c r="Y4" s="29" t="str">
        <f ca="1"/>
        <v>0.0354743938267239</v>
      </c>
    </row>
    <row r="5" spans="1:25" x14ac:dyDescent="0.45">
      <c r="C5" s="13" t="s">
        <v>12</v>
      </c>
      <c r="D5" s="14">
        <f t="shared" ref="D5:O5" ca="1" si="0">EOMONTH(DATE(YEAR(D6),ROUNDUP(MONTH(D6)/3,0)*3,1),0)</f>
        <v>45016</v>
      </c>
      <c r="E5" s="14">
        <f t="shared" ca="1" si="0"/>
        <v>45107</v>
      </c>
      <c r="F5" s="14">
        <f t="shared" ca="1" si="0"/>
        <v>45199</v>
      </c>
      <c r="G5" s="14">
        <f t="shared" ca="1" si="0"/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t="shared" ca="1" si="0"/>
        <v>45747</v>
      </c>
      <c r="M5" s="14">
        <f t="shared" ca="1" si="0"/>
        <v>45838</v>
      </c>
      <c r="N5" s="14">
        <f t="shared" ca="1" si="0"/>
        <v>45930</v>
      </c>
      <c r="O5" s="14">
        <f t="shared" ca="1" si="0"/>
        <v>46022</v>
      </c>
      <c r="Q5" s="24" t="str">
        <f ca="1"/>
        <v>QLYS US EQUITY</v>
      </c>
      <c r="R5" s="24">
        <f ca="1"/>
        <v>46022</v>
      </c>
      <c r="S5" s="25" t="str">
        <f ca="1"/>
        <v>canonical</v>
      </c>
      <c r="T5" s="26" t="str">
        <f ca="1"/>
        <v>revenue</v>
      </c>
      <c r="U5" s="27" t="str">
        <f ca="1"/>
        <v>175.282</v>
      </c>
      <c r="V5" s="28" t="str">
        <f ca="1"/>
        <v>0.10107983491529</v>
      </c>
      <c r="W5" s="29" t="str">
        <f ca="1"/>
        <v>-30.0356178445682</v>
      </c>
      <c r="X5" s="29" t="str">
        <f ca="1"/>
        <v>-0.545636459603482</v>
      </c>
      <c r="Y5" s="29" t="str">
        <f ca="1"/>
        <v>0.0317867696401031</v>
      </c>
    </row>
    <row r="6" spans="1:25" x14ac:dyDescent="0.45">
      <c r="D6" s="15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QLYS US EQUITY</v>
      </c>
      <c r="R6" s="24">
        <f ca="1"/>
        <v>45747</v>
      </c>
      <c r="S6" s="25" t="str">
        <f ca="1"/>
        <v>canonical</v>
      </c>
      <c r="T6" s="26" t="str">
        <f ca="1"/>
        <v>gross_margin_gaap</v>
      </c>
      <c r="U6" s="30" t="str">
        <f ca="1"/>
        <v>81.9098</v>
      </c>
      <c r="V6" s="29" t="str">
        <f ca="1"/>
        <v>56.3500000000005</v>
      </c>
      <c r="W6" s="29" t="str">
        <f ca="1"/>
        <v/>
      </c>
      <c r="X6" s="29" t="str">
        <f ca="1"/>
        <v/>
      </c>
      <c r="Y6" s="29" t="str">
        <f ca="1"/>
        <v>15.0199999999998</v>
      </c>
    </row>
    <row r="7" spans="1:25" x14ac:dyDescent="0.45">
      <c r="A7" s="16" t="s">
        <v>9</v>
      </c>
      <c r="B7" s="16" t="s">
        <v>8</v>
      </c>
      <c r="C7" s="9" t="s">
        <v>0</v>
      </c>
      <c r="D7" s="11">
        <f ca="1"/>
        <v>130.68299999999999</v>
      </c>
      <c r="E7" s="11">
        <f ca="1"/>
        <v>137.209</v>
      </c>
      <c r="F7" s="11">
        <f ca="1"/>
        <v>141.99600000000001</v>
      </c>
      <c r="G7" s="11">
        <f ca="1"/>
        <v>144.57</v>
      </c>
      <c r="H7" s="11">
        <f ca="1"/>
        <v>145.80500000000001</v>
      </c>
      <c r="I7" s="11">
        <f ca="1"/>
        <v>148.708</v>
      </c>
      <c r="J7" s="11">
        <f ca="1"/>
        <v>153.86699999999999</v>
      </c>
      <c r="K7" s="11">
        <f ca="1"/>
        <v>159.191</v>
      </c>
      <c r="L7" s="11">
        <f ca="1"/>
        <v>159.899</v>
      </c>
      <c r="M7" s="11">
        <f ca="1"/>
        <v>164.06200000000001</v>
      </c>
      <c r="N7" s="11">
        <f ca="1"/>
        <v>169.88200000000001</v>
      </c>
      <c r="O7" s="3">
        <f ca="1"/>
        <v>175.28200000000001</v>
      </c>
      <c r="P7" s="1"/>
      <c r="Q7" s="24" t="str">
        <f ca="1"/>
        <v>QLYS US EQUITY</v>
      </c>
      <c r="R7" s="24">
        <f ca="1"/>
        <v>45838</v>
      </c>
      <c r="S7" s="25" t="str">
        <f ca="1"/>
        <v>canonical</v>
      </c>
      <c r="T7" s="26" t="str">
        <f ca="1"/>
        <v>gross_margin_gaap</v>
      </c>
      <c r="U7" s="30" t="str">
        <f ca="1"/>
        <v>82.3987</v>
      </c>
      <c r="V7" s="29" t="str">
        <f ca="1"/>
        <v>16.170000000001</v>
      </c>
      <c r="W7" s="29" t="str">
        <f ca="1"/>
        <v/>
      </c>
      <c r="X7" s="29" t="str">
        <f ca="1"/>
        <v/>
      </c>
      <c r="Y7" s="29" t="str">
        <f ca="1"/>
        <v>48.8900000000001</v>
      </c>
    </row>
    <row r="8" spans="1:25" x14ac:dyDescent="0.45">
      <c r="C8" s="4" t="s">
        <v>4</v>
      </c>
      <c r="D8" s="5"/>
      <c r="E8" s="4"/>
      <c r="F8" s="4"/>
      <c r="G8" s="12"/>
      <c r="H8" s="12">
        <f t="shared" ref="H8:O8" ca="1" si="1">+H7/D7-1</f>
        <v>0.11571512744580414</v>
      </c>
      <c r="I8" s="12">
        <f t="shared" ca="1" si="1"/>
        <v>8.3806455844733119E-2</v>
      </c>
      <c r="J8" s="12">
        <f t="shared" ca="1" si="1"/>
        <v>8.3600946505535179E-2</v>
      </c>
      <c r="K8" s="12">
        <f t="shared" ca="1" si="1"/>
        <v>0.10113439856125073</v>
      </c>
      <c r="L8" s="12">
        <f t="shared" ca="1" si="1"/>
        <v>9.6663351736908876E-2</v>
      </c>
      <c r="M8" s="12">
        <f t="shared" ca="1" si="1"/>
        <v>0.10324932081663407</v>
      </c>
      <c r="N8" s="12">
        <f t="shared" ca="1" si="1"/>
        <v>0.1040833966997472</v>
      </c>
      <c r="O8" s="12">
        <f t="shared" ca="1" si="1"/>
        <v>0.10107983491529038</v>
      </c>
      <c r="P8" s="3"/>
      <c r="Q8" s="24" t="str">
        <f ca="1"/>
        <v>QLYS US EQUITY</v>
      </c>
      <c r="R8" s="24">
        <f ca="1"/>
        <v>45930</v>
      </c>
      <c r="S8" s="25" t="str">
        <f ca="1"/>
        <v>canonical</v>
      </c>
      <c r="T8" s="26" t="str">
        <f ca="1"/>
        <v>gross_margin_gaap</v>
      </c>
      <c r="U8" s="30" t="str">
        <f ca="1"/>
        <v>83.6369</v>
      </c>
      <c r="V8" s="29" t="str">
        <f ca="1"/>
        <v>237.519999999999</v>
      </c>
      <c r="W8" s="29" t="str">
        <f ca="1"/>
        <v/>
      </c>
      <c r="X8" s="29" t="str">
        <f ca="1"/>
        <v/>
      </c>
      <c r="Y8" s="29" t="str">
        <f ca="1"/>
        <v>123.819999999999</v>
      </c>
    </row>
    <row r="9" spans="1:25" x14ac:dyDescent="0.45">
      <c r="C9" s="4" t="s">
        <v>19</v>
      </c>
      <c r="D9" s="1"/>
      <c r="L9" s="7">
        <f ca="1">(L8-K8)*10000</f>
        <v>-44.710468243418511</v>
      </c>
      <c r="M9" s="7">
        <f ca="1">(M8-L8)*10000</f>
        <v>65.859690797251957</v>
      </c>
      <c r="N9" s="7">
        <f ca="1">(N8-M8)*10000</f>
        <v>8.3407588311312786</v>
      </c>
      <c r="O9" s="7">
        <f ca="1">(O8-N8)*10000</f>
        <v>-30.035617844568208</v>
      </c>
      <c r="Q9" s="22" t="str">
        <f ca="1"/>
        <v>QLYS US EQUITY</v>
      </c>
      <c r="R9" s="24">
        <f ca="1"/>
        <v>46022</v>
      </c>
      <c r="S9" s="25" t="str">
        <f ca="1"/>
        <v>canonical</v>
      </c>
      <c r="T9" s="26" t="str">
        <f ca="1"/>
        <v>gross_margin_gaap</v>
      </c>
      <c r="U9" s="30" t="str">
        <f ca="1"/>
        <v>83.36</v>
      </c>
      <c r="V9" s="29" t="str">
        <f ca="1"/>
        <v>160.039999999999</v>
      </c>
      <c r="W9" s="29" t="str">
        <f ca="1"/>
        <v/>
      </c>
      <c r="X9" s="29" t="str">
        <f ca="1"/>
        <v/>
      </c>
      <c r="Y9" s="29" t="str">
        <f ca="1"/>
        <v>-27.6899999999998</v>
      </c>
    </row>
    <row r="10" spans="1:25" x14ac:dyDescent="0.4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-190.51775708895269</v>
      </c>
      <c r="M10" s="7">
        <f ca="1">(M8-I8)*10000</f>
        <v>194.42864971900951</v>
      </c>
      <c r="N10" s="7">
        <f ca="1">(N8-J8)*10000</f>
        <v>204.82450194212021</v>
      </c>
      <c r="O10" s="7">
        <f ca="1">(O8-K8)*10000</f>
        <v>-0.54563645960348239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QLYS US EQUITY</v>
      </c>
      <c r="R10" s="24">
        <f ca="1"/>
        <v>45747</v>
      </c>
      <c r="S10" s="25" t="str">
        <f ca="1"/>
        <v>canonical</v>
      </c>
      <c r="T10" s="26" t="str">
        <f ca="1"/>
        <v>operating_margin_gaap</v>
      </c>
      <c r="U10" s="30" t="str">
        <f ca="1"/>
        <v>32.3673</v>
      </c>
      <c r="V10" s="29" t="str">
        <f ca="1"/>
        <v>166.81</v>
      </c>
      <c r="W10" s="29" t="str">
        <f ca="1"/>
        <v/>
      </c>
      <c r="X10" s="29" t="str">
        <f ca="1"/>
        <v/>
      </c>
      <c r="Y10" s="29" t="str">
        <f ca="1"/>
        <v>132.72</v>
      </c>
    </row>
    <row r="11" spans="1:25" x14ac:dyDescent="0.45">
      <c r="C11" s="4" t="s">
        <v>5</v>
      </c>
      <c r="D11" s="1"/>
      <c r="L11" s="12">
        <f ca="1">L7/K7-1</f>
        <v>4.4474876092241988E-3</v>
      </c>
      <c r="M11" s="12">
        <f ca="1">M7/L7-1</f>
        <v>2.603518471034838E-2</v>
      </c>
      <c r="N11" s="12">
        <f ca="1">N7/M7-1</f>
        <v>3.5474393826723905E-2</v>
      </c>
      <c r="O11" s="12">
        <f ca="1">O7/N7-1</f>
        <v>3.1786769640103074E-2</v>
      </c>
      <c r="Q11" s="24" t="str">
        <f ca="1"/>
        <v>QLYS US EQUITY</v>
      </c>
      <c r="R11" s="24">
        <f ca="1"/>
        <v>45838</v>
      </c>
      <c r="S11" s="25" t="str">
        <f ca="1"/>
        <v>canonical</v>
      </c>
      <c r="T11" s="26" t="str">
        <f ca="1"/>
        <v>operating_margin_gaap</v>
      </c>
      <c r="U11" s="30" t="str">
        <f ca="1"/>
        <v>31.3339</v>
      </c>
      <c r="V11" s="29" t="str">
        <f ca="1"/>
        <v>-98.9800000000002</v>
      </c>
      <c r="W11" s="29" t="str">
        <f ca="1"/>
        <v/>
      </c>
      <c r="X11" s="29" t="str">
        <f ca="1"/>
        <v/>
      </c>
      <c r="Y11" s="29" t="str">
        <f ca="1"/>
        <v>-103.34</v>
      </c>
    </row>
    <row r="12" spans="1:25" x14ac:dyDescent="0.45">
      <c r="Q12" s="24" t="str">
        <f ca="1"/>
        <v>QLYS US EQUITY</v>
      </c>
      <c r="R12" s="24">
        <f ca="1"/>
        <v>45930</v>
      </c>
      <c r="S12" s="25" t="str">
        <f ca="1"/>
        <v>canonical</v>
      </c>
      <c r="T12" s="26" t="str">
        <f ca="1"/>
        <v>operating_margin_gaap</v>
      </c>
      <c r="U12" s="30" t="str">
        <f ca="1"/>
        <v>35.2921</v>
      </c>
      <c r="V12" s="29" t="str">
        <f ca="1"/>
        <v>607.6</v>
      </c>
      <c r="W12" s="29" t="str">
        <f ca="1"/>
        <v/>
      </c>
      <c r="X12" s="29" t="str">
        <f ca="1"/>
        <v/>
      </c>
      <c r="Y12" s="29" t="str">
        <f ca="1"/>
        <v>395.82</v>
      </c>
    </row>
    <row r="13" spans="1:25" x14ac:dyDescent="0.45">
      <c r="C13" s="13" t="s">
        <v>12</v>
      </c>
      <c r="D13" s="14">
        <f t="shared" ref="D13:O13" ca="1" si="2">EOMONTH(DATE(YEAR(D14),ROUNDUP(MONTH(D14)/3,0)*3,1),0)</f>
        <v>45016</v>
      </c>
      <c r="E13" s="14">
        <f t="shared" ca="1" si="2"/>
        <v>45107</v>
      </c>
      <c r="F13" s="14">
        <f t="shared" ca="1" si="2"/>
        <v>45199</v>
      </c>
      <c r="G13" s="14">
        <f t="shared" ca="1" si="2"/>
        <v>45291</v>
      </c>
      <c r="H13" s="14">
        <f t="shared" ca="1" si="2"/>
        <v>45382</v>
      </c>
      <c r="I13" s="14">
        <f t="shared" ca="1" si="2"/>
        <v>45473</v>
      </c>
      <c r="J13" s="14">
        <f t="shared" ca="1" si="2"/>
        <v>45565</v>
      </c>
      <c r="K13" s="14">
        <f t="shared" ca="1" si="2"/>
        <v>45657</v>
      </c>
      <c r="L13" s="14">
        <f t="shared" ca="1" si="2"/>
        <v>45747</v>
      </c>
      <c r="M13" s="14">
        <f t="shared" ca="1" si="2"/>
        <v>45838</v>
      </c>
      <c r="N13" s="14">
        <f t="shared" ca="1" si="2"/>
        <v>45930</v>
      </c>
      <c r="O13" s="14">
        <f t="shared" ca="1" si="2"/>
        <v>46022</v>
      </c>
      <c r="Q13" s="24" t="str">
        <f ca="1"/>
        <v>QLYS US EQUITY</v>
      </c>
      <c r="R13" s="24">
        <f ca="1"/>
        <v>46022</v>
      </c>
      <c r="S13" s="25" t="str">
        <f ca="1"/>
        <v>canonical</v>
      </c>
      <c r="T13" s="26" t="str">
        <f ca="1"/>
        <v>operating_margin_gaap</v>
      </c>
      <c r="U13" s="30" t="str">
        <f ca="1"/>
        <v>33.5659</v>
      </c>
      <c r="V13" s="29" t="str">
        <f ca="1"/>
        <v>252.58</v>
      </c>
      <c r="W13" s="29" t="str">
        <f ca="1"/>
        <v/>
      </c>
      <c r="X13" s="29" t="str">
        <f ca="1"/>
        <v/>
      </c>
      <c r="Y13" s="29" t="str">
        <f ca="1"/>
        <v>-172.62</v>
      </c>
    </row>
    <row r="14" spans="1:25" x14ac:dyDescent="0.4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QLYS US EQUITY</v>
      </c>
      <c r="R14" s="24">
        <v>45747</v>
      </c>
      <c r="S14" s="25" t="str">
        <v>custom</v>
      </c>
      <c r="T14" s="26" t="str">
        <v>current_billings_in_k</v>
      </c>
      <c r="U14" s="30" t="str">
        <v>155266</v>
      </c>
      <c r="V14" s="29" t="str">
        <v>0.0732722270609543</v>
      </c>
      <c r="W14" s="29" t="str">
        <v>-566.308539548785</v>
      </c>
      <c r="X14" s="29" t="str">
        <v>-106.036710742212</v>
      </c>
      <c r="Y14" s="29" t="str">
        <v>-0.194791185881645</v>
      </c>
    </row>
    <row r="15" spans="1:25" x14ac:dyDescent="0.45">
      <c r="A15" s="16" t="s">
        <v>9</v>
      </c>
      <c r="B15" s="16" t="s">
        <v>14</v>
      </c>
      <c r="C15" s="9" t="s">
        <v>6</v>
      </c>
      <c r="D15" s="3">
        <f ca="1"/>
        <v>79.374499999999998</v>
      </c>
      <c r="E15" s="3">
        <f ca="1"/>
        <v>80.568299999999994</v>
      </c>
      <c r="F15" s="3">
        <f ca="1"/>
        <v>81.169200000000004</v>
      </c>
      <c r="G15" s="3">
        <f ca="1"/>
        <v>81.233999999999995</v>
      </c>
      <c r="H15" s="3">
        <f ca="1"/>
        <v>81.346299999999999</v>
      </c>
      <c r="I15" s="3">
        <f ca="1"/>
        <v>82.236999999999995</v>
      </c>
      <c r="J15" s="3">
        <f ca="1"/>
        <v>81.261700000000005</v>
      </c>
      <c r="K15" s="3">
        <f ca="1"/>
        <v>81.759600000000006</v>
      </c>
      <c r="L15" s="3">
        <f ca="1"/>
        <v>81.909800000000004</v>
      </c>
      <c r="M15" s="3">
        <f ca="1"/>
        <v>82.398700000000005</v>
      </c>
      <c r="N15" s="3">
        <f ca="1"/>
        <v>83.636899999999997</v>
      </c>
      <c r="O15">
        <f ca="1"/>
        <v>83.36</v>
      </c>
      <c r="Q15" s="24" t="str">
        <v>QLYS US EQUITY</v>
      </c>
      <c r="R15" s="24">
        <v>45838</v>
      </c>
      <c r="S15" s="25" t="str">
        <v>custom</v>
      </c>
      <c r="T15" s="26" t="str">
        <v>current_billings_in_k</v>
      </c>
      <c r="U15" s="30" t="str">
        <v>152209</v>
      </c>
      <c r="V15" s="29" t="str">
        <v>0.0801552720098784</v>
      </c>
      <c r="W15" s="29" t="str">
        <v>68.8304494892411</v>
      </c>
      <c r="X15" s="29" t="str">
        <v>956.996030447466</v>
      </c>
      <c r="Y15" s="29" t="str">
        <v>-0.0196887921373643</v>
      </c>
    </row>
    <row r="16" spans="1:25" x14ac:dyDescent="0.45">
      <c r="C16" s="4" t="s">
        <v>4</v>
      </c>
      <c r="D16" s="5"/>
      <c r="E16" s="4"/>
      <c r="F16" s="4"/>
      <c r="G16" s="4"/>
      <c r="H16" s="7">
        <f t="shared" ref="H16:O16" ca="1" si="3">(H15-D15)*100</f>
        <v>197.18000000000018</v>
      </c>
      <c r="I16" s="7">
        <f t="shared" ca="1" si="3"/>
        <v>166.87000000000012</v>
      </c>
      <c r="J16" s="7">
        <f t="shared" ca="1" si="3"/>
        <v>9.2500000000001137</v>
      </c>
      <c r="K16" s="7">
        <f t="shared" ca="1" si="3"/>
        <v>52.560000000001139</v>
      </c>
      <c r="L16" s="7">
        <f t="shared" ca="1" si="3"/>
        <v>56.350000000000477</v>
      </c>
      <c r="M16" s="7">
        <f t="shared" ca="1" si="3"/>
        <v>16.170000000001039</v>
      </c>
      <c r="N16" s="7">
        <f t="shared" ca="1" si="3"/>
        <v>237.51999999999924</v>
      </c>
      <c r="O16" s="7">
        <f t="shared" ca="1" si="3"/>
        <v>160.03999999999934</v>
      </c>
      <c r="Q16" s="24" t="str">
        <v>QLYS US EQUITY</v>
      </c>
      <c r="R16" s="24">
        <v>45930</v>
      </c>
      <c r="S16" s="25" t="str">
        <v>custom</v>
      </c>
      <c r="T16" s="26" t="str">
        <v>current_billings_in_k</v>
      </c>
      <c r="U16" s="30" t="str">
        <v>186387</v>
      </c>
      <c r="V16" s="29" t="str">
        <v>0.113728981679553</v>
      </c>
      <c r="W16" s="29" t="str">
        <v>335.737096696751</v>
      </c>
      <c r="X16" s="29" t="str">
        <v>-268.362780850466</v>
      </c>
      <c r="Y16" s="29" t="str">
        <v>0.224546511704301</v>
      </c>
    </row>
    <row r="17" spans="1:25" x14ac:dyDescent="0.45">
      <c r="C17" s="4" t="s">
        <v>19</v>
      </c>
      <c r="D17" s="1"/>
      <c r="K17" s="7"/>
      <c r="L17" s="7"/>
      <c r="M17" s="7"/>
      <c r="N17" s="7"/>
      <c r="O17" s="7"/>
      <c r="Q17" s="24" t="str">
        <v>QLYS US EQUITY</v>
      </c>
      <c r="R17" s="24">
        <v>46022</v>
      </c>
      <c r="S17" s="25" t="str">
        <v>custom</v>
      </c>
      <c r="T17" s="26" t="str">
        <v>current_billings_in_k</v>
      </c>
      <c r="U17" s="30" t="str">
        <v>204933</v>
      </c>
      <c r="V17" s="29" t="str">
        <v>0.0627816643934718</v>
      </c>
      <c r="W17" s="29" t="str">
        <v>-509.473172860817</v>
      </c>
      <c r="X17" s="29" t="str">
        <v>-671.21416622361</v>
      </c>
      <c r="Y17" s="29" t="str">
        <v>0.0995026477168472</v>
      </c>
    </row>
    <row r="18" spans="1:25" x14ac:dyDescent="0.4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QLYS US EQUITY</v>
      </c>
      <c r="R18" s="24">
        <v>45747</v>
      </c>
      <c r="S18" s="25" t="str">
        <v>custom</v>
      </c>
      <c r="T18" s="26" t="str">
        <v>dollar_based_net_retention_percent</v>
      </c>
      <c r="U18" s="30" t="str">
        <v>1.03</v>
      </c>
      <c r="V18" s="29" t="str">
        <v>-100</v>
      </c>
      <c r="W18" s="29" t="str">
        <v/>
      </c>
      <c r="X18" s="29" t="str">
        <v/>
      </c>
      <c r="Y18" s="29" t="str">
        <v>0</v>
      </c>
    </row>
    <row r="19" spans="1:25" x14ac:dyDescent="0.45">
      <c r="C19" s="4" t="s">
        <v>5</v>
      </c>
      <c r="D19" s="1"/>
      <c r="K19" s="7"/>
      <c r="L19" s="7">
        <f ca="1">(L15-K15)*100</f>
        <v>15.019999999999811</v>
      </c>
      <c r="M19" s="7">
        <f ca="1">(M15-L15)*100</f>
        <v>48.8900000000001</v>
      </c>
      <c r="N19" s="7">
        <f ca="1">(N15-M15)*100</f>
        <v>123.8199999999992</v>
      </c>
      <c r="O19" s="7">
        <f ca="1">(O15-N15)*100</f>
        <v>-27.68999999999977</v>
      </c>
      <c r="Q19" s="24" t="str">
        <v>QLYS US EQUITY</v>
      </c>
      <c r="R19" s="24">
        <v>45838</v>
      </c>
      <c r="S19" s="25" t="str">
        <v>custom</v>
      </c>
      <c r="T19" s="26" t="str">
        <v>dollar_based_net_retention_percent</v>
      </c>
      <c r="U19" s="30" t="str">
        <v>1.04</v>
      </c>
      <c r="V19" s="29" t="str">
        <v>200</v>
      </c>
      <c r="W19" s="29" t="str">
        <v/>
      </c>
      <c r="X19" s="29" t="str">
        <v/>
      </c>
      <c r="Y19" s="29" t="str">
        <v>100</v>
      </c>
    </row>
    <row r="20" spans="1:25" x14ac:dyDescent="0.45">
      <c r="Q20" s="24" t="str">
        <v>QLYS US EQUITY</v>
      </c>
      <c r="R20" s="24">
        <v>45930</v>
      </c>
      <c r="S20" s="25" t="str">
        <v>custom</v>
      </c>
      <c r="T20" s="26" t="str">
        <v>dollar_based_net_retention_percent</v>
      </c>
      <c r="U20" s="30" t="str">
        <v>1.04</v>
      </c>
      <c r="V20" s="29" t="str">
        <v>100</v>
      </c>
      <c r="W20" s="29" t="str">
        <v/>
      </c>
      <c r="X20" s="29" t="str">
        <v/>
      </c>
      <c r="Y20" s="29" t="str">
        <v>0</v>
      </c>
    </row>
    <row r="21" spans="1:25" x14ac:dyDescent="0.45">
      <c r="C21" s="13" t="s">
        <v>12</v>
      </c>
      <c r="D21" s="14">
        <f t="shared" ref="D21:O21" ca="1" si="4">EOMONTH(DATE(YEAR(D22),ROUNDUP(MONTH(D22)/3,0)*3,1),0)</f>
        <v>45016</v>
      </c>
      <c r="E21" s="14">
        <f t="shared" ca="1" si="4"/>
        <v>45107</v>
      </c>
      <c r="F21" s="14">
        <f t="shared" ca="1" si="4"/>
        <v>45199</v>
      </c>
      <c r="G21" s="14">
        <f t="shared" ca="1" si="4"/>
        <v>45291</v>
      </c>
      <c r="H21" s="14">
        <f t="shared" ca="1" si="4"/>
        <v>45382</v>
      </c>
      <c r="I21" s="14">
        <f t="shared" ca="1" si="4"/>
        <v>45473</v>
      </c>
      <c r="J21" s="14">
        <f t="shared" ca="1" si="4"/>
        <v>45565</v>
      </c>
      <c r="K21" s="14">
        <f t="shared" ca="1" si="4"/>
        <v>45657</v>
      </c>
      <c r="L21" s="14">
        <f t="shared" ca="1" si="4"/>
        <v>45747</v>
      </c>
      <c r="M21" s="14">
        <f t="shared" ca="1" si="4"/>
        <v>45838</v>
      </c>
      <c r="N21" s="14">
        <f t="shared" ca="1" si="4"/>
        <v>45930</v>
      </c>
      <c r="O21" s="14">
        <f t="shared" ca="1" si="4"/>
        <v>46022</v>
      </c>
      <c r="Q21" s="24" t="str">
        <v>QLYS US EQUITY</v>
      </c>
      <c r="R21" s="24">
        <v>46022</v>
      </c>
      <c r="S21" s="25" t="str">
        <v>custom</v>
      </c>
      <c r="T21" s="26" t="str">
        <v>dollar_based_net_retention_percent</v>
      </c>
      <c r="U21" s="30" t="str">
        <v>1.03</v>
      </c>
      <c r="V21" s="29" t="str">
        <v>0</v>
      </c>
      <c r="W21" s="29" t="str">
        <v/>
      </c>
      <c r="X21" s="29" t="str">
        <v/>
      </c>
      <c r="Y21" s="29" t="str">
        <v>-100</v>
      </c>
    </row>
    <row r="22" spans="1:25" x14ac:dyDescent="0.45">
      <c r="D22" s="1" cm="1">
        <f t="array" aca="1" ref="D22:O23" ca="1">+_xll.BDH($B$2,C23,$B$3,$B$4,"DIR=H")</f>
        <v>45016</v>
      </c>
      <c r="E22" s="1">
        <f ca="1"/>
        <v>45107</v>
      </c>
      <c r="F22" s="1">
        <f ca="1"/>
        <v>45199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45565</v>
      </c>
      <c r="K22" s="1">
        <f ca="1"/>
        <v>45657</v>
      </c>
      <c r="L22" s="1">
        <f ca="1"/>
        <v>45747</v>
      </c>
      <c r="M22" s="1">
        <f ca="1"/>
        <v>45838</v>
      </c>
      <c r="N22" s="1">
        <f ca="1"/>
        <v>45930</v>
      </c>
      <c r="O22" s="1">
        <f ca="1"/>
        <v>46022</v>
      </c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QLYS US EQUITY</v>
      </c>
      <c r="R22" s="24">
        <v>0</v>
      </c>
      <c r="S22" s="25">
        <v>0</v>
      </c>
      <c r="T22" s="26">
        <v>0</v>
      </c>
      <c r="U22" s="27" t="str">
        <v/>
      </c>
      <c r="V22" s="28" t="str">
        <v/>
      </c>
      <c r="W22" s="29" t="str">
        <v/>
      </c>
      <c r="X22" s="28" t="str">
        <v/>
      </c>
      <c r="Y22" s="29" t="str">
        <v/>
      </c>
    </row>
    <row r="23" spans="1:25" x14ac:dyDescent="0.45">
      <c r="A23" s="16" t="s">
        <v>9</v>
      </c>
      <c r="B23" s="16" t="s">
        <v>15</v>
      </c>
      <c r="C23" s="9" t="s">
        <v>7</v>
      </c>
      <c r="D23" s="3">
        <f ca="1"/>
        <v>26.918600000000001</v>
      </c>
      <c r="E23" s="3">
        <f ca="1"/>
        <v>31.213000000000001</v>
      </c>
      <c r="F23" s="3">
        <f ca="1"/>
        <v>30.701599999999999</v>
      </c>
      <c r="G23" s="3">
        <f ca="1"/>
        <v>28.6844</v>
      </c>
      <c r="H23" s="3">
        <f ca="1"/>
        <v>30.699200000000001</v>
      </c>
      <c r="I23" s="3">
        <f ca="1"/>
        <v>32.323700000000002</v>
      </c>
      <c r="J23" s="3">
        <f ca="1"/>
        <v>29.216100000000001</v>
      </c>
      <c r="K23" s="3">
        <f ca="1"/>
        <v>31.040099999999999</v>
      </c>
      <c r="L23" s="3">
        <f ca="1"/>
        <v>32.3673</v>
      </c>
      <c r="M23" s="3">
        <f ca="1"/>
        <v>31.3339</v>
      </c>
      <c r="N23" s="3">
        <f ca="1"/>
        <v>35.292099999999998</v>
      </c>
      <c r="O23">
        <f ca="1"/>
        <v>33.565899999999999</v>
      </c>
      <c r="Q23" s="24" t="str">
        <v>QLYS US EQUITY</v>
      </c>
      <c r="R23" s="24">
        <v>0</v>
      </c>
      <c r="S23" s="25">
        <v>0</v>
      </c>
      <c r="T23" s="26">
        <v>0</v>
      </c>
      <c r="U23" s="27" t="str">
        <v/>
      </c>
      <c r="V23" s="28" t="str">
        <v/>
      </c>
      <c r="W23" s="29" t="str">
        <v/>
      </c>
      <c r="X23" s="28" t="str">
        <v/>
      </c>
      <c r="Y23" s="29" t="str">
        <v/>
      </c>
    </row>
    <row r="24" spans="1:25" x14ac:dyDescent="0.45">
      <c r="C24" s="4" t="s">
        <v>4</v>
      </c>
      <c r="D24" s="5"/>
      <c r="E24" s="4"/>
      <c r="F24" s="4"/>
      <c r="G24" s="4"/>
      <c r="H24" s="7">
        <f t="shared" ref="H24:O24" ca="1" si="5">(H23-D23)*100</f>
        <v>378.05999999999995</v>
      </c>
      <c r="I24" s="7">
        <f t="shared" ca="1" si="5"/>
        <v>111.07000000000014</v>
      </c>
      <c r="J24" s="7">
        <f t="shared" ca="1" si="5"/>
        <v>-148.54999999999984</v>
      </c>
      <c r="K24" s="7">
        <f t="shared" ca="1" si="5"/>
        <v>235.56999999999988</v>
      </c>
      <c r="L24" s="7">
        <f t="shared" ca="1" si="5"/>
        <v>166.80999999999989</v>
      </c>
      <c r="M24" s="7">
        <f t="shared" ca="1" si="5"/>
        <v>-98.980000000000246</v>
      </c>
      <c r="N24" s="7">
        <f t="shared" ca="1" si="5"/>
        <v>607.59999999999968</v>
      </c>
      <c r="O24" s="7">
        <f t="shared" ca="1" si="5"/>
        <v>252.58000000000004</v>
      </c>
      <c r="Q24" s="24" t="str">
        <v>QLYS US EQUITY</v>
      </c>
      <c r="R24" s="24">
        <v>0</v>
      </c>
      <c r="S24" s="25">
        <v>0</v>
      </c>
      <c r="T24" s="26">
        <v>0</v>
      </c>
      <c r="U24" s="27" t="str">
        <v/>
      </c>
      <c r="V24" s="28" t="str">
        <v/>
      </c>
      <c r="W24" s="29" t="str">
        <v/>
      </c>
      <c r="X24" s="28" t="str">
        <v/>
      </c>
      <c r="Y24" s="29" t="str">
        <v/>
      </c>
    </row>
    <row r="25" spans="1:25" x14ac:dyDescent="0.45">
      <c r="C25" s="4" t="s">
        <v>19</v>
      </c>
      <c r="D25" s="1"/>
      <c r="K25" s="7"/>
      <c r="L25" s="7"/>
      <c r="M25" s="7"/>
      <c r="N25" s="7"/>
      <c r="O25" s="7"/>
      <c r="Q25" s="24" t="str">
        <v>QLYS US EQUITY</v>
      </c>
      <c r="R25" s="24">
        <v>0</v>
      </c>
      <c r="S25" s="25">
        <v>0</v>
      </c>
      <c r="T25" s="26">
        <v>0</v>
      </c>
      <c r="U25" s="27" t="str">
        <v/>
      </c>
      <c r="V25" s="28" t="str">
        <v/>
      </c>
      <c r="W25" s="29" t="str">
        <v/>
      </c>
      <c r="X25" s="28" t="str">
        <v/>
      </c>
      <c r="Y25" s="29" t="str">
        <v/>
      </c>
    </row>
    <row r="26" spans="1:25" x14ac:dyDescent="0.4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QLYS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45">
      <c r="C27" s="4" t="s">
        <v>5</v>
      </c>
      <c r="D27" s="1"/>
      <c r="K27" s="7"/>
      <c r="L27" s="7">
        <f ca="1">(L23-K23)*100</f>
        <v>132.72000000000014</v>
      </c>
      <c r="M27" s="7">
        <f ca="1">(M23-L23)*100</f>
        <v>-103.34000000000003</v>
      </c>
      <c r="N27" s="7">
        <f ca="1">(N23-M23)*100</f>
        <v>395.81999999999982</v>
      </c>
      <c r="O27" s="7">
        <f ca="1">(O23-N23)*100</f>
        <v>-172.61999999999986</v>
      </c>
      <c r="Q27" s="24" t="str">
        <v>QLYS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45">
      <c r="C28" s="4"/>
      <c r="D28" s="1"/>
      <c r="K28" s="7"/>
      <c r="L28" s="7"/>
      <c r="M28" s="7"/>
      <c r="N28" s="7"/>
      <c r="O28" s="7"/>
      <c r="Q28" s="24" t="str">
        <v>QLYS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45">
      <c r="C29" s="13"/>
      <c r="D29" s="14">
        <f t="shared" ref="D29:L29" si="6">EOMONTH(DATE(YEAR(D30),ROUNDUP(MONTH(D30)/3,0)*3,1),0)</f>
        <v>45016</v>
      </c>
      <c r="E29" s="14">
        <f t="shared" si="6"/>
        <v>45107</v>
      </c>
      <c r="F29" s="14">
        <f t="shared" si="6"/>
        <v>45199</v>
      </c>
      <c r="G29" s="14">
        <f t="shared" si="6"/>
        <v>45291</v>
      </c>
      <c r="H29" s="14">
        <f t="shared" si="6"/>
        <v>45382</v>
      </c>
      <c r="I29" s="14">
        <f t="shared" si="6"/>
        <v>45473</v>
      </c>
      <c r="J29" s="14">
        <f t="shared" si="6"/>
        <v>45565</v>
      </c>
      <c r="K29" s="14">
        <f t="shared" si="6"/>
        <v>45657</v>
      </c>
      <c r="L29" s="14">
        <f t="shared" si="6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QLYS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45">
      <c r="D30" s="2">
        <v>45016</v>
      </c>
      <c r="E30" s="2">
        <v>45107</v>
      </c>
      <c r="F30" s="2">
        <v>45199</v>
      </c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QLYS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45">
      <c r="A31" s="16" t="s">
        <v>21</v>
      </c>
      <c r="B31" s="16" t="s">
        <v>78</v>
      </c>
      <c r="C31" s="2" t="s">
        <v>79</v>
      </c>
      <c r="D31" s="32">
        <v>133471</v>
      </c>
      <c r="E31" s="32">
        <v>143139</v>
      </c>
      <c r="F31" s="32">
        <v>146729</v>
      </c>
      <c r="G31" s="32">
        <v>170658</v>
      </c>
      <c r="H31" s="32">
        <v>144666</v>
      </c>
      <c r="I31" s="32">
        <v>140914</v>
      </c>
      <c r="J31" s="32">
        <v>167354</v>
      </c>
      <c r="K31" s="32">
        <v>192827</v>
      </c>
      <c r="L31" s="32">
        <v>155266</v>
      </c>
      <c r="M31" s="32">
        <v>152209</v>
      </c>
      <c r="N31" s="32">
        <v>186387</v>
      </c>
      <c r="O31" s="32">
        <v>204933</v>
      </c>
      <c r="Q31" s="24" t="str">
        <v>QLYS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45">
      <c r="C32" s="4" t="s">
        <v>4</v>
      </c>
      <c r="D32" s="5"/>
      <c r="E32" s="4"/>
      <c r="F32" s="4"/>
      <c r="G32" s="12"/>
      <c r="H32" s="12">
        <f t="shared" ref="H32:O32" si="7">+H31/D31-1</f>
        <v>8.3875898135175486E-2</v>
      </c>
      <c r="I32" s="12">
        <f t="shared" si="7"/>
        <v>-1.5544331034868186E-2</v>
      </c>
      <c r="J32" s="12">
        <f t="shared" si="7"/>
        <v>0.1405652597646001</v>
      </c>
      <c r="K32" s="12">
        <f t="shared" si="7"/>
        <v>0.12990308101583281</v>
      </c>
      <c r="L32" s="12">
        <f t="shared" si="7"/>
        <v>7.3272227060954265E-2</v>
      </c>
      <c r="M32" s="12">
        <f t="shared" si="7"/>
        <v>8.0155272009878376E-2</v>
      </c>
      <c r="N32" s="12">
        <f t="shared" si="7"/>
        <v>0.11372898167955348</v>
      </c>
      <c r="O32" s="12">
        <f t="shared" si="7"/>
        <v>6.278166439347177E-2</v>
      </c>
      <c r="Q32" s="24" t="str">
        <v>QLYS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45">
      <c r="C33" s="4" t="s">
        <v>19</v>
      </c>
      <c r="D33" s="1"/>
      <c r="L33" s="7">
        <f>(L32-K32)*10000</f>
        <v>-566.30853954878546</v>
      </c>
      <c r="M33" s="7">
        <f>(M32-L32)*10000</f>
        <v>68.830449489241104</v>
      </c>
      <c r="N33" s="7">
        <f>(N32-M32)*10000</f>
        <v>335.737096696751</v>
      </c>
      <c r="O33" s="7">
        <f>(O32-N32)*10000</f>
        <v>-509.47317286081704</v>
      </c>
      <c r="Q33" s="24" t="str">
        <v>QLYS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45">
      <c r="C34" s="4" t="s">
        <v>23</v>
      </c>
      <c r="D34" s="1"/>
      <c r="E34" s="6"/>
      <c r="F34" s="6"/>
      <c r="G34" s="6"/>
      <c r="H34" s="6"/>
      <c r="I34" s="6"/>
      <c r="J34" s="6"/>
      <c r="K34" s="6"/>
      <c r="L34" s="7">
        <f>(L32-H32)*10000</f>
        <v>-106.03671074221222</v>
      </c>
      <c r="M34" s="7">
        <f>(M32-I32)*10000</f>
        <v>956.99603044746561</v>
      </c>
      <c r="N34" s="7">
        <f>(N32-J32)*10000</f>
        <v>-268.36278085046627</v>
      </c>
      <c r="O34" s="7">
        <f>(O32-K32)*10000</f>
        <v>-671.21416622361039</v>
      </c>
    </row>
    <row r="35" spans="1:25" x14ac:dyDescent="0.45">
      <c r="C35" s="4" t="s">
        <v>5</v>
      </c>
      <c r="D35" s="1"/>
      <c r="L35" s="12">
        <f>L31/K31-1</f>
        <v>-0.19479118588164523</v>
      </c>
      <c r="M35" s="12">
        <f>M31/L31-1</f>
        <v>-1.9688792137364297E-2</v>
      </c>
      <c r="N35" s="12">
        <f>N31/M31-1</f>
        <v>0.22454651170430129</v>
      </c>
      <c r="O35" s="12">
        <f>O31/N31-1</f>
        <v>9.9502647716847248E-2</v>
      </c>
    </row>
    <row r="36" spans="1:25" x14ac:dyDescent="0.45">
      <c r="C36" s="4"/>
      <c r="D36" s="1"/>
      <c r="L36" s="7"/>
      <c r="M36" s="7"/>
      <c r="N36" s="7"/>
      <c r="O36" s="7"/>
    </row>
    <row r="37" spans="1:25" x14ac:dyDescent="0.45">
      <c r="C37" s="13"/>
      <c r="D37" s="14">
        <f t="shared" ref="D37:L37" si="8">EOMONTH(DATE(YEAR(D38),ROUNDUP(MONTH(D38)/3,0)*3,1),0)</f>
        <v>45016</v>
      </c>
      <c r="E37" s="14">
        <f t="shared" si="8"/>
        <v>45107</v>
      </c>
      <c r="F37" s="14">
        <f t="shared" si="8"/>
        <v>45199</v>
      </c>
      <c r="G37" s="14">
        <f t="shared" si="8"/>
        <v>45291</v>
      </c>
      <c r="H37" s="14">
        <f t="shared" si="8"/>
        <v>45382</v>
      </c>
      <c r="I37" s="14">
        <f t="shared" si="8"/>
        <v>45473</v>
      </c>
      <c r="J37" s="14">
        <f t="shared" si="8"/>
        <v>45565</v>
      </c>
      <c r="K37" s="14">
        <f t="shared" si="8"/>
        <v>45657</v>
      </c>
      <c r="L37" s="14">
        <f t="shared" si="8"/>
        <v>45747</v>
      </c>
      <c r="M37" s="14">
        <f>EOMONTH(DATE(YEAR(M38),ROUNDUP(MONTH(M38)/3,0)*3,1),0)</f>
        <v>45838</v>
      </c>
      <c r="N37" s="14">
        <f>EOMONTH(DATE(YEAR(N38),ROUNDUP(MONTH(N38)/3,0)*3,1),0)</f>
        <v>45930</v>
      </c>
      <c r="O37" s="14">
        <f>EOMONTH(DATE(YEAR(O38),ROUNDUP(MONTH(O38)/3,0)*3,1),0)</f>
        <v>46022</v>
      </c>
    </row>
    <row r="38" spans="1:25" x14ac:dyDescent="0.45">
      <c r="D38" s="2">
        <v>45016</v>
      </c>
      <c r="E38" s="2">
        <v>45107</v>
      </c>
      <c r="F38" s="2">
        <v>45199</v>
      </c>
      <c r="G38" s="2">
        <v>45291</v>
      </c>
      <c r="H38" s="2">
        <v>45382</v>
      </c>
      <c r="I38" s="2">
        <v>45473</v>
      </c>
      <c r="J38" s="2">
        <v>45565</v>
      </c>
      <c r="K38" s="2">
        <v>45657</v>
      </c>
      <c r="L38" s="2">
        <v>45747</v>
      </c>
      <c r="M38" s="2">
        <v>45838</v>
      </c>
      <c r="N38" s="2">
        <v>45930</v>
      </c>
      <c r="O38" s="2">
        <v>46022</v>
      </c>
    </row>
    <row r="39" spans="1:25" x14ac:dyDescent="0.45">
      <c r="A39" s="16" t="s">
        <v>21</v>
      </c>
      <c r="B39" s="16" t="s">
        <v>80</v>
      </c>
      <c r="C39" s="2" t="s">
        <v>81</v>
      </c>
      <c r="D39" s="34">
        <v>1.0900000000000001</v>
      </c>
      <c r="E39" s="34">
        <v>1.08</v>
      </c>
      <c r="F39" s="34">
        <v>1.06</v>
      </c>
      <c r="G39" s="35">
        <v>1.05</v>
      </c>
      <c r="H39" s="35">
        <v>1.04</v>
      </c>
      <c r="I39" s="35">
        <v>1.02</v>
      </c>
      <c r="J39" s="35">
        <v>1.03</v>
      </c>
      <c r="K39" s="35">
        <v>1.03</v>
      </c>
      <c r="L39" s="35">
        <v>1.03</v>
      </c>
      <c r="M39" s="35">
        <v>1.04</v>
      </c>
      <c r="N39" s="35">
        <v>1.04</v>
      </c>
      <c r="O39" s="35">
        <v>1.03</v>
      </c>
    </row>
    <row r="40" spans="1:25" x14ac:dyDescent="0.45">
      <c r="C40" s="4"/>
      <c r="D40" s="5"/>
      <c r="E40" s="4"/>
      <c r="F40" s="4"/>
      <c r="G40" s="12"/>
      <c r="H40" s="7">
        <f t="shared" ref="H40:O40" si="9">(H39-D39)*10000</f>
        <v>-500.00000000000045</v>
      </c>
      <c r="I40" s="7">
        <f t="shared" si="9"/>
        <v>-600.00000000000057</v>
      </c>
      <c r="J40" s="7">
        <f t="shared" si="9"/>
        <v>-300.00000000000028</v>
      </c>
      <c r="K40" s="7">
        <f t="shared" si="9"/>
        <v>-200.00000000000017</v>
      </c>
      <c r="L40" s="7">
        <f t="shared" si="9"/>
        <v>-100.00000000000009</v>
      </c>
      <c r="M40" s="7">
        <f t="shared" si="9"/>
        <v>200.00000000000017</v>
      </c>
      <c r="N40" s="7">
        <f t="shared" si="9"/>
        <v>100.00000000000009</v>
      </c>
      <c r="O40" s="7">
        <f t="shared" si="9"/>
        <v>0</v>
      </c>
    </row>
    <row r="41" spans="1:25" x14ac:dyDescent="0.45">
      <c r="C41" s="4"/>
      <c r="D41" s="1"/>
      <c r="K41" s="7"/>
      <c r="L41" s="7"/>
      <c r="M41" s="7"/>
      <c r="N41" s="7"/>
      <c r="O41" s="7"/>
    </row>
    <row r="42" spans="1:25" x14ac:dyDescent="0.45">
      <c r="C42" s="4"/>
      <c r="D42" s="1"/>
      <c r="E42" s="6"/>
      <c r="F42" s="6"/>
      <c r="G42" s="6"/>
      <c r="H42" s="7"/>
      <c r="I42" s="7"/>
      <c r="J42" s="7"/>
      <c r="K42" s="7"/>
      <c r="L42" s="7"/>
      <c r="M42" s="7"/>
      <c r="N42" s="7"/>
      <c r="O42" s="7"/>
    </row>
    <row r="43" spans="1:25" x14ac:dyDescent="0.45">
      <c r="C43" s="4"/>
      <c r="D43" s="1"/>
      <c r="K43" s="7"/>
      <c r="L43" s="7">
        <f t="shared" ref="L43:O43" si="10">(L39-K39)*10000</f>
        <v>0</v>
      </c>
      <c r="M43" s="7">
        <f t="shared" si="10"/>
        <v>100.00000000000009</v>
      </c>
      <c r="N43" s="7">
        <f t="shared" si="10"/>
        <v>0</v>
      </c>
      <c r="O43" s="7">
        <f t="shared" si="10"/>
        <v>-100.00000000000009</v>
      </c>
    </row>
    <row r="44" spans="1:25" x14ac:dyDescent="0.45">
      <c r="C44" s="4"/>
      <c r="D44" s="1"/>
      <c r="G44" s="1"/>
    </row>
    <row r="45" spans="1:25" x14ac:dyDescent="0.45"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25" x14ac:dyDescent="0.45"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25" x14ac:dyDescent="0.45">
      <c r="A47" s="16"/>
      <c r="B47" s="16"/>
      <c r="C47" s="2"/>
      <c r="D47" s="34"/>
      <c r="E47" s="34"/>
      <c r="F47" s="34"/>
      <c r="G47" s="35"/>
      <c r="H47" s="35"/>
      <c r="I47" s="35"/>
      <c r="J47" s="35"/>
      <c r="K47" s="35"/>
      <c r="L47" s="35"/>
      <c r="M47" s="35"/>
      <c r="N47" s="35"/>
      <c r="O47" s="35"/>
    </row>
    <row r="48" spans="1:25" x14ac:dyDescent="0.45">
      <c r="C48" s="4"/>
      <c r="D48" s="5"/>
      <c r="E48" s="4"/>
      <c r="F48" s="4"/>
      <c r="G48" s="4"/>
      <c r="H48" s="7"/>
      <c r="I48" s="7"/>
      <c r="J48" s="7"/>
      <c r="K48" s="7"/>
      <c r="L48" s="7"/>
      <c r="M48" s="7"/>
      <c r="N48" s="7"/>
      <c r="O48" s="7"/>
    </row>
    <row r="49" spans="1:15" x14ac:dyDescent="0.45">
      <c r="C49" s="4"/>
      <c r="D49" s="1"/>
      <c r="K49" s="7"/>
      <c r="L49" s="7"/>
      <c r="M49" s="7"/>
      <c r="N49" s="7"/>
      <c r="O49" s="7"/>
    </row>
    <row r="50" spans="1:15" x14ac:dyDescent="0.45">
      <c r="C50" s="4"/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45">
      <c r="C51" s="4"/>
      <c r="D51" s="1"/>
      <c r="K51" s="7"/>
      <c r="L51" s="7"/>
      <c r="M51" s="7"/>
      <c r="N51" s="7"/>
      <c r="O51" s="7"/>
    </row>
    <row r="52" spans="1:15" x14ac:dyDescent="0.45">
      <c r="C52" s="4"/>
      <c r="D52" s="1"/>
      <c r="G52" s="1"/>
    </row>
    <row r="53" spans="1:15" x14ac:dyDescent="0.4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4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4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4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45">
      <c r="C57" s="4"/>
      <c r="D57" s="1"/>
      <c r="K57" s="7"/>
      <c r="L57" s="7"/>
      <c r="M57" s="7"/>
      <c r="N57" s="7"/>
      <c r="O57" s="7"/>
    </row>
    <row r="58" spans="1:15" x14ac:dyDescent="0.4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45">
      <c r="C59" s="4"/>
      <c r="D59" s="1"/>
      <c r="K59" s="7"/>
      <c r="L59" s="7"/>
      <c r="M59" s="7"/>
      <c r="N59" s="7"/>
      <c r="O59" s="7"/>
    </row>
    <row r="64" spans="1:15" x14ac:dyDescent="0.4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45">
      <c r="C65" s="4"/>
      <c r="D65" s="1"/>
      <c r="K65" s="7"/>
      <c r="L65" s="7"/>
      <c r="M65" s="7"/>
      <c r="N65" s="7"/>
      <c r="O65" s="7"/>
    </row>
    <row r="66" spans="3:15" x14ac:dyDescent="0.4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4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119B-0720-481D-B368-0E2F71CC1DA4}">
  <dimension ref="A1:Y67"/>
  <sheetViews>
    <sheetView topLeftCell="A17" zoomScale="85" zoomScaleNormal="85" workbookViewId="0">
      <pane xSplit="3" topLeftCell="G1" activePane="topRight" state="frozen"/>
      <selection pane="topRight" activeCell="K56" sqref="K56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6" width="10.1328125" bestFit="1" customWidth="1"/>
    <col min="7" max="7" width="10.59765625" bestFit="1" customWidth="1"/>
    <col min="8" max="10" width="10.1328125" bestFit="1" customWidth="1"/>
    <col min="11" max="11" width="10.59765625" bestFit="1" customWidth="1"/>
    <col min="12" max="12" width="10.1328125" bestFit="1" customWidth="1"/>
    <col min="13" max="15" width="10.265625" bestFit="1" customWidth="1"/>
    <col min="16" max="16" width="9" customWidth="1"/>
    <col min="17" max="17" width="12.3984375" bestFit="1" customWidth="1"/>
    <col min="18" max="18" width="14.3984375" bestFit="1" customWidth="1"/>
    <col min="19" max="19" width="8.59765625" bestFit="1" customWidth="1"/>
    <col min="20" max="20" width="20.265625" bestFit="1" customWidth="1"/>
    <col min="21" max="21" width="7.3984375" bestFit="1" customWidth="1"/>
    <col min="22" max="22" width="10.73046875" bestFit="1" customWidth="1"/>
    <col min="23" max="23" width="9.1328125" bestFit="1" customWidth="1"/>
    <col min="24" max="24" width="10.3984375" bestFit="1" customWidth="1"/>
    <col min="25" max="25" width="9.1328125" bestFit="1" customWidth="1"/>
  </cols>
  <sheetData>
    <row r="1" spans="1:25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45">
      <c r="A2" s="17" t="s">
        <v>1</v>
      </c>
      <c r="B2" s="31" t="s">
        <v>82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RPD US EQUITY</v>
      </c>
      <c r="R2" s="24">
        <f ca="1"/>
        <v>45747</v>
      </c>
      <c r="S2" s="25" t="str">
        <f ca="1"/>
        <v>canonical</v>
      </c>
      <c r="T2" s="26" t="str">
        <f ca="1"/>
        <v>revenue</v>
      </c>
      <c r="U2" s="27" t="str">
        <f ca="1"/>
        <v>210.253</v>
      </c>
      <c r="V2" s="28" t="str">
        <f ca="1"/>
        <v>0.0251193314513336</v>
      </c>
      <c r="W2" s="29" t="str">
        <f ca="1"/>
        <v>-284.350462402696</v>
      </c>
      <c r="X2" s="28" t="str">
        <f ca="1"/>
        <v>-945.865219994837</v>
      </c>
      <c r="Y2" s="29" t="str">
        <f ca="1"/>
        <v>-0.0277812458094617</v>
      </c>
    </row>
    <row r="3" spans="1:25" x14ac:dyDescent="0.45">
      <c r="A3" s="18" t="s">
        <v>3</v>
      </c>
      <c r="B3" s="19">
        <f ca="1">+B4-365*3</f>
        <v>45001</v>
      </c>
      <c r="Q3" s="24" t="str">
        <f ca="1"/>
        <v>RPD US EQUITY</v>
      </c>
      <c r="R3" s="24">
        <f ca="1"/>
        <v>45838</v>
      </c>
      <c r="S3" s="25" t="str">
        <f ca="1"/>
        <v>canonical</v>
      </c>
      <c r="T3" s="26" t="str">
        <f ca="1"/>
        <v>revenue</v>
      </c>
      <c r="U3" s="27" t="str">
        <f ca="1"/>
        <v>214.193</v>
      </c>
      <c r="V3" s="28" t="str">
        <f ca="1"/>
        <v>0.0298185979201022</v>
      </c>
      <c r="W3" s="29" t="str">
        <f ca="1"/>
        <v>46.9926646876861</v>
      </c>
      <c r="X3" s="29" t="str">
        <f ca="1"/>
        <v>-624.449010453536</v>
      </c>
      <c r="Y3" s="29" t="str">
        <f ca="1"/>
        <v>0.0187393283330084</v>
      </c>
    </row>
    <row r="4" spans="1:25" x14ac:dyDescent="0.45">
      <c r="A4" s="20" t="s">
        <v>2</v>
      </c>
      <c r="B4" s="21">
        <f ca="1">TODAY()</f>
        <v>46096</v>
      </c>
      <c r="Q4" s="24" t="str">
        <f ca="1"/>
        <v>RPD US EQUITY</v>
      </c>
      <c r="R4" s="24">
        <f ca="1"/>
        <v>45930</v>
      </c>
      <c r="S4" s="25" t="str">
        <f ca="1"/>
        <v>canonical</v>
      </c>
      <c r="T4" s="26" t="str">
        <f ca="1"/>
        <v>revenue</v>
      </c>
      <c r="U4" s="27" t="str">
        <f ca="1"/>
        <v>217.96</v>
      </c>
      <c r="V4" s="28" t="str">
        <f ca="1"/>
        <v>0.0154015299039385</v>
      </c>
      <c r="W4" s="29" t="str">
        <f ca="1"/>
        <v>-144.170680161637</v>
      </c>
      <c r="X4" s="29" t="str">
        <f ca="1"/>
        <v>-641.134643377497</v>
      </c>
      <c r="Y4" s="29" t="str">
        <f ca="1"/>
        <v>0.0175869426171724</v>
      </c>
    </row>
    <row r="5" spans="1:25" x14ac:dyDescent="0.45">
      <c r="C5" s="13" t="s">
        <v>12</v>
      </c>
      <c r="D5" s="14">
        <f t="shared" ref="D5:O5" ca="1" si="0">EOMONTH(DATE(YEAR(D6),ROUNDUP(MONTH(D6)/3,0)*3,1),0)</f>
        <v>45016</v>
      </c>
      <c r="E5" s="14">
        <f t="shared" ca="1" si="0"/>
        <v>45107</v>
      </c>
      <c r="F5" s="14">
        <f t="shared" ca="1" si="0"/>
        <v>45199</v>
      </c>
      <c r="G5" s="14">
        <f t="shared" ca="1" si="0"/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t="shared" ca="1" si="0"/>
        <v>45747</v>
      </c>
      <c r="M5" s="14">
        <f t="shared" ca="1" si="0"/>
        <v>45838</v>
      </c>
      <c r="N5" s="14">
        <f t="shared" ca="1" si="0"/>
        <v>45930</v>
      </c>
      <c r="O5" s="14">
        <f t="shared" ca="1" si="0"/>
        <v>46022</v>
      </c>
      <c r="Q5" s="24" t="str">
        <f ca="1"/>
        <v>RPD US EQUITY</v>
      </c>
      <c r="R5" s="24">
        <f ca="1"/>
        <v>46022</v>
      </c>
      <c r="S5" s="25" t="str">
        <f ca="1"/>
        <v>canonical</v>
      </c>
      <c r="T5" s="26" t="str">
        <f ca="1"/>
        <v>revenue</v>
      </c>
      <c r="U5" s="27" t="str">
        <f ca="1"/>
        <v>217.388</v>
      </c>
      <c r="V5" s="28" t="str">
        <f ca="1"/>
        <v>0.00521129561039668</v>
      </c>
      <c r="W5" s="29" t="str">
        <f ca="1"/>
        <v>-101.902342935418</v>
      </c>
      <c r="X5" s="29" t="str">
        <f ca="1"/>
        <v>-483.430820812065</v>
      </c>
      <c r="Y5" s="29" t="str">
        <f ca="1"/>
        <v>-0.00262433474031931</v>
      </c>
    </row>
    <row r="6" spans="1:25" x14ac:dyDescent="0.45">
      <c r="D6" s="15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RPD US EQUITY</v>
      </c>
      <c r="R6" s="24">
        <f ca="1"/>
        <v>45747</v>
      </c>
      <c r="S6" s="25" t="str">
        <f ca="1"/>
        <v>canonical</v>
      </c>
      <c r="T6" s="26" t="str">
        <f ca="1"/>
        <v>gross_margin_gaap</v>
      </c>
      <c r="U6" s="30" t="str">
        <f ca="1"/>
        <v>71.7103</v>
      </c>
      <c r="V6" s="29" t="str">
        <f ca="1"/>
        <v>144.880000000001</v>
      </c>
      <c r="W6" s="29" t="str">
        <f ca="1"/>
        <v/>
      </c>
      <c r="X6" s="29" t="str">
        <f ca="1"/>
        <v/>
      </c>
      <c r="Y6" s="29" t="str">
        <f ca="1"/>
        <v>217.9</v>
      </c>
    </row>
    <row r="7" spans="1:25" x14ac:dyDescent="0.45">
      <c r="A7" s="16" t="s">
        <v>9</v>
      </c>
      <c r="B7" s="16" t="s">
        <v>8</v>
      </c>
      <c r="C7" s="9" t="s">
        <v>0</v>
      </c>
      <c r="D7" s="11">
        <f ca="1"/>
        <v>183.17400000000001</v>
      </c>
      <c r="E7" s="11">
        <f ca="1"/>
        <v>190.422</v>
      </c>
      <c r="F7" s="11">
        <f ca="1"/>
        <v>198.84299999999999</v>
      </c>
      <c r="G7" s="11">
        <f ca="1"/>
        <v>205.268</v>
      </c>
      <c r="H7" s="11">
        <f ca="1"/>
        <v>205.101</v>
      </c>
      <c r="I7" s="11">
        <f ca="1"/>
        <v>207.99100000000001</v>
      </c>
      <c r="J7" s="11">
        <f ca="1"/>
        <v>214.654</v>
      </c>
      <c r="K7" s="11">
        <f ca="1"/>
        <v>216.261</v>
      </c>
      <c r="L7" s="11">
        <f ca="1"/>
        <v>210.25299999999999</v>
      </c>
      <c r="M7" s="11">
        <f ca="1"/>
        <v>214.19300000000001</v>
      </c>
      <c r="N7" s="11">
        <f ca="1"/>
        <v>217.96</v>
      </c>
      <c r="O7" s="3">
        <f ca="1"/>
        <v>217.38800000000001</v>
      </c>
      <c r="P7" s="1"/>
      <c r="Q7" s="24" t="str">
        <f ca="1"/>
        <v>RPD US EQUITY</v>
      </c>
      <c r="R7" s="24">
        <f ca="1"/>
        <v>45838</v>
      </c>
      <c r="S7" s="25" t="str">
        <f ca="1"/>
        <v>canonical</v>
      </c>
      <c r="T7" s="26" t="str">
        <f ca="1"/>
        <v>gross_margin_gaap</v>
      </c>
      <c r="U7" s="30" t="str">
        <f ca="1"/>
        <v>70.5597</v>
      </c>
      <c r="V7" s="29" t="str">
        <f ca="1"/>
        <v>-18.5199999999995</v>
      </c>
      <c r="W7" s="29" t="str">
        <f ca="1"/>
        <v/>
      </c>
      <c r="X7" s="29" t="str">
        <f ca="1"/>
        <v/>
      </c>
      <c r="Y7" s="29" t="str">
        <f ca="1"/>
        <v>-115.06</v>
      </c>
    </row>
    <row r="8" spans="1:25" x14ac:dyDescent="0.45">
      <c r="C8" s="4" t="s">
        <v>4</v>
      </c>
      <c r="D8" s="5"/>
      <c r="E8" s="4"/>
      <c r="F8" s="4"/>
      <c r="G8" s="12"/>
      <c r="H8" s="12">
        <f t="shared" ref="H8:O8" ca="1" si="1">+H7/D7-1</f>
        <v>0.1197058534508173</v>
      </c>
      <c r="I8" s="12">
        <f t="shared" ca="1" si="1"/>
        <v>9.2263498965455826E-2</v>
      </c>
      <c r="J8" s="12">
        <f t="shared" ca="1" si="1"/>
        <v>7.9514994241688175E-2</v>
      </c>
      <c r="K8" s="12">
        <f t="shared" ca="1" si="1"/>
        <v>5.3554377691603205E-2</v>
      </c>
      <c r="L8" s="12">
        <f t="shared" ca="1" si="1"/>
        <v>2.5119331451333604E-2</v>
      </c>
      <c r="M8" s="12">
        <f t="shared" ca="1" si="1"/>
        <v>2.9818597920102219E-2</v>
      </c>
      <c r="N8" s="12">
        <f t="shared" ca="1" si="1"/>
        <v>1.5401529903938505E-2</v>
      </c>
      <c r="O8" s="12">
        <f t="shared" ca="1" si="1"/>
        <v>5.2112956103966823E-3</v>
      </c>
      <c r="P8" s="3"/>
      <c r="Q8" s="24" t="str">
        <f ca="1"/>
        <v>RPD US EQUITY</v>
      </c>
      <c r="R8" s="24">
        <f ca="1"/>
        <v>45930</v>
      </c>
      <c r="S8" s="25" t="str">
        <f ca="1"/>
        <v>canonical</v>
      </c>
      <c r="T8" s="26" t="str">
        <f ca="1"/>
        <v>gross_margin_gaap</v>
      </c>
      <c r="U8" s="30" t="str">
        <f ca="1"/>
        <v>70.1854</v>
      </c>
      <c r="V8" s="29" t="str">
        <f ca="1"/>
        <v>-45.7099999999997</v>
      </c>
      <c r="W8" s="29" t="str">
        <f ca="1"/>
        <v/>
      </c>
      <c r="X8" s="29" t="str">
        <f ca="1"/>
        <v/>
      </c>
      <c r="Y8" s="29" t="str">
        <f ca="1"/>
        <v>-37.4300000000005</v>
      </c>
    </row>
    <row r="9" spans="1:25" x14ac:dyDescent="0.45">
      <c r="C9" s="4" t="s">
        <v>19</v>
      </c>
      <c r="D9" s="1"/>
      <c r="L9" s="7">
        <f ca="1">(L8-K8)*10000</f>
        <v>-284.350462402696</v>
      </c>
      <c r="M9" s="7">
        <f ca="1">(M8-L8)*10000</f>
        <v>46.992664687686144</v>
      </c>
      <c r="N9" s="7">
        <f ca="1">(N8-M8)*10000</f>
        <v>-144.17068016163714</v>
      </c>
      <c r="O9" s="7">
        <f ca="1">(O8-N8)*10000</f>
        <v>-101.90234293541822</v>
      </c>
      <c r="Q9" s="22" t="str">
        <f ca="1"/>
        <v>RPD US EQUITY</v>
      </c>
      <c r="R9" s="24">
        <f ca="1"/>
        <v>46022</v>
      </c>
      <c r="S9" s="25" t="str">
        <f ca="1"/>
        <v>canonical</v>
      </c>
      <c r="T9" s="26" t="str">
        <f ca="1"/>
        <v>gross_margin_gaap</v>
      </c>
      <c r="U9" s="30" t="str">
        <f ca="1"/>
        <v>68.9417</v>
      </c>
      <c r="V9" s="29" t="str">
        <f ca="1"/>
        <v>-58.9600000000004</v>
      </c>
      <c r="W9" s="29" t="str">
        <f ca="1"/>
        <v/>
      </c>
      <c r="X9" s="29" t="str">
        <f ca="1"/>
        <v/>
      </c>
      <c r="Y9" s="29" t="str">
        <f ca="1"/>
        <v>-124.37</v>
      </c>
    </row>
    <row r="10" spans="1:25" x14ac:dyDescent="0.4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-945.86521999483693</v>
      </c>
      <c r="M10" s="7">
        <f ca="1">(M8-I8)*10000</f>
        <v>-624.44901045353606</v>
      </c>
      <c r="N10" s="7">
        <f ca="1">(N8-J8)*10000</f>
        <v>-641.13464337749667</v>
      </c>
      <c r="O10" s="7">
        <f ca="1">(O8-K8)*10000</f>
        <v>-483.43082081206524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RPD US EQUITY</v>
      </c>
      <c r="R10" s="24">
        <f ca="1"/>
        <v>45747</v>
      </c>
      <c r="S10" s="25" t="str">
        <f ca="1"/>
        <v>canonical</v>
      </c>
      <c r="T10" s="26" t="str">
        <f ca="1"/>
        <v>operating_margin_gaap</v>
      </c>
      <c r="U10" s="30" t="str">
        <f ca="1"/>
        <v>-0.048</v>
      </c>
      <c r="V10" s="29" t="str">
        <f ca="1"/>
        <v>-478.52</v>
      </c>
      <c r="W10" s="29" t="str">
        <f ca="1"/>
        <v/>
      </c>
      <c r="X10" s="29" t="str">
        <f ca="1"/>
        <v/>
      </c>
      <c r="Y10" s="29" t="str">
        <f ca="1"/>
        <v>-341.38</v>
      </c>
    </row>
    <row r="11" spans="1:25" x14ac:dyDescent="0.45">
      <c r="C11" s="4" t="s">
        <v>5</v>
      </c>
      <c r="D11" s="1"/>
      <c r="L11" s="12">
        <f ca="1">L7/K7-1</f>
        <v>-2.778124580946173E-2</v>
      </c>
      <c r="M11" s="12">
        <f ca="1">M7/L7-1</f>
        <v>1.8739328333008398E-2</v>
      </c>
      <c r="N11" s="12">
        <f ca="1">N7/M7-1</f>
        <v>1.7586942617172419E-2</v>
      </c>
      <c r="O11" s="12">
        <f ca="1">O7/N7-1</f>
        <v>-2.6243347403193118E-3</v>
      </c>
      <c r="Q11" s="24" t="str">
        <f ca="1"/>
        <v>RPD US EQUITY</v>
      </c>
      <c r="R11" s="24">
        <f ca="1"/>
        <v>45838</v>
      </c>
      <c r="S11" s="25" t="str">
        <f ca="1"/>
        <v>canonical</v>
      </c>
      <c r="T11" s="26" t="str">
        <f ca="1"/>
        <v>operating_margin_gaap</v>
      </c>
      <c r="U11" s="30" t="str">
        <f ca="1"/>
        <v>1.6312</v>
      </c>
      <c r="V11" s="29" t="str">
        <f ca="1"/>
        <v>-167.66</v>
      </c>
      <c r="W11" s="29" t="str">
        <f ca="1"/>
        <v/>
      </c>
      <c r="X11" s="29" t="str">
        <f ca="1"/>
        <v/>
      </c>
      <c r="Y11" s="29" t="str">
        <f ca="1"/>
        <v>167.92</v>
      </c>
    </row>
    <row r="12" spans="1:25" x14ac:dyDescent="0.45">
      <c r="Q12" s="24" t="str">
        <f ca="1"/>
        <v>RPD US EQUITY</v>
      </c>
      <c r="R12" s="24">
        <f ca="1"/>
        <v>45930</v>
      </c>
      <c r="S12" s="25" t="str">
        <f ca="1"/>
        <v>canonical</v>
      </c>
      <c r="T12" s="26" t="str">
        <f ca="1"/>
        <v>operating_margin_gaap</v>
      </c>
      <c r="U12" s="30" t="str">
        <f ca="1"/>
        <v>2.7083</v>
      </c>
      <c r="V12" s="29" t="str">
        <f ca="1"/>
        <v>-379.57</v>
      </c>
      <c r="W12" s="29" t="str">
        <f ca="1"/>
        <v/>
      </c>
      <c r="X12" s="29" t="str">
        <f ca="1"/>
        <v/>
      </c>
      <c r="Y12" s="29" t="str">
        <f ca="1"/>
        <v>107.71</v>
      </c>
    </row>
    <row r="13" spans="1:25" x14ac:dyDescent="0.45">
      <c r="C13" s="13" t="s">
        <v>12</v>
      </c>
      <c r="D13" s="14">
        <f t="shared" ref="D13:O13" ca="1" si="2">EOMONTH(DATE(YEAR(D14),ROUNDUP(MONTH(D14)/3,0)*3,1),0)</f>
        <v>45016</v>
      </c>
      <c r="E13" s="14">
        <f t="shared" ca="1" si="2"/>
        <v>45107</v>
      </c>
      <c r="F13" s="14">
        <f t="shared" ca="1" si="2"/>
        <v>45199</v>
      </c>
      <c r="G13" s="14">
        <f t="shared" ca="1" si="2"/>
        <v>45291</v>
      </c>
      <c r="H13" s="14">
        <f t="shared" ca="1" si="2"/>
        <v>45382</v>
      </c>
      <c r="I13" s="14">
        <f t="shared" ca="1" si="2"/>
        <v>45473</v>
      </c>
      <c r="J13" s="14">
        <f t="shared" ca="1" si="2"/>
        <v>45565</v>
      </c>
      <c r="K13" s="14">
        <f t="shared" ca="1" si="2"/>
        <v>45657</v>
      </c>
      <c r="L13" s="14">
        <f t="shared" ca="1" si="2"/>
        <v>45747</v>
      </c>
      <c r="M13" s="14">
        <f t="shared" ca="1" si="2"/>
        <v>45838</v>
      </c>
      <c r="N13" s="14">
        <f t="shared" ca="1" si="2"/>
        <v>45930</v>
      </c>
      <c r="O13" s="14">
        <f t="shared" ca="1" si="2"/>
        <v>46022</v>
      </c>
      <c r="Q13" s="24" t="str">
        <f ca="1"/>
        <v>RPD US EQUITY</v>
      </c>
      <c r="R13" s="24">
        <f ca="1"/>
        <v>46022</v>
      </c>
      <c r="S13" s="25" t="str">
        <f ca="1"/>
        <v>canonical</v>
      </c>
      <c r="T13" s="26" t="str">
        <f ca="1"/>
        <v>operating_margin_gaap</v>
      </c>
      <c r="U13" s="30" t="str">
        <f ca="1"/>
        <v>1.0451</v>
      </c>
      <c r="V13" s="29" t="str">
        <f ca="1"/>
        <v>-232.07</v>
      </c>
      <c r="W13" s="29" t="str">
        <f ca="1"/>
        <v/>
      </c>
      <c r="X13" s="29" t="str">
        <f ca="1"/>
        <v/>
      </c>
      <c r="Y13" s="29" t="str">
        <f ca="1"/>
        <v>-166.32</v>
      </c>
    </row>
    <row r="14" spans="1:25" x14ac:dyDescent="0.4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RPD US EQUITY</v>
      </c>
      <c r="R14" s="24">
        <v>45747</v>
      </c>
      <c r="S14" s="25" t="str">
        <v>custom</v>
      </c>
      <c r="T14" s="26" t="str">
        <v>arr_in_k</v>
      </c>
      <c r="U14" s="30" t="str">
        <v>201842.88</v>
      </c>
      <c r="V14" s="29" t="str">
        <v>0.0359100612560848</v>
      </c>
      <c r="W14" s="29" t="str">
        <v>-287.343625164829</v>
      </c>
      <c r="X14" s="29" t="str">
        <v>-837.957921947325</v>
      </c>
      <c r="Y14" s="29" t="str">
        <v>-0.0277812458094617</v>
      </c>
    </row>
    <row r="15" spans="1:25" x14ac:dyDescent="0.45">
      <c r="A15" s="16" t="s">
        <v>9</v>
      </c>
      <c r="B15" s="16" t="s">
        <v>14</v>
      </c>
      <c r="C15" s="9" t="s">
        <v>6</v>
      </c>
      <c r="D15" s="3">
        <f ca="1"/>
        <v>69.4285</v>
      </c>
      <c r="E15" s="3">
        <f ca="1"/>
        <v>69.455200000000005</v>
      </c>
      <c r="F15" s="3">
        <f ca="1"/>
        <v>70.916799999999995</v>
      </c>
      <c r="G15" s="3">
        <f ca="1"/>
        <v>70.854699999999994</v>
      </c>
      <c r="H15" s="3">
        <f ca="1"/>
        <v>70.261499999999998</v>
      </c>
      <c r="I15" s="3">
        <f ca="1"/>
        <v>70.744900000000001</v>
      </c>
      <c r="J15" s="3">
        <f ca="1"/>
        <v>70.642499999999998</v>
      </c>
      <c r="K15" s="3">
        <f ca="1"/>
        <v>69.531300000000002</v>
      </c>
      <c r="L15" s="3">
        <f ca="1"/>
        <v>71.710300000000004</v>
      </c>
      <c r="M15" s="3">
        <f ca="1"/>
        <v>70.559700000000007</v>
      </c>
      <c r="N15" s="3">
        <f ca="1"/>
        <v>70.185400000000001</v>
      </c>
      <c r="O15">
        <f ca="1"/>
        <v>68.941699999999997</v>
      </c>
      <c r="Q15" s="24" t="str">
        <v>RPD US EQUITY</v>
      </c>
      <c r="R15" s="24">
        <v>45838</v>
      </c>
      <c r="S15" s="25" t="str">
        <v>custom</v>
      </c>
      <c r="T15" s="26" t="str">
        <v>arr_in_k</v>
      </c>
      <c r="U15" s="30" t="str">
        <v>205625.28</v>
      </c>
      <c r="V15" s="29" t="str">
        <v>0.0298185979201024</v>
      </c>
      <c r="W15" s="29" t="str">
        <v>-60.9146333598232</v>
      </c>
      <c r="X15" s="29" t="str">
        <v>-739.42411560779</v>
      </c>
      <c r="Y15" s="29" t="str">
        <v>0.0187393283330084</v>
      </c>
    </row>
    <row r="16" spans="1:25" x14ac:dyDescent="0.45">
      <c r="C16" s="4" t="s">
        <v>4</v>
      </c>
      <c r="D16" s="5"/>
      <c r="E16" s="4"/>
      <c r="F16" s="4"/>
      <c r="G16" s="4"/>
      <c r="H16" s="7">
        <f t="shared" ref="H16:O16" ca="1" si="3">(H15-D15)*100</f>
        <v>83.299999999999841</v>
      </c>
      <c r="I16" s="7">
        <f t="shared" ca="1" si="3"/>
        <v>128.96999999999963</v>
      </c>
      <c r="J16" s="7">
        <f t="shared" ca="1" si="3"/>
        <v>-27.429999999999666</v>
      </c>
      <c r="K16" s="7">
        <f t="shared" ca="1" si="3"/>
        <v>-132.33999999999924</v>
      </c>
      <c r="L16" s="7">
        <f t="shared" ca="1" si="3"/>
        <v>144.88000000000056</v>
      </c>
      <c r="M16" s="7">
        <f t="shared" ca="1" si="3"/>
        <v>-18.51999999999947</v>
      </c>
      <c r="N16" s="7">
        <f t="shared" ca="1" si="3"/>
        <v>-45.709999999999695</v>
      </c>
      <c r="O16" s="7">
        <f t="shared" ca="1" si="3"/>
        <v>-58.960000000000434</v>
      </c>
      <c r="Q16" s="24" t="str">
        <v>RPD US EQUITY</v>
      </c>
      <c r="R16" s="24">
        <v>45930</v>
      </c>
      <c r="S16" s="25" t="str">
        <v>custom</v>
      </c>
      <c r="T16" s="26" t="str">
        <v>arr_in_k</v>
      </c>
      <c r="U16" s="30" t="str">
        <v>211421.2</v>
      </c>
      <c r="V16" s="29" t="str">
        <v>0.0259786291737711</v>
      </c>
      <c r="W16" s="29" t="str">
        <v>-38.399687463313</v>
      </c>
      <c r="X16" s="29" t="str">
        <v>-648.99680796777</v>
      </c>
      <c r="Y16" s="29" t="str">
        <v>0.0281868066027677</v>
      </c>
    </row>
    <row r="17" spans="1:25" x14ac:dyDescent="0.45">
      <c r="C17" s="4" t="s">
        <v>19</v>
      </c>
      <c r="D17" s="1"/>
      <c r="K17" s="7"/>
      <c r="L17" s="7"/>
      <c r="M17" s="7"/>
      <c r="N17" s="7"/>
      <c r="O17" s="7"/>
      <c r="Q17" s="24" t="str">
        <v>RPD US EQUITY</v>
      </c>
      <c r="R17" s="24">
        <v>46022</v>
      </c>
      <c r="S17" s="25" t="str">
        <v>custom</v>
      </c>
      <c r="T17" s="26" t="str">
        <v>arr_in_k</v>
      </c>
      <c r="U17" s="30" t="str">
        <v>210866.36</v>
      </c>
      <c r="V17" s="29" t="str">
        <v>0.0156822466063382</v>
      </c>
      <c r="W17" s="29" t="str">
        <v>-102.963825674329</v>
      </c>
      <c r="X17" s="29" t="str">
        <v>-489.621771662294</v>
      </c>
      <c r="Y17" s="29" t="str">
        <v>-0.00262433474031931</v>
      </c>
    </row>
    <row r="18" spans="1:25" x14ac:dyDescent="0.4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RPD US EQUITY</v>
      </c>
      <c r="R18" s="24">
        <v>45747</v>
      </c>
      <c r="S18" s="25" t="str">
        <v>custom</v>
      </c>
      <c r="T18" s="26" t="str">
        <v>customers</v>
      </c>
      <c r="U18" s="30" t="str">
        <v>11685</v>
      </c>
      <c r="V18" s="29" t="str">
        <v>0.0194555923922526</v>
      </c>
      <c r="W18" s="29" t="str">
        <v>20.1675845159666</v>
      </c>
      <c r="X18" s="29" t="str">
        <v>-193.336046351174</v>
      </c>
      <c r="Y18" s="29" t="str">
        <v>-0.00358147863903813</v>
      </c>
    </row>
    <row r="19" spans="1:25" x14ac:dyDescent="0.45">
      <c r="C19" s="4" t="s">
        <v>5</v>
      </c>
      <c r="D19" s="1"/>
      <c r="K19" s="7"/>
      <c r="L19" s="7">
        <f ca="1">(L15-K15)*100</f>
        <v>217.9000000000002</v>
      </c>
      <c r="M19" s="7">
        <f ca="1">(M15-L15)*100</f>
        <v>-115.05999999999972</v>
      </c>
      <c r="N19" s="7">
        <f ca="1">(N15-M15)*100</f>
        <v>-37.430000000000518</v>
      </c>
      <c r="O19" s="7">
        <f ca="1">(O15-N15)*100</f>
        <v>-124.3700000000004</v>
      </c>
      <c r="Q19" s="24" t="str">
        <v>RPD US EQUITY</v>
      </c>
      <c r="R19" s="24">
        <v>45838</v>
      </c>
      <c r="S19" s="25" t="str">
        <v>custom</v>
      </c>
      <c r="T19" s="26" t="str">
        <v>customers</v>
      </c>
      <c r="U19" s="30" t="str">
        <v>11643</v>
      </c>
      <c r="V19" s="29" t="str">
        <v>0.0138453500522466</v>
      </c>
      <c r="W19" s="29" t="str">
        <v>-56.1024234000595</v>
      </c>
      <c r="X19" s="29" t="str">
        <v>-36.0835775319335</v>
      </c>
      <c r="Y19" s="29" t="str">
        <v>-0.00359435173299105</v>
      </c>
    </row>
    <row r="20" spans="1:25" x14ac:dyDescent="0.45">
      <c r="Q20" s="24" t="str">
        <v>RPD US EQUITY</v>
      </c>
      <c r="R20" s="24">
        <v>45930</v>
      </c>
      <c r="S20" s="25" t="str">
        <v>custom</v>
      </c>
      <c r="T20" s="26" t="str">
        <v>customers</v>
      </c>
      <c r="U20" s="30" t="str">
        <v>11618</v>
      </c>
      <c r="V20" s="29" t="str">
        <v>-8.60659264997343E-05</v>
      </c>
      <c r="W20" s="29" t="str">
        <v>-139.314159787464</v>
      </c>
      <c r="X20" s="29" t="str">
        <v>-182.248671883295</v>
      </c>
      <c r="Y20" s="29" t="str">
        <v>-0.00214721291763287</v>
      </c>
    </row>
    <row r="21" spans="1:25" x14ac:dyDescent="0.45">
      <c r="C21" s="13" t="s">
        <v>12</v>
      </c>
      <c r="D21" s="14">
        <f t="shared" ref="D21:O21" ca="1" si="4">EOMONTH(DATE(YEAR(D22),ROUNDUP(MONTH(D22)/3,0)*3,1),0)</f>
        <v>45016</v>
      </c>
      <c r="E21" s="14">
        <f t="shared" ca="1" si="4"/>
        <v>45107</v>
      </c>
      <c r="F21" s="14">
        <f t="shared" ca="1" si="4"/>
        <v>45199</v>
      </c>
      <c r="G21" s="14">
        <f t="shared" ca="1" si="4"/>
        <v>45291</v>
      </c>
      <c r="H21" s="14">
        <f t="shared" ca="1" si="4"/>
        <v>45382</v>
      </c>
      <c r="I21" s="14">
        <f t="shared" ca="1" si="4"/>
        <v>45473</v>
      </c>
      <c r="J21" s="14">
        <f t="shared" ca="1" si="4"/>
        <v>45565</v>
      </c>
      <c r="K21" s="14">
        <f t="shared" ca="1" si="4"/>
        <v>45657</v>
      </c>
      <c r="L21" s="14">
        <f t="shared" ca="1" si="4"/>
        <v>45747</v>
      </c>
      <c r="M21" s="14">
        <f t="shared" ca="1" si="4"/>
        <v>45838</v>
      </c>
      <c r="N21" s="14">
        <f t="shared" ca="1" si="4"/>
        <v>45930</v>
      </c>
      <c r="O21" s="14">
        <f t="shared" ca="1" si="4"/>
        <v>46022</v>
      </c>
      <c r="Q21" s="24" t="str">
        <v>RPD US EQUITY</v>
      </c>
      <c r="R21" s="24">
        <v>46022</v>
      </c>
      <c r="S21" s="25" t="str">
        <v>custom</v>
      </c>
      <c r="T21" s="26" t="str">
        <v>customers</v>
      </c>
      <c r="U21" s="30" t="str">
        <v>11674</v>
      </c>
      <c r="V21" s="29" t="str">
        <v>-0.00451948494926235</v>
      </c>
      <c r="W21" s="29" t="str">
        <v>-44.3341902276262</v>
      </c>
      <c r="X21" s="29" t="str">
        <v>-219.583188899183</v>
      </c>
      <c r="Y21" s="29" t="str">
        <v>0.0048201067309348</v>
      </c>
    </row>
    <row r="22" spans="1:25" x14ac:dyDescent="0.45">
      <c r="D22" s="1" cm="1">
        <f t="array" aca="1" ref="D22:O23" ca="1">+_xll.BDH($B$2,C23,$B$3,$B$4,"DIR=H")</f>
        <v>45016</v>
      </c>
      <c r="E22" s="1">
        <f ca="1"/>
        <v>45107</v>
      </c>
      <c r="F22" s="1">
        <f ca="1"/>
        <v>45199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45565</v>
      </c>
      <c r="K22" s="1">
        <f ca="1"/>
        <v>45657</v>
      </c>
      <c r="L22" s="1">
        <f ca="1"/>
        <v>45747</v>
      </c>
      <c r="M22" s="1">
        <f ca="1"/>
        <v>45838</v>
      </c>
      <c r="N22" s="1">
        <f ca="1"/>
        <v>45930</v>
      </c>
      <c r="O22" s="1">
        <f ca="1"/>
        <v>46022</v>
      </c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RPD US EQUITY</v>
      </c>
      <c r="R22" s="24">
        <v>0</v>
      </c>
      <c r="S22" s="25">
        <v>0</v>
      </c>
      <c r="T22" s="26">
        <v>0</v>
      </c>
      <c r="U22" s="27" t="str">
        <v/>
      </c>
      <c r="V22" s="28" t="str">
        <v/>
      </c>
      <c r="W22" s="29" t="str">
        <v/>
      </c>
      <c r="X22" s="28" t="str">
        <v/>
      </c>
      <c r="Y22" s="29" t="str">
        <v/>
      </c>
    </row>
    <row r="23" spans="1:25" x14ac:dyDescent="0.45">
      <c r="A23" s="16" t="s">
        <v>9</v>
      </c>
      <c r="B23" s="16" t="s">
        <v>15</v>
      </c>
      <c r="C23" s="9" t="s">
        <v>7</v>
      </c>
      <c r="D23" s="3">
        <f ca="1"/>
        <v>-13.0832</v>
      </c>
      <c r="E23" s="3">
        <f ca="1"/>
        <v>-27.128699999999998</v>
      </c>
      <c r="F23" s="3">
        <f ca="1"/>
        <v>-8.0671999999999997</v>
      </c>
      <c r="G23" s="3">
        <f ca="1"/>
        <v>4.8716999999999997</v>
      </c>
      <c r="H23" s="3">
        <f ca="1"/>
        <v>4.7371999999999996</v>
      </c>
      <c r="I23" s="3">
        <f ca="1"/>
        <v>3.3077999999999999</v>
      </c>
      <c r="J23" s="3">
        <f ca="1"/>
        <v>6.5039999999999996</v>
      </c>
      <c r="K23" s="3">
        <f ca="1"/>
        <v>3.3658000000000001</v>
      </c>
      <c r="L23" s="3">
        <f ca="1"/>
        <v>-4.8000000000000001E-2</v>
      </c>
      <c r="M23" s="3">
        <f ca="1"/>
        <v>1.6312</v>
      </c>
      <c r="N23" s="3">
        <f ca="1"/>
        <v>2.7082999999999999</v>
      </c>
      <c r="O23">
        <f ca="1"/>
        <v>1.0450999999999999</v>
      </c>
      <c r="Q23" s="24" t="str">
        <v>RPD US EQUITY</v>
      </c>
      <c r="R23" s="24">
        <v>0</v>
      </c>
      <c r="S23" s="25">
        <v>0</v>
      </c>
      <c r="T23" s="26">
        <v>0</v>
      </c>
      <c r="U23" s="27" t="str">
        <v/>
      </c>
      <c r="V23" s="28" t="str">
        <v/>
      </c>
      <c r="W23" s="29" t="str">
        <v/>
      </c>
      <c r="X23" s="28" t="str">
        <v/>
      </c>
      <c r="Y23" s="29" t="str">
        <v/>
      </c>
    </row>
    <row r="24" spans="1:25" x14ac:dyDescent="0.45">
      <c r="C24" s="4" t="s">
        <v>4</v>
      </c>
      <c r="D24" s="5"/>
      <c r="E24" s="4"/>
      <c r="F24" s="4"/>
      <c r="G24" s="4"/>
      <c r="H24" s="7">
        <f t="shared" ref="H24:O24" ca="1" si="5">(H23-D23)*100</f>
        <v>1782.04</v>
      </c>
      <c r="I24" s="7">
        <f t="shared" ca="1" si="5"/>
        <v>3043.65</v>
      </c>
      <c r="J24" s="7">
        <f t="shared" ca="1" si="5"/>
        <v>1457.12</v>
      </c>
      <c r="K24" s="7">
        <f t="shared" ca="1" si="5"/>
        <v>-150.58999999999995</v>
      </c>
      <c r="L24" s="7">
        <f t="shared" ca="1" si="5"/>
        <v>-478.52</v>
      </c>
      <c r="M24" s="7">
        <f t="shared" ca="1" si="5"/>
        <v>-167.66</v>
      </c>
      <c r="N24" s="7">
        <f t="shared" ca="1" si="5"/>
        <v>-379.56999999999994</v>
      </c>
      <c r="O24" s="7">
        <f t="shared" ca="1" si="5"/>
        <v>-232.07000000000005</v>
      </c>
      <c r="Q24" s="24" t="str">
        <v>RPD US EQUITY</v>
      </c>
      <c r="R24" s="24">
        <v>0</v>
      </c>
      <c r="S24" s="25">
        <v>0</v>
      </c>
      <c r="T24" s="26">
        <v>0</v>
      </c>
      <c r="U24" s="27" t="str">
        <v/>
      </c>
      <c r="V24" s="28" t="str">
        <v/>
      </c>
      <c r="W24" s="29" t="str">
        <v/>
      </c>
      <c r="X24" s="28" t="str">
        <v/>
      </c>
      <c r="Y24" s="29" t="str">
        <v/>
      </c>
    </row>
    <row r="25" spans="1:25" x14ac:dyDescent="0.45">
      <c r="C25" s="4" t="s">
        <v>19</v>
      </c>
      <c r="D25" s="1"/>
      <c r="K25" s="7"/>
      <c r="L25" s="7"/>
      <c r="M25" s="7"/>
      <c r="N25" s="7"/>
      <c r="O25" s="7"/>
      <c r="Q25" s="24" t="str">
        <v>RPD US EQUITY</v>
      </c>
      <c r="R25" s="24">
        <v>0</v>
      </c>
      <c r="S25" s="25">
        <v>0</v>
      </c>
      <c r="T25" s="26">
        <v>0</v>
      </c>
      <c r="U25" s="27" t="str">
        <v/>
      </c>
      <c r="V25" s="28" t="str">
        <v/>
      </c>
      <c r="W25" s="29" t="str">
        <v/>
      </c>
      <c r="X25" s="28" t="str">
        <v/>
      </c>
      <c r="Y25" s="29" t="str">
        <v/>
      </c>
    </row>
    <row r="26" spans="1:25" x14ac:dyDescent="0.4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RPD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45">
      <c r="C27" s="4" t="s">
        <v>5</v>
      </c>
      <c r="D27" s="1"/>
      <c r="K27" s="7"/>
      <c r="L27" s="7">
        <f ca="1">(L23-K23)*100</f>
        <v>-341.38</v>
      </c>
      <c r="M27" s="7">
        <f ca="1">(M23-L23)*100</f>
        <v>167.92000000000002</v>
      </c>
      <c r="N27" s="7">
        <f ca="1">(N23-M23)*100</f>
        <v>107.71</v>
      </c>
      <c r="O27" s="7">
        <f ca="1">(O23-N23)*100</f>
        <v>-166.32</v>
      </c>
      <c r="Q27" s="24" t="str">
        <v>RPD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45">
      <c r="C28" s="4"/>
      <c r="D28" s="1"/>
      <c r="K28" s="7"/>
      <c r="L28" s="7"/>
      <c r="M28" s="7"/>
      <c r="N28" s="7"/>
      <c r="O28" s="7"/>
      <c r="Q28" s="24" t="str">
        <v>RPD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45">
      <c r="C29" s="13"/>
      <c r="D29" s="14">
        <f t="shared" ref="D29:L29" si="6">EOMONTH(DATE(YEAR(D30),ROUNDUP(MONTH(D30)/3,0)*3,1),0)</f>
        <v>45016</v>
      </c>
      <c r="E29" s="14">
        <f t="shared" si="6"/>
        <v>45107</v>
      </c>
      <c r="F29" s="14">
        <f t="shared" si="6"/>
        <v>45199</v>
      </c>
      <c r="G29" s="14">
        <f t="shared" si="6"/>
        <v>45291</v>
      </c>
      <c r="H29" s="14">
        <f t="shared" si="6"/>
        <v>45382</v>
      </c>
      <c r="I29" s="14">
        <f t="shared" si="6"/>
        <v>45473</v>
      </c>
      <c r="J29" s="14">
        <f t="shared" si="6"/>
        <v>45565</v>
      </c>
      <c r="K29" s="14">
        <f t="shared" si="6"/>
        <v>45657</v>
      </c>
      <c r="L29" s="14">
        <f t="shared" si="6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RPD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45">
      <c r="D30" s="2">
        <v>45016</v>
      </c>
      <c r="E30" s="2">
        <v>45107</v>
      </c>
      <c r="F30" s="2">
        <v>45199</v>
      </c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RPD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45">
      <c r="A31" s="16" t="s">
        <v>21</v>
      </c>
      <c r="B31" s="16" t="s">
        <v>31</v>
      </c>
      <c r="C31" s="2" t="s">
        <v>27</v>
      </c>
      <c r="D31" s="32">
        <v>174015.3</v>
      </c>
      <c r="E31" s="32">
        <v>180900.9</v>
      </c>
      <c r="F31" s="32">
        <v>188900.84999999998</v>
      </c>
      <c r="G31" s="32">
        <v>195004.59999999998</v>
      </c>
      <c r="H31" s="32">
        <v>194845.94999999998</v>
      </c>
      <c r="I31" s="32">
        <v>199671.36</v>
      </c>
      <c r="J31" s="32">
        <v>206067.84</v>
      </c>
      <c r="K31" s="32">
        <v>207610.56</v>
      </c>
      <c r="L31" s="32">
        <v>201842.88</v>
      </c>
      <c r="M31" s="32">
        <v>205625.28</v>
      </c>
      <c r="N31" s="32">
        <v>211421.19999999998</v>
      </c>
      <c r="O31" s="32">
        <v>210866.36</v>
      </c>
      <c r="Q31" s="24" t="str">
        <v>RPD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45">
      <c r="C32" s="4" t="s">
        <v>4</v>
      </c>
      <c r="D32" s="5"/>
      <c r="E32" s="4"/>
      <c r="F32" s="4"/>
      <c r="G32" s="12"/>
      <c r="H32" s="12">
        <f t="shared" ref="H32:O32" si="7">+H31/D31-1</f>
        <v>0.1197058534508173</v>
      </c>
      <c r="I32" s="12">
        <f t="shared" si="7"/>
        <v>0.10376100948088141</v>
      </c>
      <c r="J32" s="12">
        <f t="shared" si="7"/>
        <v>9.0878309970548132E-2</v>
      </c>
      <c r="K32" s="12">
        <f t="shared" si="7"/>
        <v>6.4644423772567627E-2</v>
      </c>
      <c r="L32" s="12">
        <f t="shared" si="7"/>
        <v>3.5910061256084758E-2</v>
      </c>
      <c r="M32" s="12">
        <f t="shared" si="7"/>
        <v>2.9818597920102441E-2</v>
      </c>
      <c r="N32" s="12">
        <f t="shared" si="7"/>
        <v>2.5978629173771139E-2</v>
      </c>
      <c r="O32" s="12">
        <f t="shared" si="7"/>
        <v>1.5682246606338213E-2</v>
      </c>
      <c r="Q32" s="24" t="str">
        <v>RPD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45">
      <c r="C33" s="4" t="s">
        <v>19</v>
      </c>
      <c r="D33" s="1"/>
      <c r="L33" s="7">
        <f>(L32-K32)*10000</f>
        <v>-287.34362516482872</v>
      </c>
      <c r="M33" s="7">
        <f>(M32-L32)*10000</f>
        <v>-60.914633359823171</v>
      </c>
      <c r="N33" s="7">
        <f>(N32-M32)*10000</f>
        <v>-38.399687463313015</v>
      </c>
      <c r="O33" s="7">
        <f>(O32-N32)*10000</f>
        <v>-102.96382567432927</v>
      </c>
      <c r="Q33" s="24" t="str">
        <v>RPD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45">
      <c r="C34" s="4" t="s">
        <v>23</v>
      </c>
      <c r="D34" s="1"/>
      <c r="E34" s="6"/>
      <c r="F34" s="6"/>
      <c r="G34" s="6"/>
      <c r="H34" s="6"/>
      <c r="I34" s="6"/>
      <c r="J34" s="6"/>
      <c r="K34" s="6"/>
      <c r="L34" s="7">
        <f>(L32-H32)*10000</f>
        <v>-837.95792194732542</v>
      </c>
      <c r="M34" s="7">
        <f>(M32-I32)*10000</f>
        <v>-739.42411560778964</v>
      </c>
      <c r="N34" s="7">
        <f>(N32-J32)*10000</f>
        <v>-648.99680796776988</v>
      </c>
      <c r="O34" s="7">
        <f>(O32-K32)*10000</f>
        <v>-489.62177166229412</v>
      </c>
    </row>
    <row r="35" spans="1:25" x14ac:dyDescent="0.45">
      <c r="C35" s="4" t="s">
        <v>5</v>
      </c>
      <c r="D35" s="1"/>
      <c r="L35" s="12">
        <f>L31/K31-1</f>
        <v>-2.778124580946173E-2</v>
      </c>
      <c r="M35" s="12">
        <f>M31/L31-1</f>
        <v>1.8739328333008398E-2</v>
      </c>
      <c r="N35" s="12">
        <f>N31/M31-1</f>
        <v>2.8186806602767733E-2</v>
      </c>
      <c r="O35" s="12">
        <f>O31/N31-1</f>
        <v>-2.6243347403193118E-3</v>
      </c>
    </row>
    <row r="36" spans="1:25" x14ac:dyDescent="0.45">
      <c r="C36" s="4"/>
      <c r="D36" s="1"/>
      <c r="L36" s="7"/>
      <c r="M36" s="7"/>
      <c r="N36" s="7"/>
      <c r="O36" s="7"/>
    </row>
    <row r="37" spans="1:25" x14ac:dyDescent="0.45">
      <c r="C37" s="13"/>
      <c r="D37" s="14">
        <f t="shared" ref="D37:L37" si="8">EOMONTH(DATE(YEAR(D38),ROUNDUP(MONTH(D38)/3,0)*3,1),0)</f>
        <v>45016</v>
      </c>
      <c r="E37" s="14">
        <f t="shared" si="8"/>
        <v>45107</v>
      </c>
      <c r="F37" s="14">
        <f t="shared" si="8"/>
        <v>45199</v>
      </c>
      <c r="G37" s="14">
        <f t="shared" si="8"/>
        <v>45291</v>
      </c>
      <c r="H37" s="14">
        <f t="shared" si="8"/>
        <v>45382</v>
      </c>
      <c r="I37" s="14">
        <f t="shared" si="8"/>
        <v>45473</v>
      </c>
      <c r="J37" s="14">
        <f t="shared" si="8"/>
        <v>45565</v>
      </c>
      <c r="K37" s="14">
        <f t="shared" si="8"/>
        <v>45657</v>
      </c>
      <c r="L37" s="14">
        <f t="shared" si="8"/>
        <v>45747</v>
      </c>
      <c r="M37" s="14">
        <f>EOMONTH(DATE(YEAR(M38),ROUNDUP(MONTH(M38)/3,0)*3,1),0)</f>
        <v>45838</v>
      </c>
      <c r="N37" s="14">
        <f>EOMONTH(DATE(YEAR(N38),ROUNDUP(MONTH(N38)/3,0)*3,1),0)</f>
        <v>45930</v>
      </c>
      <c r="O37" s="14">
        <f>EOMONTH(DATE(YEAR(O38),ROUNDUP(MONTH(O38)/3,0)*3,1),0)</f>
        <v>46022</v>
      </c>
    </row>
    <row r="38" spans="1:25" x14ac:dyDescent="0.45">
      <c r="D38" s="2">
        <v>45016</v>
      </c>
      <c r="E38" s="2">
        <v>45107</v>
      </c>
      <c r="F38" s="2">
        <v>45199</v>
      </c>
      <c r="G38" s="2">
        <v>45291</v>
      </c>
      <c r="H38" s="2">
        <v>45382</v>
      </c>
      <c r="I38" s="2">
        <v>45473</v>
      </c>
      <c r="J38" s="2">
        <v>45565</v>
      </c>
      <c r="K38" s="2">
        <v>45657</v>
      </c>
      <c r="L38" s="2">
        <v>45747</v>
      </c>
      <c r="M38" s="2">
        <v>45838</v>
      </c>
      <c r="N38" s="2">
        <v>45930</v>
      </c>
      <c r="O38" s="2">
        <v>46022</v>
      </c>
    </row>
    <row r="39" spans="1:25" x14ac:dyDescent="0.45">
      <c r="A39" s="16" t="s">
        <v>21</v>
      </c>
      <c r="B39" s="16" t="s">
        <v>38</v>
      </c>
      <c r="C39" s="2" t="s">
        <v>39</v>
      </c>
      <c r="D39" s="32">
        <v>11034</v>
      </c>
      <c r="E39" s="32">
        <v>11287</v>
      </c>
      <c r="F39" s="32">
        <v>11412</v>
      </c>
      <c r="G39" s="32">
        <v>11526</v>
      </c>
      <c r="H39" s="32">
        <v>11462</v>
      </c>
      <c r="I39" s="32">
        <v>11484</v>
      </c>
      <c r="J39" s="32">
        <v>11619</v>
      </c>
      <c r="K39" s="32">
        <v>11727</v>
      </c>
      <c r="L39" s="32">
        <v>11685</v>
      </c>
      <c r="M39" s="32">
        <v>11643</v>
      </c>
      <c r="N39" s="32">
        <v>11618</v>
      </c>
      <c r="O39" s="32">
        <v>11674</v>
      </c>
    </row>
    <row r="40" spans="1:25" x14ac:dyDescent="0.45">
      <c r="C40" s="4"/>
      <c r="D40" s="5"/>
      <c r="E40" s="4"/>
      <c r="F40" s="4"/>
      <c r="G40" s="12"/>
      <c r="H40" s="12">
        <f t="shared" ref="H40" si="9">+H39/D39-1</f>
        <v>3.8789197027369937E-2</v>
      </c>
      <c r="I40" s="12">
        <f t="shared" ref="I40" si="10">+I39/E39-1</f>
        <v>1.7453707805439977E-2</v>
      </c>
      <c r="J40" s="12">
        <f t="shared" ref="J40" si="11">+J39/F39-1</f>
        <v>1.8138801261829762E-2</v>
      </c>
      <c r="K40" s="12">
        <f t="shared" ref="K40" si="12">+K39/G39-1</f>
        <v>1.7438833940655929E-2</v>
      </c>
      <c r="L40" s="12">
        <f t="shared" ref="L40" si="13">+L39/H39-1</f>
        <v>1.9455592392252585E-2</v>
      </c>
      <c r="M40" s="12">
        <f t="shared" ref="M40" si="14">+M39/I39-1</f>
        <v>1.384535005224663E-2</v>
      </c>
      <c r="N40" s="12">
        <f t="shared" ref="N40" si="15">+N39/J39-1</f>
        <v>-8.6065926499734324E-5</v>
      </c>
      <c r="O40" s="12">
        <f t="shared" ref="O40" si="16">+O39/K39-1</f>
        <v>-4.5194849492623534E-3</v>
      </c>
    </row>
    <row r="41" spans="1:25" x14ac:dyDescent="0.45">
      <c r="C41" s="4"/>
      <c r="D41" s="1"/>
      <c r="L41" s="7">
        <f>(L40-K40)*10000</f>
        <v>20.167584515966563</v>
      </c>
      <c r="M41" s="7">
        <f>(M40-L40)*10000</f>
        <v>-56.10242340005955</v>
      </c>
      <c r="N41" s="7">
        <f>(N40-M40)*10000</f>
        <v>-139.31415978746364</v>
      </c>
      <c r="O41" s="7">
        <f>(O40-N40)*10000</f>
        <v>-44.334190227626195</v>
      </c>
    </row>
    <row r="42" spans="1:25" x14ac:dyDescent="0.45">
      <c r="C42" s="4"/>
      <c r="D42" s="1"/>
      <c r="E42" s="6"/>
      <c r="F42" s="6"/>
      <c r="G42" s="6"/>
      <c r="H42" s="6"/>
      <c r="I42" s="6"/>
      <c r="J42" s="6"/>
      <c r="K42" s="6"/>
      <c r="L42" s="7">
        <f>(L40-H40)*10000</f>
        <v>-193.33604635117351</v>
      </c>
      <c r="M42" s="7">
        <f>(M40-I40)*10000</f>
        <v>-36.083577531933472</v>
      </c>
      <c r="N42" s="7">
        <f>(N40-J40)*10000</f>
        <v>-182.24867188329497</v>
      </c>
      <c r="O42" s="7">
        <f>(O40-K40)*10000</f>
        <v>-219.58318889918283</v>
      </c>
    </row>
    <row r="43" spans="1:25" x14ac:dyDescent="0.45">
      <c r="C43" s="4"/>
      <c r="D43" s="1"/>
      <c r="L43" s="12">
        <f>L39/K39-1</f>
        <v>-3.581478639038127E-3</v>
      </c>
      <c r="M43" s="12">
        <f>M39/L39-1</f>
        <v>-3.5943517329910524E-3</v>
      </c>
      <c r="N43" s="12">
        <f>N39/M39-1</f>
        <v>-2.147212917632868E-3</v>
      </c>
      <c r="O43" s="12">
        <f>O39/N39-1</f>
        <v>4.8201067309348034E-3</v>
      </c>
    </row>
    <row r="44" spans="1:25" x14ac:dyDescent="0.45">
      <c r="C44" s="4"/>
      <c r="D44" s="1"/>
      <c r="G44" s="1"/>
    </row>
    <row r="45" spans="1:25" x14ac:dyDescent="0.45"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25" x14ac:dyDescent="0.45"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25" x14ac:dyDescent="0.45">
      <c r="A47" s="16"/>
      <c r="B47" s="16"/>
      <c r="C47" s="2"/>
      <c r="D47" s="34"/>
      <c r="E47" s="34"/>
      <c r="F47" s="34"/>
      <c r="G47" s="35"/>
      <c r="H47" s="35"/>
      <c r="I47" s="35"/>
      <c r="J47" s="35"/>
      <c r="K47" s="35"/>
      <c r="L47" s="35"/>
      <c r="M47" s="35"/>
      <c r="N47" s="35"/>
      <c r="O47" s="35"/>
    </row>
    <row r="48" spans="1:25" x14ac:dyDescent="0.45">
      <c r="C48" s="4"/>
      <c r="D48" s="5"/>
      <c r="E48" s="4"/>
      <c r="F48" s="4"/>
      <c r="G48" s="4"/>
      <c r="H48" s="7"/>
      <c r="I48" s="7"/>
      <c r="J48" s="7"/>
      <c r="K48" s="7"/>
      <c r="L48" s="7"/>
      <c r="M48" s="7"/>
      <c r="N48" s="7"/>
      <c r="O48" s="7"/>
    </row>
    <row r="49" spans="1:15" x14ac:dyDescent="0.45">
      <c r="C49" s="4"/>
      <c r="D49" s="1"/>
      <c r="K49" s="7"/>
      <c r="L49" s="7"/>
      <c r="M49" s="7"/>
      <c r="N49" s="7"/>
      <c r="O49" s="7"/>
    </row>
    <row r="50" spans="1:15" x14ac:dyDescent="0.45">
      <c r="C50" s="4"/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45">
      <c r="C51" s="4"/>
      <c r="D51" s="1"/>
      <c r="K51" s="7"/>
      <c r="L51" s="7"/>
      <c r="M51" s="7"/>
      <c r="N51" s="7"/>
      <c r="O51" s="7"/>
    </row>
    <row r="52" spans="1:15" x14ac:dyDescent="0.45">
      <c r="C52" s="4"/>
      <c r="D52" s="1"/>
      <c r="G52" s="1"/>
    </row>
    <row r="53" spans="1:15" x14ac:dyDescent="0.4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4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4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4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45">
      <c r="C57" s="4"/>
      <c r="D57" s="1"/>
      <c r="K57" s="7"/>
      <c r="L57" s="7"/>
      <c r="M57" s="7"/>
      <c r="N57" s="7"/>
      <c r="O57" s="7"/>
    </row>
    <row r="58" spans="1:15" x14ac:dyDescent="0.4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45">
      <c r="C59" s="4"/>
      <c r="D59" s="1"/>
      <c r="K59" s="7"/>
      <c r="L59" s="7"/>
      <c r="M59" s="7"/>
      <c r="N59" s="7"/>
      <c r="O59" s="7"/>
    </row>
    <row r="64" spans="1:15" x14ac:dyDescent="0.4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45">
      <c r="C65" s="4"/>
      <c r="D65" s="1"/>
      <c r="K65" s="7"/>
      <c r="L65" s="7"/>
      <c r="M65" s="7"/>
      <c r="N65" s="7"/>
      <c r="O65" s="7"/>
    </row>
    <row r="66" spans="3:15" x14ac:dyDescent="0.4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4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C6B9F-55B9-4D1C-BFC3-C061A3796C99}">
  <dimension ref="A1:Y67"/>
  <sheetViews>
    <sheetView zoomScale="85" zoomScaleNormal="85" workbookViewId="0">
      <pane xSplit="3" topLeftCell="D1" activePane="topRight" state="frozen"/>
      <selection pane="topRight" activeCell="B5" sqref="B5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6" width="10.1328125" bestFit="1" customWidth="1"/>
    <col min="7" max="7" width="10.59765625" bestFit="1" customWidth="1"/>
    <col min="8" max="10" width="10.1328125" bestFit="1" customWidth="1"/>
    <col min="11" max="11" width="10.59765625" bestFit="1" customWidth="1"/>
    <col min="12" max="12" width="10.1328125" bestFit="1" customWidth="1"/>
    <col min="13" max="15" width="10.265625" bestFit="1" customWidth="1"/>
    <col min="16" max="16" width="9" customWidth="1"/>
    <col min="17" max="17" width="12.3984375" bestFit="1" customWidth="1"/>
    <col min="18" max="18" width="14.3984375" bestFit="1" customWidth="1"/>
    <col min="19" max="19" width="8.59765625" bestFit="1" customWidth="1"/>
    <col min="20" max="20" width="20.265625" bestFit="1" customWidth="1"/>
    <col min="21" max="21" width="7.3984375" bestFit="1" customWidth="1"/>
    <col min="22" max="22" width="10.73046875" bestFit="1" customWidth="1"/>
    <col min="23" max="23" width="9.1328125" bestFit="1" customWidth="1"/>
    <col min="24" max="24" width="10.3984375" bestFit="1" customWidth="1"/>
    <col min="25" max="25" width="9.1328125" bestFit="1" customWidth="1"/>
  </cols>
  <sheetData>
    <row r="1" spans="1:25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45">
      <c r="A2" s="17" t="s">
        <v>1</v>
      </c>
      <c r="B2" s="31" t="s">
        <v>83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SPSC US EQUITY</v>
      </c>
      <c r="R2" s="24">
        <f ca="1"/>
        <v>45747</v>
      </c>
      <c r="S2" s="25" t="str">
        <f ca="1"/>
        <v>canonical</v>
      </c>
      <c r="T2" s="26" t="str">
        <f ca="1"/>
        <v>revenue</v>
      </c>
      <c r="U2" s="27" t="str">
        <f ca="1"/>
        <v>181.549</v>
      </c>
      <c r="V2" s="28" t="str">
        <f ca="1"/>
        <v>0.213757554687918</v>
      </c>
      <c r="W2" s="29" t="str">
        <f ca="1"/>
        <v>348.040141781398</v>
      </c>
      <c r="X2" s="28" t="str">
        <f ca="1"/>
        <v>254.01499137659</v>
      </c>
      <c r="Y2" s="29" t="str">
        <f ca="1"/>
        <v>0.0622677830633034</v>
      </c>
    </row>
    <row r="3" spans="1:25" x14ac:dyDescent="0.45">
      <c r="A3" s="18" t="s">
        <v>3</v>
      </c>
      <c r="B3" s="19">
        <f ca="1">+B4-365*3</f>
        <v>45001</v>
      </c>
      <c r="Q3" s="24" t="str">
        <f ca="1"/>
        <v>SPSC US EQUITY</v>
      </c>
      <c r="R3" s="24">
        <f ca="1"/>
        <v>45838</v>
      </c>
      <c r="S3" s="25" t="str">
        <f ca="1"/>
        <v>canonical</v>
      </c>
      <c r="T3" s="26" t="str">
        <f ca="1"/>
        <v>revenue</v>
      </c>
      <c r="U3" s="27" t="str">
        <f ca="1"/>
        <v>187.4</v>
      </c>
      <c r="V3" s="28" t="str">
        <f ca="1"/>
        <v>0.220083856350426</v>
      </c>
      <c r="W3" s="29" t="str">
        <f ca="1"/>
        <v>63.2630166250769</v>
      </c>
      <c r="X3" s="29" t="str">
        <f ca="1"/>
        <v>423.449286114979</v>
      </c>
      <c r="Y3" s="29" t="str">
        <f ca="1"/>
        <v>0.0322282138706356</v>
      </c>
    </row>
    <row r="4" spans="1:25" x14ac:dyDescent="0.45">
      <c r="A4" s="20" t="s">
        <v>2</v>
      </c>
      <c r="B4" s="21">
        <f ca="1">TODAY()</f>
        <v>46096</v>
      </c>
      <c r="Q4" s="24" t="str">
        <f ca="1"/>
        <v>SPSC US EQUITY</v>
      </c>
      <c r="R4" s="24">
        <f ca="1"/>
        <v>45930</v>
      </c>
      <c r="S4" s="25" t="str">
        <f ca="1"/>
        <v>canonical</v>
      </c>
      <c r="T4" s="26" t="str">
        <f ca="1"/>
        <v>revenue</v>
      </c>
      <c r="U4" s="27" t="str">
        <f ca="1"/>
        <v>189.904</v>
      </c>
      <c r="V4" s="28" t="str">
        <f ca="1"/>
        <v>0.160172525445059</v>
      </c>
      <c r="W4" s="29" t="str">
        <f ca="1"/>
        <v>-599.113309053663</v>
      </c>
      <c r="X4" s="29" t="str">
        <f ca="1"/>
        <v>-464.085848224456</v>
      </c>
      <c r="Y4" s="29" t="str">
        <f ca="1"/>
        <v>0.0133617929562433</v>
      </c>
    </row>
    <row r="5" spans="1:25" x14ac:dyDescent="0.45">
      <c r="C5" s="13" t="s">
        <v>12</v>
      </c>
      <c r="D5" s="14">
        <f t="shared" ref="D5:O5" ca="1" si="0">EOMONTH(DATE(YEAR(D6),ROUNDUP(MONTH(D6)/3,0)*3,1),0)</f>
        <v>45016</v>
      </c>
      <c r="E5" s="14">
        <f t="shared" ca="1" si="0"/>
        <v>45107</v>
      </c>
      <c r="F5" s="14">
        <f t="shared" ca="1" si="0"/>
        <v>45199</v>
      </c>
      <c r="G5" s="14">
        <f t="shared" ca="1" si="0"/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t="shared" ca="1" si="0"/>
        <v>45747</v>
      </c>
      <c r="M5" s="14">
        <f t="shared" ca="1" si="0"/>
        <v>45838</v>
      </c>
      <c r="N5" s="14">
        <f t="shared" ca="1" si="0"/>
        <v>45930</v>
      </c>
      <c r="O5" s="14">
        <f t="shared" ca="1" si="0"/>
        <v>46022</v>
      </c>
      <c r="Q5" s="24" t="str">
        <f ca="1"/>
        <v>SPSC US EQUITY</v>
      </c>
      <c r="R5" s="24">
        <f ca="1"/>
        <v>46022</v>
      </c>
      <c r="S5" s="25" t="str">
        <f ca="1"/>
        <v>canonical</v>
      </c>
      <c r="T5" s="26" t="str">
        <f ca="1"/>
        <v>revenue</v>
      </c>
      <c r="U5" s="27" t="str">
        <f ca="1"/>
        <v>192.652</v>
      </c>
      <c r="V5" s="28" t="str">
        <f ca="1"/>
        <v>0.12723293955192</v>
      </c>
      <c r="W5" s="29" t="str">
        <f ca="1"/>
        <v>-329.395858931396</v>
      </c>
      <c r="X5" s="29" t="str">
        <f ca="1"/>
        <v>-517.206009578584</v>
      </c>
      <c r="Y5" s="29" t="str">
        <f ca="1"/>
        <v>0.0144704692897464</v>
      </c>
    </row>
    <row r="6" spans="1:25" x14ac:dyDescent="0.45">
      <c r="D6" s="15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SPSC US EQUITY</v>
      </c>
      <c r="R6" s="24">
        <f ca="1"/>
        <v>45747</v>
      </c>
      <c r="S6" s="25" t="str">
        <f ca="1"/>
        <v>canonical</v>
      </c>
      <c r="T6" s="26" t="str">
        <f ca="1"/>
        <v>gross_margin_gaap</v>
      </c>
      <c r="U6" s="30" t="str">
        <f ca="1"/>
        <v>68.6509</v>
      </c>
      <c r="V6" s="29" t="str">
        <f ca="1"/>
        <v>307.289999999999</v>
      </c>
      <c r="W6" s="29" t="str">
        <f ca="1"/>
        <v/>
      </c>
      <c r="X6" s="29" t="str">
        <f ca="1"/>
        <v/>
      </c>
      <c r="Y6" s="29" t="str">
        <f ca="1"/>
        <v>117.439999999999</v>
      </c>
    </row>
    <row r="7" spans="1:25" x14ac:dyDescent="0.45">
      <c r="A7" s="16" t="s">
        <v>9</v>
      </c>
      <c r="B7" s="16" t="s">
        <v>8</v>
      </c>
      <c r="C7" s="9" t="s">
        <v>0</v>
      </c>
      <c r="D7" s="11">
        <f ca="1"/>
        <v>125.86799999999999</v>
      </c>
      <c r="E7" s="11">
        <f ca="1"/>
        <v>130.416</v>
      </c>
      <c r="F7" s="11">
        <f ca="1"/>
        <v>135.661</v>
      </c>
      <c r="G7" s="11">
        <f ca="1"/>
        <v>144.965</v>
      </c>
      <c r="H7" s="11">
        <f ca="1"/>
        <v>149.57599999999999</v>
      </c>
      <c r="I7" s="11">
        <f ca="1"/>
        <v>153.596</v>
      </c>
      <c r="J7" s="11">
        <f ca="1"/>
        <v>163.68600000000001</v>
      </c>
      <c r="K7" s="11">
        <f ca="1"/>
        <v>170.90700000000001</v>
      </c>
      <c r="L7" s="11">
        <f ca="1"/>
        <v>181.54900000000001</v>
      </c>
      <c r="M7" s="11">
        <f ca="1"/>
        <v>187.4</v>
      </c>
      <c r="N7" s="11">
        <f ca="1"/>
        <v>189.904</v>
      </c>
      <c r="O7" s="3">
        <f ca="1"/>
        <v>192.65199999999999</v>
      </c>
      <c r="P7" s="1"/>
      <c r="Q7" s="24" t="str">
        <f ca="1"/>
        <v>SPSC US EQUITY</v>
      </c>
      <c r="R7" s="24">
        <f ca="1"/>
        <v>45838</v>
      </c>
      <c r="S7" s="25" t="str">
        <f ca="1"/>
        <v>canonical</v>
      </c>
      <c r="T7" s="26" t="str">
        <f ca="1"/>
        <v>gross_margin_gaap</v>
      </c>
      <c r="U7" s="30" t="str">
        <f ca="1"/>
        <v>68.0758</v>
      </c>
      <c r="V7" s="29" t="str">
        <f ca="1"/>
        <v>194.26</v>
      </c>
      <c r="W7" s="29" t="str">
        <f ca="1"/>
        <v/>
      </c>
      <c r="X7" s="29" t="str">
        <f ca="1"/>
        <v/>
      </c>
      <c r="Y7" s="29" t="str">
        <f ca="1"/>
        <v>-57.5099999999992</v>
      </c>
    </row>
    <row r="8" spans="1:25" x14ac:dyDescent="0.45">
      <c r="C8" s="4" t="s">
        <v>4</v>
      </c>
      <c r="D8" s="5"/>
      <c r="E8" s="4"/>
      <c r="F8" s="4"/>
      <c r="G8" s="12"/>
      <c r="H8" s="12">
        <f t="shared" ref="H8:O8" ca="1" si="1">+H7/D7-1</f>
        <v>0.18835605555025903</v>
      </c>
      <c r="I8" s="12">
        <f t="shared" ca="1" si="1"/>
        <v>0.17773892773892785</v>
      </c>
      <c r="J8" s="12">
        <f t="shared" ca="1" si="1"/>
        <v>0.20658111026750503</v>
      </c>
      <c r="K8" s="12">
        <f t="shared" ca="1" si="1"/>
        <v>0.17895354050977819</v>
      </c>
      <c r="L8" s="12">
        <f t="shared" ca="1" si="1"/>
        <v>0.21375755468791802</v>
      </c>
      <c r="M8" s="12">
        <f t="shared" ca="1" si="1"/>
        <v>0.22008385635042571</v>
      </c>
      <c r="N8" s="12">
        <f t="shared" ca="1" si="1"/>
        <v>0.16017252544505944</v>
      </c>
      <c r="O8" s="12">
        <f t="shared" ca="1" si="1"/>
        <v>0.12723293955191983</v>
      </c>
      <c r="P8" s="3"/>
      <c r="Q8" s="24" t="str">
        <f ca="1"/>
        <v>SPSC US EQUITY</v>
      </c>
      <c r="R8" s="24">
        <f ca="1"/>
        <v>45930</v>
      </c>
      <c r="S8" s="25" t="str">
        <f ca="1"/>
        <v>canonical</v>
      </c>
      <c r="T8" s="26" t="str">
        <f ca="1"/>
        <v>gross_margin_gaap</v>
      </c>
      <c r="U8" s="30" t="str">
        <f ca="1"/>
        <v>69.4941</v>
      </c>
      <c r="V8" s="29" t="str">
        <f ca="1"/>
        <v>103.25</v>
      </c>
      <c r="W8" s="29" t="str">
        <f ca="1"/>
        <v/>
      </c>
      <c r="X8" s="29" t="str">
        <f ca="1"/>
        <v/>
      </c>
      <c r="Y8" s="29" t="str">
        <f ca="1"/>
        <v>141.83</v>
      </c>
    </row>
    <row r="9" spans="1:25" x14ac:dyDescent="0.45">
      <c r="C9" s="4" t="s">
        <v>19</v>
      </c>
      <c r="D9" s="1"/>
      <c r="L9" s="7">
        <f ca="1">(L8-K8)*10000</f>
        <v>348.04014178139829</v>
      </c>
      <c r="M9" s="7">
        <f ca="1">(M8-L8)*10000</f>
        <v>63.263016625076943</v>
      </c>
      <c r="N9" s="7">
        <f ca="1">(N8-M8)*10000</f>
        <v>-599.11330905366265</v>
      </c>
      <c r="O9" s="7">
        <f ca="1">(O8-N8)*10000</f>
        <v>-329.39585893139611</v>
      </c>
      <c r="Q9" s="22" t="str">
        <f ca="1"/>
        <v>SPSC US EQUITY</v>
      </c>
      <c r="R9" s="24">
        <f ca="1"/>
        <v>46022</v>
      </c>
      <c r="S9" s="25" t="str">
        <f ca="1"/>
        <v>canonical</v>
      </c>
      <c r="T9" s="26" t="str">
        <f ca="1"/>
        <v>gross_margin_gaap</v>
      </c>
      <c r="U9" s="30" t="str">
        <f ca="1"/>
        <v>70.4353</v>
      </c>
      <c r="V9" s="29" t="str">
        <f ca="1"/>
        <v>295.88</v>
      </c>
      <c r="W9" s="29" t="str">
        <f ca="1"/>
        <v/>
      </c>
      <c r="X9" s="29" t="str">
        <f ca="1"/>
        <v/>
      </c>
      <c r="Y9" s="29" t="str">
        <f ca="1"/>
        <v>94.1199999999995</v>
      </c>
    </row>
    <row r="10" spans="1:25" x14ac:dyDescent="0.4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254.0149913765899</v>
      </c>
      <c r="M10" s="7">
        <f ca="1">(M8-I8)*10000</f>
        <v>423.44928611497858</v>
      </c>
      <c r="N10" s="7">
        <f ca="1">(N8-J8)*10000</f>
        <v>-464.08584822445584</v>
      </c>
      <c r="O10" s="7">
        <f ca="1">(O8-K8)*10000</f>
        <v>-517.20600957858358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SPSC US EQUITY</v>
      </c>
      <c r="R10" s="24">
        <f ca="1"/>
        <v>45747</v>
      </c>
      <c r="S10" s="25" t="str">
        <f ca="1"/>
        <v>canonical</v>
      </c>
      <c r="T10" s="26" t="str">
        <f ca="1"/>
        <v>operating_margin_gaap</v>
      </c>
      <c r="U10" s="30" t="str">
        <f ca="1"/>
        <v>14.297</v>
      </c>
      <c r="V10" s="29" t="str">
        <f ca="1"/>
        <v>399.92</v>
      </c>
      <c r="W10" s="29" t="str">
        <f ca="1"/>
        <v/>
      </c>
      <c r="X10" s="29" t="str">
        <f ca="1"/>
        <v/>
      </c>
      <c r="Y10" s="29" t="str">
        <f ca="1"/>
        <v>-18.0999999999999</v>
      </c>
    </row>
    <row r="11" spans="1:25" x14ac:dyDescent="0.45">
      <c r="C11" s="4" t="s">
        <v>5</v>
      </c>
      <c r="D11" s="1"/>
      <c r="L11" s="12">
        <f ca="1">L7/K7-1</f>
        <v>6.2267783063303384E-2</v>
      </c>
      <c r="M11" s="12">
        <f ca="1">M7/L7-1</f>
        <v>3.2228213870635569E-2</v>
      </c>
      <c r="N11" s="12">
        <f ca="1">N7/M7-1</f>
        <v>1.336179295624329E-2</v>
      </c>
      <c r="O11" s="12">
        <f ca="1">O7/N7-1</f>
        <v>1.4470469289746379E-2</v>
      </c>
      <c r="Q11" s="24" t="str">
        <f ca="1"/>
        <v>SPSC US EQUITY</v>
      </c>
      <c r="R11" s="24">
        <f ca="1"/>
        <v>45838</v>
      </c>
      <c r="S11" s="25" t="str">
        <f ca="1"/>
        <v>canonical</v>
      </c>
      <c r="T11" s="26" t="str">
        <f ca="1"/>
        <v>operating_margin_gaap</v>
      </c>
      <c r="U11" s="30" t="str">
        <f ca="1"/>
        <v>14.1249</v>
      </c>
      <c r="V11" s="29" t="str">
        <f ca="1"/>
        <v>-95.6899999999999</v>
      </c>
      <c r="W11" s="29" t="str">
        <f ca="1"/>
        <v/>
      </c>
      <c r="X11" s="29" t="str">
        <f ca="1"/>
        <v/>
      </c>
      <c r="Y11" s="29" t="str">
        <f ca="1"/>
        <v>-17.21</v>
      </c>
    </row>
    <row r="12" spans="1:25" x14ac:dyDescent="0.45">
      <c r="Q12" s="24" t="str">
        <f ca="1"/>
        <v>SPSC US EQUITY</v>
      </c>
      <c r="R12" s="24">
        <f ca="1"/>
        <v>45930</v>
      </c>
      <c r="S12" s="25" t="str">
        <f ca="1"/>
        <v>canonical</v>
      </c>
      <c r="T12" s="26" t="str">
        <f ca="1"/>
        <v>operating_margin_gaap</v>
      </c>
      <c r="U12" s="30" t="str">
        <f ca="1"/>
        <v>16.4246</v>
      </c>
      <c r="V12" s="29" t="str">
        <f ca="1"/>
        <v>80.2600000000002</v>
      </c>
      <c r="W12" s="29" t="str">
        <f ca="1"/>
        <v/>
      </c>
      <c r="X12" s="29" t="str">
        <f ca="1"/>
        <v/>
      </c>
      <c r="Y12" s="29" t="str">
        <f ca="1"/>
        <v>229.97</v>
      </c>
    </row>
    <row r="13" spans="1:25" x14ac:dyDescent="0.45">
      <c r="C13" s="13" t="s">
        <v>12</v>
      </c>
      <c r="D13" s="14">
        <f t="shared" ref="D13:O13" ca="1" si="2">EOMONTH(DATE(YEAR(D14),ROUNDUP(MONTH(D14)/3,0)*3,1),0)</f>
        <v>45016</v>
      </c>
      <c r="E13" s="14">
        <f t="shared" ca="1" si="2"/>
        <v>45107</v>
      </c>
      <c r="F13" s="14">
        <f t="shared" ca="1" si="2"/>
        <v>45199</v>
      </c>
      <c r="G13" s="14">
        <f t="shared" ca="1" si="2"/>
        <v>45291</v>
      </c>
      <c r="H13" s="14">
        <f t="shared" ca="1" si="2"/>
        <v>45382</v>
      </c>
      <c r="I13" s="14">
        <f t="shared" ca="1" si="2"/>
        <v>45473</v>
      </c>
      <c r="J13" s="14">
        <f t="shared" ca="1" si="2"/>
        <v>45565</v>
      </c>
      <c r="K13" s="14">
        <f t="shared" ca="1" si="2"/>
        <v>45657</v>
      </c>
      <c r="L13" s="14">
        <f t="shared" ca="1" si="2"/>
        <v>45747</v>
      </c>
      <c r="M13" s="14">
        <f t="shared" ca="1" si="2"/>
        <v>45838</v>
      </c>
      <c r="N13" s="14">
        <f t="shared" ca="1" si="2"/>
        <v>45930</v>
      </c>
      <c r="O13" s="14">
        <f t="shared" ca="1" si="2"/>
        <v>46022</v>
      </c>
      <c r="Q13" s="24" t="str">
        <f ca="1"/>
        <v>SPSC US EQUITY</v>
      </c>
      <c r="R13" s="24">
        <f ca="1"/>
        <v>46022</v>
      </c>
      <c r="S13" s="25" t="str">
        <f ca="1"/>
        <v>canonical</v>
      </c>
      <c r="T13" s="26" t="str">
        <f ca="1"/>
        <v>operating_margin_gaap</v>
      </c>
      <c r="U13" s="30" t="str">
        <f ca="1"/>
        <v>18.0045</v>
      </c>
      <c r="V13" s="29" t="str">
        <f ca="1"/>
        <v>352.65</v>
      </c>
      <c r="W13" s="29" t="str">
        <f ca="1"/>
        <v/>
      </c>
      <c r="X13" s="29" t="str">
        <f ca="1"/>
        <v/>
      </c>
      <c r="Y13" s="29" t="str">
        <f ca="1"/>
        <v>157.99</v>
      </c>
    </row>
    <row r="14" spans="1:25" x14ac:dyDescent="0.4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SPSC US EQUITY</v>
      </c>
      <c r="R14" s="24">
        <v>45747</v>
      </c>
      <c r="S14" s="25" t="str">
        <v>custom</v>
      </c>
      <c r="T14" s="26" t="str">
        <v>billings</v>
      </c>
      <c r="U14" s="30" t="str">
        <v>152631</v>
      </c>
      <c r="V14" s="29" t="str">
        <v>0.252583030372662</v>
      </c>
      <c r="W14" s="29" t="str">
        <v>636.405686837702</v>
      </c>
      <c r="X14" s="29" t="str">
        <v>540.446505481353</v>
      </c>
      <c r="Y14" s="29" t="str">
        <v>0.0821133081411425</v>
      </c>
    </row>
    <row r="15" spans="1:25" x14ac:dyDescent="0.45">
      <c r="A15" s="16" t="s">
        <v>9</v>
      </c>
      <c r="B15" s="16" t="s">
        <v>14</v>
      </c>
      <c r="C15" s="9" t="s">
        <v>6</v>
      </c>
      <c r="D15" s="3">
        <f ca="1"/>
        <v>65.865799999999993</v>
      </c>
      <c r="E15" s="3">
        <f ca="1"/>
        <v>65.844700000000003</v>
      </c>
      <c r="F15" s="3">
        <f ca="1"/>
        <v>66.444999999999993</v>
      </c>
      <c r="G15" s="3">
        <f ca="1"/>
        <v>66.171099999999996</v>
      </c>
      <c r="H15" s="3">
        <f ca="1"/>
        <v>65.578000000000003</v>
      </c>
      <c r="I15" s="3">
        <f ca="1"/>
        <v>66.133200000000002</v>
      </c>
      <c r="J15" s="3">
        <f ca="1"/>
        <v>68.461600000000004</v>
      </c>
      <c r="K15" s="3">
        <f ca="1"/>
        <v>67.476500000000001</v>
      </c>
      <c r="L15" s="3">
        <f ca="1"/>
        <v>68.650899999999993</v>
      </c>
      <c r="M15" s="3">
        <f ca="1"/>
        <v>68.075800000000001</v>
      </c>
      <c r="N15" s="3">
        <f ca="1"/>
        <v>69.494100000000003</v>
      </c>
      <c r="O15">
        <f ca="1"/>
        <v>70.435299999999998</v>
      </c>
      <c r="Q15" s="24" t="str">
        <v>SPSC US EQUITY</v>
      </c>
      <c r="R15" s="24">
        <v>45838</v>
      </c>
      <c r="S15" s="25" t="str">
        <v>custom</v>
      </c>
      <c r="T15" s="26" t="str">
        <v>billings</v>
      </c>
      <c r="U15" s="30" t="str">
        <v>158991</v>
      </c>
      <c r="V15" s="29" t="str">
        <v>0.266739435273121</v>
      </c>
      <c r="W15" s="29" t="str">
        <v>141.564049004592</v>
      </c>
      <c r="X15" s="29" t="str">
        <v>770.522314816522</v>
      </c>
      <c r="Y15" s="29" t="str">
        <v>0.0416691235725377</v>
      </c>
    </row>
    <row r="16" spans="1:25" x14ac:dyDescent="0.45">
      <c r="C16" s="4" t="s">
        <v>4</v>
      </c>
      <c r="D16" s="5"/>
      <c r="E16" s="4"/>
      <c r="F16" s="4"/>
      <c r="G16" s="4"/>
      <c r="H16" s="7">
        <f t="shared" ref="H16:O16" ca="1" si="3">(H15-D15)*100</f>
        <v>-28.779999999999006</v>
      </c>
      <c r="I16" s="7">
        <f t="shared" ca="1" si="3"/>
        <v>28.849999999999909</v>
      </c>
      <c r="J16" s="7">
        <f t="shared" ca="1" si="3"/>
        <v>201.66000000000111</v>
      </c>
      <c r="K16" s="7">
        <f t="shared" ca="1" si="3"/>
        <v>130.54000000000059</v>
      </c>
      <c r="L16" s="7">
        <f t="shared" ca="1" si="3"/>
        <v>307.289999999999</v>
      </c>
      <c r="M16" s="7">
        <f t="shared" ca="1" si="3"/>
        <v>194.25999999999988</v>
      </c>
      <c r="N16" s="7">
        <f t="shared" ca="1" si="3"/>
        <v>103.24999999999989</v>
      </c>
      <c r="O16" s="7">
        <f t="shared" ca="1" si="3"/>
        <v>295.87999999999965</v>
      </c>
      <c r="Q16" s="24" t="str">
        <v>SPSC US EQUITY</v>
      </c>
      <c r="R16" s="24">
        <v>45930</v>
      </c>
      <c r="S16" s="25" t="str">
        <v>custom</v>
      </c>
      <c r="T16" s="26" t="str">
        <v>billings</v>
      </c>
      <c r="U16" s="30" t="str">
        <v>161839</v>
      </c>
      <c r="V16" s="29" t="str">
        <v>0.196237711582526</v>
      </c>
      <c r="W16" s="29" t="str">
        <v>-705.017236905949</v>
      </c>
      <c r="X16" s="29" t="str">
        <v>-236.901513570587</v>
      </c>
      <c r="Y16" s="29" t="str">
        <v>0.017912963626872</v>
      </c>
    </row>
    <row r="17" spans="1:25" x14ac:dyDescent="0.45">
      <c r="C17" s="4" t="s">
        <v>19</v>
      </c>
      <c r="D17" s="1"/>
      <c r="K17" s="7"/>
      <c r="L17" s="7"/>
      <c r="M17" s="7"/>
      <c r="N17" s="7"/>
      <c r="O17" s="7"/>
      <c r="Q17" s="24" t="str">
        <v>SPSC US EQUITY</v>
      </c>
      <c r="R17" s="24">
        <v>0</v>
      </c>
      <c r="S17" s="25" t="str">
        <v>custom</v>
      </c>
      <c r="T17" s="26" t="str">
        <v>billings</v>
      </c>
      <c r="U17" s="30" t="str">
        <v/>
      </c>
      <c r="V17" s="29" t="str">
        <v/>
      </c>
      <c r="W17" s="29" t="str">
        <v/>
      </c>
      <c r="X17" s="29" t="str">
        <v/>
      </c>
      <c r="Y17" s="29" t="str">
        <v/>
      </c>
    </row>
    <row r="18" spans="1:25" x14ac:dyDescent="0.4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SPSC US EQUITY</v>
      </c>
      <c r="R18" s="24">
        <v>45747</v>
      </c>
      <c r="S18" s="25" t="str">
        <v>custom</v>
      </c>
      <c r="T18" s="26" t="str">
        <v>analytics_recurring_revenue_in_k</v>
      </c>
      <c r="U18" s="30" t="str">
        <v>13702</v>
      </c>
      <c r="V18" s="29" t="str">
        <v>-0.0222634508348795</v>
      </c>
      <c r="W18" s="29" t="str">
        <v>-835.528194582714</v>
      </c>
      <c r="X18" s="29" t="str">
        <v>-1551.6563353496</v>
      </c>
      <c r="Y18" s="29" t="str">
        <v>-0.0454893765238593</v>
      </c>
    </row>
    <row r="19" spans="1:25" x14ac:dyDescent="0.45">
      <c r="C19" s="4" t="s">
        <v>5</v>
      </c>
      <c r="D19" s="1"/>
      <c r="K19" s="7"/>
      <c r="L19" s="7">
        <f ca="1">(L15-K15)*100</f>
        <v>117.43999999999915</v>
      </c>
      <c r="M19" s="7">
        <f ca="1">(M15-L15)*100</f>
        <v>-57.509999999999195</v>
      </c>
      <c r="N19" s="7">
        <f ca="1">(N15-M15)*100</f>
        <v>141.83000000000021</v>
      </c>
      <c r="O19" s="7">
        <f ca="1">(O15-N15)*100</f>
        <v>94.119999999999493</v>
      </c>
      <c r="Q19" s="24" t="str">
        <v>SPSC US EQUITY</v>
      </c>
      <c r="R19" s="24">
        <v>45838</v>
      </c>
      <c r="S19" s="25" t="str">
        <v>custom</v>
      </c>
      <c r="T19" s="26" t="str">
        <v>analytics_recurring_revenue_in_k</v>
      </c>
      <c r="U19" s="30" t="str">
        <v>13944</v>
      </c>
      <c r="V19" s="29" t="str">
        <v>0.0321243523316062</v>
      </c>
      <c r="W19" s="29" t="str">
        <v>543.878031664856</v>
      </c>
      <c r="X19" s="29" t="str">
        <v>-309.018495725561</v>
      </c>
      <c r="Y19" s="29" t="str">
        <v>0.0176616552328128</v>
      </c>
    </row>
    <row r="20" spans="1:25" x14ac:dyDescent="0.45">
      <c r="Q20" s="24" t="str">
        <v>SPSC US EQUITY</v>
      </c>
      <c r="R20" s="24">
        <v>45930</v>
      </c>
      <c r="S20" s="25" t="str">
        <v>custom</v>
      </c>
      <c r="T20" s="26" t="str">
        <v>analytics_recurring_revenue_in_k</v>
      </c>
      <c r="U20" s="30" t="str">
        <v>14142</v>
      </c>
      <c r="V20" s="29" t="str">
        <v>0.0219684925567278</v>
      </c>
      <c r="W20" s="29" t="str">
        <v>-101.558597748783</v>
      </c>
      <c r="X20" s="29" t="str">
        <v>-345.28682584515</v>
      </c>
      <c r="Y20" s="29" t="str">
        <v>0.0141996557659207</v>
      </c>
    </row>
    <row r="21" spans="1:25" x14ac:dyDescent="0.45">
      <c r="C21" s="13" t="s">
        <v>12</v>
      </c>
      <c r="D21" s="14">
        <f t="shared" ref="D21:O21" ca="1" si="4">EOMONTH(DATE(YEAR(D22),ROUNDUP(MONTH(D22)/3,0)*3,1),0)</f>
        <v>45016</v>
      </c>
      <c r="E21" s="14">
        <f t="shared" ca="1" si="4"/>
        <v>45107</v>
      </c>
      <c r="F21" s="14">
        <f t="shared" ca="1" si="4"/>
        <v>45199</v>
      </c>
      <c r="G21" s="14">
        <f t="shared" ca="1" si="4"/>
        <v>45291</v>
      </c>
      <c r="H21" s="14">
        <f t="shared" ca="1" si="4"/>
        <v>45382</v>
      </c>
      <c r="I21" s="14">
        <f t="shared" ca="1" si="4"/>
        <v>45473</v>
      </c>
      <c r="J21" s="14">
        <f t="shared" ca="1" si="4"/>
        <v>45565</v>
      </c>
      <c r="K21" s="14">
        <f t="shared" ca="1" si="4"/>
        <v>45657</v>
      </c>
      <c r="L21" s="14">
        <f t="shared" ca="1" si="4"/>
        <v>45747</v>
      </c>
      <c r="M21" s="14">
        <f t="shared" ca="1" si="4"/>
        <v>45838</v>
      </c>
      <c r="N21" s="14">
        <f t="shared" ca="1" si="4"/>
        <v>45930</v>
      </c>
      <c r="O21" s="14">
        <f t="shared" ca="1" si="4"/>
        <v>46022</v>
      </c>
      <c r="Q21" s="24" t="str">
        <v>SPSC US EQUITY</v>
      </c>
      <c r="R21" s="24">
        <v>0</v>
      </c>
      <c r="S21" s="25" t="str">
        <v>custom</v>
      </c>
      <c r="T21" s="26" t="str">
        <v>analytics_recurring_revenue_in_k</v>
      </c>
      <c r="U21" s="30" t="str">
        <v/>
      </c>
      <c r="V21" s="29" t="str">
        <v/>
      </c>
      <c r="W21" s="29" t="str">
        <v/>
      </c>
      <c r="X21" s="29" t="str">
        <v/>
      </c>
      <c r="Y21" s="29" t="str">
        <v/>
      </c>
    </row>
    <row r="22" spans="1:25" x14ac:dyDescent="0.45">
      <c r="D22" s="1" cm="1">
        <f t="array" aca="1" ref="D22:O23" ca="1">+_xll.BDH($B$2,C23,$B$3,$B$4,"DIR=H")</f>
        <v>45016</v>
      </c>
      <c r="E22" s="1">
        <f ca="1"/>
        <v>45107</v>
      </c>
      <c r="F22" s="1">
        <f ca="1"/>
        <v>45199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45565</v>
      </c>
      <c r="K22" s="1">
        <f ca="1"/>
        <v>45657</v>
      </c>
      <c r="L22" s="1">
        <f ca="1"/>
        <v>45747</v>
      </c>
      <c r="M22" s="1">
        <f ca="1"/>
        <v>45838</v>
      </c>
      <c r="N22" s="1">
        <f ca="1"/>
        <v>45930</v>
      </c>
      <c r="O22" s="1">
        <f ca="1"/>
        <v>46022</v>
      </c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SPSC US EQUITY</v>
      </c>
      <c r="R22" s="24">
        <v>0</v>
      </c>
      <c r="S22" s="25">
        <v>0</v>
      </c>
      <c r="T22" s="26">
        <v>0</v>
      </c>
      <c r="U22" s="27" t="str">
        <v/>
      </c>
      <c r="V22" s="28" t="str">
        <v/>
      </c>
      <c r="W22" s="29" t="str">
        <v/>
      </c>
      <c r="X22" s="28" t="str">
        <v/>
      </c>
      <c r="Y22" s="29" t="str">
        <v/>
      </c>
    </row>
    <row r="23" spans="1:25" x14ac:dyDescent="0.45">
      <c r="A23" s="16" t="s">
        <v>9</v>
      </c>
      <c r="B23" s="16" t="s">
        <v>15</v>
      </c>
      <c r="C23" s="9" t="s">
        <v>7</v>
      </c>
      <c r="D23" s="3">
        <f ca="1"/>
        <v>13.291700000000001</v>
      </c>
      <c r="E23" s="3">
        <f ca="1"/>
        <v>13.060499999999999</v>
      </c>
      <c r="F23" s="3">
        <f ca="1"/>
        <v>15.184200000000001</v>
      </c>
      <c r="G23" s="3">
        <f ca="1"/>
        <v>15.7866</v>
      </c>
      <c r="H23" s="3">
        <f ca="1"/>
        <v>10.297800000000001</v>
      </c>
      <c r="I23" s="3">
        <f ca="1"/>
        <v>15.081799999999999</v>
      </c>
      <c r="J23" s="3">
        <f ca="1"/>
        <v>15.622</v>
      </c>
      <c r="K23" s="3">
        <f ca="1"/>
        <v>14.478</v>
      </c>
      <c r="L23" s="3">
        <f ca="1"/>
        <v>14.297000000000001</v>
      </c>
      <c r="M23" s="3">
        <f ca="1"/>
        <v>14.1249</v>
      </c>
      <c r="N23" s="3">
        <f ca="1"/>
        <v>16.424600000000002</v>
      </c>
      <c r="O23">
        <f ca="1"/>
        <v>18.0045</v>
      </c>
      <c r="Q23" s="24" t="str">
        <v>SPSC US EQUITY</v>
      </c>
      <c r="R23" s="24">
        <v>0</v>
      </c>
      <c r="S23" s="25">
        <v>0</v>
      </c>
      <c r="T23" s="26">
        <v>0</v>
      </c>
      <c r="U23" s="27" t="str">
        <v/>
      </c>
      <c r="V23" s="28" t="str">
        <v/>
      </c>
      <c r="W23" s="29" t="str">
        <v/>
      </c>
      <c r="X23" s="28" t="str">
        <v/>
      </c>
      <c r="Y23" s="29" t="str">
        <v/>
      </c>
    </row>
    <row r="24" spans="1:25" x14ac:dyDescent="0.45">
      <c r="C24" s="4" t="s">
        <v>4</v>
      </c>
      <c r="D24" s="5"/>
      <c r="E24" s="4"/>
      <c r="F24" s="4"/>
      <c r="G24" s="4"/>
      <c r="H24" s="7">
        <f t="shared" ref="H24:O24" ca="1" si="5">(H23-D23)*100</f>
        <v>-299.39</v>
      </c>
      <c r="I24" s="7">
        <f t="shared" ca="1" si="5"/>
        <v>202.13</v>
      </c>
      <c r="J24" s="7">
        <f t="shared" ca="1" si="5"/>
        <v>43.77999999999993</v>
      </c>
      <c r="K24" s="7">
        <f t="shared" ca="1" si="5"/>
        <v>-130.86000000000001</v>
      </c>
      <c r="L24" s="7">
        <f t="shared" ca="1" si="5"/>
        <v>399.92</v>
      </c>
      <c r="M24" s="7">
        <f t="shared" ca="1" si="5"/>
        <v>-95.689999999999912</v>
      </c>
      <c r="N24" s="7">
        <f t="shared" ca="1" si="5"/>
        <v>80.260000000000176</v>
      </c>
      <c r="O24" s="7">
        <f t="shared" ca="1" si="5"/>
        <v>352.65000000000003</v>
      </c>
      <c r="Q24" s="24" t="str">
        <v>SPSC US EQUITY</v>
      </c>
      <c r="R24" s="24">
        <v>0</v>
      </c>
      <c r="S24" s="25">
        <v>0</v>
      </c>
      <c r="T24" s="26">
        <v>0</v>
      </c>
      <c r="U24" s="27" t="str">
        <v/>
      </c>
      <c r="V24" s="28" t="str">
        <v/>
      </c>
      <c r="W24" s="29" t="str">
        <v/>
      </c>
      <c r="X24" s="28" t="str">
        <v/>
      </c>
      <c r="Y24" s="29" t="str">
        <v/>
      </c>
    </row>
    <row r="25" spans="1:25" x14ac:dyDescent="0.45">
      <c r="C25" s="4" t="s">
        <v>19</v>
      </c>
      <c r="D25" s="1"/>
      <c r="K25" s="7"/>
      <c r="L25" s="7"/>
      <c r="M25" s="7"/>
      <c r="N25" s="7"/>
      <c r="O25" s="7"/>
      <c r="Q25" s="24" t="str">
        <v>SPSC US EQUITY</v>
      </c>
      <c r="R25" s="24">
        <v>0</v>
      </c>
      <c r="S25" s="25">
        <v>0</v>
      </c>
      <c r="T25" s="26">
        <v>0</v>
      </c>
      <c r="U25" s="27" t="str">
        <v/>
      </c>
      <c r="V25" s="28" t="str">
        <v/>
      </c>
      <c r="W25" s="29" t="str">
        <v/>
      </c>
      <c r="X25" s="28" t="str">
        <v/>
      </c>
      <c r="Y25" s="29" t="str">
        <v/>
      </c>
    </row>
    <row r="26" spans="1:25" x14ac:dyDescent="0.4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SPSC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45">
      <c r="C27" s="4" t="s">
        <v>5</v>
      </c>
      <c r="D27" s="1"/>
      <c r="K27" s="7"/>
      <c r="L27" s="7">
        <f ca="1">(L23-K23)*100</f>
        <v>-18.099999999999916</v>
      </c>
      <c r="M27" s="7">
        <f ca="1">(M23-L23)*100</f>
        <v>-17.210000000000036</v>
      </c>
      <c r="N27" s="7">
        <f ca="1">(N23-M23)*100</f>
        <v>229.97000000000014</v>
      </c>
      <c r="O27" s="7">
        <f ca="1">(O23-N23)*100</f>
        <v>157.98999999999984</v>
      </c>
      <c r="Q27" s="24" t="str">
        <v>SPSC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45">
      <c r="C28" s="4"/>
      <c r="D28" s="1"/>
      <c r="K28" s="7"/>
      <c r="L28" s="7"/>
      <c r="M28" s="7"/>
      <c r="N28" s="7"/>
      <c r="O28" s="7"/>
      <c r="Q28" s="24" t="str">
        <v>SPSC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45">
      <c r="C29" s="13"/>
      <c r="D29" s="14">
        <f t="shared" ref="D29:L29" si="6">EOMONTH(DATE(YEAR(D30),ROUNDUP(MONTH(D30)/3,0)*3,1),0)</f>
        <v>45016</v>
      </c>
      <c r="E29" s="14">
        <f t="shared" si="6"/>
        <v>45107</v>
      </c>
      <c r="F29" s="14">
        <f t="shared" si="6"/>
        <v>45199</v>
      </c>
      <c r="G29" s="14">
        <f t="shared" si="6"/>
        <v>45291</v>
      </c>
      <c r="H29" s="14">
        <f t="shared" si="6"/>
        <v>45382</v>
      </c>
      <c r="I29" s="14">
        <f t="shared" si="6"/>
        <v>45473</v>
      </c>
      <c r="J29" s="14">
        <f t="shared" si="6"/>
        <v>45565</v>
      </c>
      <c r="K29" s="14">
        <f t="shared" si="6"/>
        <v>45657</v>
      </c>
      <c r="L29" s="14">
        <f t="shared" si="6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/>
      <c r="Q29" s="24" t="str">
        <v>SPSC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45">
      <c r="D30" s="2">
        <v>45016</v>
      </c>
      <c r="E30" s="2">
        <v>45107</v>
      </c>
      <c r="F30" s="2">
        <v>45199</v>
      </c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/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SPSC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45">
      <c r="A31" s="16" t="s">
        <v>21</v>
      </c>
      <c r="B31" s="16" t="s">
        <v>87</v>
      </c>
      <c r="C31" s="2" t="s">
        <v>87</v>
      </c>
      <c r="D31" s="32">
        <v>101668</v>
      </c>
      <c r="E31" s="32">
        <v>105500</v>
      </c>
      <c r="F31" s="32">
        <v>110900</v>
      </c>
      <c r="G31" s="32">
        <v>118634</v>
      </c>
      <c r="H31" s="32">
        <v>121853</v>
      </c>
      <c r="I31" s="32">
        <v>125512</v>
      </c>
      <c r="J31" s="32">
        <v>135290</v>
      </c>
      <c r="K31" s="32">
        <v>141049</v>
      </c>
      <c r="L31" s="32">
        <v>152631</v>
      </c>
      <c r="M31" s="32">
        <v>158991</v>
      </c>
      <c r="N31" s="32">
        <v>161839</v>
      </c>
      <c r="O31" s="32"/>
      <c r="Q31" s="24" t="str">
        <v>SPSC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45">
      <c r="C32" s="4" t="s">
        <v>4</v>
      </c>
      <c r="D32" s="5"/>
      <c r="E32" s="4"/>
      <c r="F32" s="4"/>
      <c r="G32" s="12"/>
      <c r="H32" s="12">
        <f t="shared" ref="H32:N32" si="7">+H31/D31-1</f>
        <v>0.19853837982452682</v>
      </c>
      <c r="I32" s="12">
        <f t="shared" si="7"/>
        <v>0.18968720379146919</v>
      </c>
      <c r="J32" s="12">
        <f t="shared" si="7"/>
        <v>0.21992786293958511</v>
      </c>
      <c r="K32" s="12">
        <f t="shared" si="7"/>
        <v>0.18894246168889195</v>
      </c>
      <c r="L32" s="12">
        <f t="shared" si="7"/>
        <v>0.25258303037266217</v>
      </c>
      <c r="M32" s="12">
        <f t="shared" si="7"/>
        <v>0.26673943527312138</v>
      </c>
      <c r="N32" s="12">
        <f t="shared" si="7"/>
        <v>0.19623771158252645</v>
      </c>
      <c r="O32" s="12"/>
      <c r="Q32" s="24" t="str">
        <v>SPSC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45">
      <c r="C33" s="4" t="s">
        <v>19</v>
      </c>
      <c r="D33" s="1"/>
      <c r="L33" s="7">
        <f>(L32-K32)*10000</f>
        <v>636.40568683770221</v>
      </c>
      <c r="M33" s="7">
        <f>(M32-L32)*10000</f>
        <v>141.56404900459219</v>
      </c>
      <c r="N33" s="7">
        <f>(N32-M32)*10000</f>
        <v>-705.01723690594929</v>
      </c>
      <c r="O33" s="7"/>
      <c r="Q33" s="24" t="str">
        <v>SPSC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45">
      <c r="C34" s="4" t="s">
        <v>23</v>
      </c>
      <c r="D34" s="1"/>
      <c r="E34" s="6"/>
      <c r="F34" s="6"/>
      <c r="G34" s="6"/>
      <c r="H34" s="6"/>
      <c r="I34" s="6"/>
      <c r="J34" s="6"/>
      <c r="K34" s="6"/>
      <c r="L34" s="7">
        <f>(L32-H32)*10000</f>
        <v>540.44650548135337</v>
      </c>
      <c r="M34" s="7">
        <f>(M32-I32)*10000</f>
        <v>770.52231481652188</v>
      </c>
      <c r="N34" s="7">
        <f>(N32-J32)*10000</f>
        <v>-236.90151357058653</v>
      </c>
      <c r="O34" s="7"/>
    </row>
    <row r="35" spans="1:25" x14ac:dyDescent="0.45">
      <c r="C35" s="4" t="s">
        <v>5</v>
      </c>
      <c r="D35" s="1"/>
      <c r="L35" s="12">
        <f>L31/K31-1</f>
        <v>8.2113308141142483E-2</v>
      </c>
      <c r="M35" s="12">
        <f>M31/L31-1</f>
        <v>4.1669123572537714E-2</v>
      </c>
      <c r="N35" s="12">
        <f>N31/M31-1</f>
        <v>1.7912963626872003E-2</v>
      </c>
      <c r="O35" s="12"/>
    </row>
    <row r="36" spans="1:25" x14ac:dyDescent="0.45">
      <c r="C36" s="4"/>
      <c r="D36" s="1"/>
      <c r="L36" s="7"/>
      <c r="M36" s="7"/>
      <c r="N36" s="7"/>
      <c r="O36" s="7"/>
    </row>
    <row r="37" spans="1:25" x14ac:dyDescent="0.45">
      <c r="C37" s="13"/>
      <c r="D37" s="14">
        <f t="shared" ref="D37:L37" si="8">EOMONTH(DATE(YEAR(D38),ROUNDUP(MONTH(D38)/3,0)*3,1),0)</f>
        <v>45016</v>
      </c>
      <c r="E37" s="14">
        <f t="shared" si="8"/>
        <v>45107</v>
      </c>
      <c r="F37" s="14">
        <f t="shared" si="8"/>
        <v>45199</v>
      </c>
      <c r="G37" s="14">
        <f t="shared" si="8"/>
        <v>45291</v>
      </c>
      <c r="H37" s="14">
        <f t="shared" si="8"/>
        <v>45382</v>
      </c>
      <c r="I37" s="14">
        <f t="shared" si="8"/>
        <v>45473</v>
      </c>
      <c r="J37" s="14">
        <f t="shared" si="8"/>
        <v>45565</v>
      </c>
      <c r="K37" s="14">
        <f t="shared" si="8"/>
        <v>45657</v>
      </c>
      <c r="L37" s="14">
        <f t="shared" si="8"/>
        <v>45747</v>
      </c>
      <c r="M37" s="14">
        <f>EOMONTH(DATE(YEAR(M38),ROUNDUP(MONTH(M38)/3,0)*3,1),0)</f>
        <v>45838</v>
      </c>
      <c r="N37" s="14">
        <f>EOMONTH(DATE(YEAR(N38),ROUNDUP(MONTH(N38)/3,0)*3,1),0)</f>
        <v>45930</v>
      </c>
      <c r="O37" s="14"/>
    </row>
    <row r="38" spans="1:25" x14ac:dyDescent="0.45">
      <c r="D38" s="2">
        <v>45016</v>
      </c>
      <c r="E38" s="2">
        <v>45107</v>
      </c>
      <c r="F38" s="2">
        <v>45199</v>
      </c>
      <c r="G38" s="2">
        <v>45291</v>
      </c>
      <c r="H38" s="2">
        <v>45382</v>
      </c>
      <c r="I38" s="2">
        <v>45473</v>
      </c>
      <c r="J38" s="2">
        <v>45565</v>
      </c>
      <c r="K38" s="2">
        <v>45657</v>
      </c>
      <c r="L38" s="2">
        <v>45747</v>
      </c>
      <c r="M38" s="2">
        <v>45838</v>
      </c>
      <c r="N38" s="2">
        <v>45930</v>
      </c>
      <c r="O38" s="2"/>
    </row>
    <row r="39" spans="1:25" x14ac:dyDescent="0.45">
      <c r="A39" s="16" t="s">
        <v>21</v>
      </c>
      <c r="B39" s="16" t="s">
        <v>84</v>
      </c>
      <c r="C39" s="2" t="s">
        <v>85</v>
      </c>
      <c r="D39" s="32">
        <v>12370</v>
      </c>
      <c r="E39" s="32">
        <v>12709</v>
      </c>
      <c r="F39" s="32">
        <v>13098</v>
      </c>
      <c r="G39" s="32">
        <v>13526</v>
      </c>
      <c r="H39" s="32">
        <v>14014</v>
      </c>
      <c r="I39" s="32">
        <v>13510</v>
      </c>
      <c r="J39" s="32">
        <v>13838</v>
      </c>
      <c r="K39" s="32">
        <v>14355</v>
      </c>
      <c r="L39" s="32">
        <v>13702</v>
      </c>
      <c r="M39" s="32">
        <v>13944</v>
      </c>
      <c r="N39" s="32">
        <v>14142</v>
      </c>
      <c r="O39" s="35"/>
    </row>
    <row r="40" spans="1:25" x14ac:dyDescent="0.45">
      <c r="C40" s="4"/>
      <c r="D40" s="5"/>
      <c r="E40" s="4"/>
      <c r="F40" s="4"/>
      <c r="G40" s="12"/>
      <c r="H40" s="12">
        <f t="shared" ref="H40" si="9">+H39/D39-1</f>
        <v>0.13290218270008092</v>
      </c>
      <c r="I40" s="12">
        <f t="shared" ref="I40" si="10">+I39/E39-1</f>
        <v>6.3026201904162305E-2</v>
      </c>
      <c r="J40" s="12">
        <f t="shared" ref="J40" si="11">+J39/F39-1</f>
        <v>5.6497175141242861E-2</v>
      </c>
      <c r="K40" s="12">
        <f t="shared" ref="K40" si="12">+K39/G39-1</f>
        <v>6.128936862339196E-2</v>
      </c>
      <c r="L40" s="12">
        <f t="shared" ref="L40" si="13">+L39/H39-1</f>
        <v>-2.2263450834879461E-2</v>
      </c>
      <c r="M40" s="12">
        <f t="shared" ref="M40" si="14">+M39/I39-1</f>
        <v>3.2124352331606154E-2</v>
      </c>
      <c r="N40" s="12">
        <f t="shared" ref="N40" si="15">+N39/J39-1</f>
        <v>2.1968492556727837E-2</v>
      </c>
      <c r="O40" s="7"/>
    </row>
    <row r="41" spans="1:25" x14ac:dyDescent="0.45">
      <c r="C41" s="4"/>
      <c r="D41" s="1"/>
      <c r="L41" s="7">
        <f>(L40-K40)*10000</f>
        <v>-835.52819458271426</v>
      </c>
      <c r="M41" s="7">
        <f>(M40-L40)*10000</f>
        <v>543.87803166485617</v>
      </c>
      <c r="N41" s="7">
        <f>(N40-M40)*10000</f>
        <v>-101.55859774878317</v>
      </c>
      <c r="O41" s="7"/>
    </row>
    <row r="42" spans="1:25" x14ac:dyDescent="0.45">
      <c r="C42" s="4"/>
      <c r="D42" s="1"/>
      <c r="E42" s="6"/>
      <c r="F42" s="6"/>
      <c r="G42" s="6"/>
      <c r="H42" s="6"/>
      <c r="I42" s="6"/>
      <c r="J42" s="6"/>
      <c r="K42" s="6"/>
      <c r="L42" s="7">
        <f>(L40-H40)*10000</f>
        <v>-1551.6563353496038</v>
      </c>
      <c r="M42" s="7">
        <f>(M40-I40)*10000</f>
        <v>-309.01849572556148</v>
      </c>
      <c r="N42" s="7">
        <f>(N40-J40)*10000</f>
        <v>-345.28682584515025</v>
      </c>
      <c r="O42" s="7"/>
    </row>
    <row r="43" spans="1:25" x14ac:dyDescent="0.45">
      <c r="C43" s="4"/>
      <c r="D43" s="1"/>
      <c r="L43" s="12">
        <f>L39/K39-1</f>
        <v>-4.5489376523859315E-2</v>
      </c>
      <c r="M43" s="12">
        <f>M39/L39-1</f>
        <v>1.7661655232812823E-2</v>
      </c>
      <c r="N43" s="12">
        <f>N39/M39-1</f>
        <v>1.4199655765920749E-2</v>
      </c>
      <c r="O43" s="7"/>
    </row>
    <row r="44" spans="1:25" x14ac:dyDescent="0.45">
      <c r="C44" s="4"/>
      <c r="D44" s="1"/>
      <c r="G44" s="1"/>
    </row>
    <row r="45" spans="1:25" x14ac:dyDescent="0.45"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25" x14ac:dyDescent="0.45"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25" x14ac:dyDescent="0.45">
      <c r="A47" s="16"/>
      <c r="B47" s="16"/>
      <c r="C47" s="2"/>
      <c r="D47" s="34"/>
      <c r="E47" s="34"/>
      <c r="F47" s="34"/>
      <c r="G47" s="35"/>
      <c r="H47" s="35"/>
      <c r="I47" s="35"/>
      <c r="J47" s="35"/>
      <c r="K47" s="35"/>
      <c r="L47" s="35"/>
      <c r="M47" s="35"/>
      <c r="N47" s="35"/>
      <c r="O47" s="35"/>
    </row>
    <row r="48" spans="1:25" x14ac:dyDescent="0.45">
      <c r="C48" s="4"/>
      <c r="D48" s="5"/>
      <c r="E48" s="4"/>
      <c r="F48" s="4"/>
      <c r="G48" s="4"/>
      <c r="H48" s="7"/>
      <c r="I48" s="7"/>
      <c r="J48" s="7"/>
      <c r="K48" s="7"/>
      <c r="L48" s="7"/>
      <c r="M48" s="7"/>
      <c r="N48" s="7"/>
      <c r="O48" s="7"/>
    </row>
    <row r="49" spans="1:15" x14ac:dyDescent="0.45">
      <c r="C49" s="4"/>
      <c r="D49" s="1"/>
      <c r="K49" s="7"/>
      <c r="L49" s="7"/>
      <c r="M49" s="7"/>
      <c r="N49" s="7"/>
      <c r="O49" s="7"/>
    </row>
    <row r="50" spans="1:15" x14ac:dyDescent="0.45">
      <c r="C50" s="4"/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45">
      <c r="C51" s="4"/>
      <c r="D51" s="1"/>
      <c r="K51" s="7"/>
      <c r="L51" s="7"/>
      <c r="M51" s="7"/>
      <c r="N51" s="7"/>
      <c r="O51" s="7"/>
    </row>
    <row r="52" spans="1:15" x14ac:dyDescent="0.45">
      <c r="C52" s="4"/>
      <c r="D52" s="1"/>
      <c r="G52" s="1"/>
    </row>
    <row r="53" spans="1:15" x14ac:dyDescent="0.4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4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4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4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45">
      <c r="C57" s="4"/>
      <c r="D57" s="1"/>
      <c r="K57" s="7"/>
      <c r="L57" s="7"/>
      <c r="M57" s="7"/>
      <c r="N57" s="7"/>
      <c r="O57" s="7"/>
    </row>
    <row r="58" spans="1:15" x14ac:dyDescent="0.4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45">
      <c r="C59" s="4"/>
      <c r="D59" s="1"/>
      <c r="K59" s="7"/>
      <c r="L59" s="7"/>
      <c r="M59" s="7"/>
      <c r="N59" s="7"/>
      <c r="O59" s="7"/>
    </row>
    <row r="64" spans="1:15" x14ac:dyDescent="0.4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45">
      <c r="C65" s="4"/>
      <c r="D65" s="1"/>
      <c r="K65" s="7"/>
      <c r="L65" s="7"/>
      <c r="M65" s="7"/>
      <c r="N65" s="7"/>
      <c r="O65" s="7"/>
    </row>
    <row r="66" spans="3:15" x14ac:dyDescent="0.4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4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3A390-D17E-49A2-8235-9FE00CCB4FAD}">
  <dimension ref="A1:Y67"/>
  <sheetViews>
    <sheetView topLeftCell="A15" zoomScale="85" zoomScaleNormal="85" workbookViewId="0">
      <pane xSplit="3" topLeftCell="E1" activePane="topRight" state="frozen"/>
      <selection pane="topRight" activeCell="O47" sqref="O47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6" width="10.1328125" bestFit="1" customWidth="1"/>
    <col min="7" max="7" width="10.59765625" bestFit="1" customWidth="1"/>
    <col min="8" max="10" width="10.1328125" bestFit="1" customWidth="1"/>
    <col min="11" max="11" width="10.59765625" bestFit="1" customWidth="1"/>
    <col min="12" max="12" width="10.1328125" bestFit="1" customWidth="1"/>
    <col min="13" max="15" width="10.265625" bestFit="1" customWidth="1"/>
    <col min="16" max="16" width="9" customWidth="1"/>
    <col min="17" max="17" width="12.3984375" bestFit="1" customWidth="1"/>
    <col min="18" max="18" width="14.3984375" bestFit="1" customWidth="1"/>
    <col min="19" max="19" width="8.59765625" bestFit="1" customWidth="1"/>
    <col min="20" max="20" width="20.265625" bestFit="1" customWidth="1"/>
    <col min="21" max="21" width="7.3984375" bestFit="1" customWidth="1"/>
    <col min="22" max="22" width="10.73046875" bestFit="1" customWidth="1"/>
    <col min="23" max="23" width="9.1328125" bestFit="1" customWidth="1"/>
    <col min="24" max="24" width="10.3984375" bestFit="1" customWidth="1"/>
    <col min="25" max="25" width="9.1328125" bestFit="1" customWidth="1"/>
  </cols>
  <sheetData>
    <row r="1" spans="1:25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45">
      <c r="A2" s="17" t="s">
        <v>1</v>
      </c>
      <c r="B2" s="31" t="s">
        <v>86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TENB US EQUITY</v>
      </c>
      <c r="R2" s="24">
        <f ca="1"/>
        <v>45747</v>
      </c>
      <c r="S2" s="25" t="str">
        <f ca="1"/>
        <v>canonical</v>
      </c>
      <c r="T2" s="26" t="str">
        <f ca="1"/>
        <v>revenue</v>
      </c>
      <c r="U2" s="27" t="str">
        <f ca="1"/>
        <v>239.137</v>
      </c>
      <c r="V2" s="28" t="str">
        <f ca="1"/>
        <v>0.107315672737207</v>
      </c>
      <c r="W2" s="29" t="str">
        <f ca="1"/>
        <v>21.8501537173221</v>
      </c>
      <c r="X2" s="28" t="str">
        <f ca="1"/>
        <v>-363.093199814581</v>
      </c>
      <c r="Y2" s="29" t="str">
        <f ca="1"/>
        <v>0.0144486724274704</v>
      </c>
    </row>
    <row r="3" spans="1:25" x14ac:dyDescent="0.45">
      <c r="A3" s="18" t="s">
        <v>3</v>
      </c>
      <c r="B3" s="19">
        <f ca="1">+B4-365*3</f>
        <v>45001</v>
      </c>
      <c r="Q3" s="24" t="str">
        <f ca="1"/>
        <v>TENB US EQUITY</v>
      </c>
      <c r="R3" s="24">
        <f ca="1"/>
        <v>45838</v>
      </c>
      <c r="S3" s="25" t="str">
        <f ca="1"/>
        <v>canonical</v>
      </c>
      <c r="T3" s="26" t="str">
        <f ca="1"/>
        <v>revenue</v>
      </c>
      <c r="U3" s="27" t="str">
        <f ca="1"/>
        <v>247.295</v>
      </c>
      <c r="V3" s="28" t="str">
        <f ca="1"/>
        <v>0.117762982449003</v>
      </c>
      <c r="W3" s="29" t="str">
        <f ca="1"/>
        <v>104.473097117963</v>
      </c>
      <c r="X3" s="29" t="str">
        <f ca="1"/>
        <v>-165.968280475204</v>
      </c>
      <c r="Y3" s="29" t="str">
        <f ca="1"/>
        <v>0.0341143361336806</v>
      </c>
    </row>
    <row r="4" spans="1:25" x14ac:dyDescent="0.45">
      <c r="A4" s="20" t="s">
        <v>2</v>
      </c>
      <c r="B4" s="21">
        <f ca="1">TODAY()</f>
        <v>46096</v>
      </c>
      <c r="Q4" s="24" t="str">
        <f ca="1"/>
        <v>TENB US EQUITY</v>
      </c>
      <c r="R4" s="24">
        <f ca="1"/>
        <v>45930</v>
      </c>
      <c r="S4" s="25" t="str">
        <f ca="1"/>
        <v>canonical</v>
      </c>
      <c r="T4" s="26" t="str">
        <f ca="1"/>
        <v>revenue</v>
      </c>
      <c r="U4" s="27" t="str">
        <f ca="1"/>
        <v>252.44</v>
      </c>
      <c r="V4" s="28" t="str">
        <f ca="1"/>
        <v>0.111639540618615</v>
      </c>
      <c r="W4" s="29" t="str">
        <f ca="1"/>
        <v>-61.234418303886</v>
      </c>
      <c r="X4" s="29" t="str">
        <f ca="1"/>
        <v>-151.858790480337</v>
      </c>
      <c r="Y4" s="29" t="str">
        <f ca="1"/>
        <v>0.0208051113043126</v>
      </c>
    </row>
    <row r="5" spans="1:25" x14ac:dyDescent="0.45">
      <c r="C5" s="13" t="s">
        <v>12</v>
      </c>
      <c r="D5" s="14">
        <f t="shared" ref="D5:O5" ca="1" si="0">EOMONTH(DATE(YEAR(D6),ROUNDUP(MONTH(D6)/3,0)*3,1),0)</f>
        <v>45016</v>
      </c>
      <c r="E5" s="14">
        <f t="shared" ca="1" si="0"/>
        <v>45107</v>
      </c>
      <c r="F5" s="14">
        <f t="shared" ca="1" si="0"/>
        <v>45199</v>
      </c>
      <c r="G5" s="14">
        <f t="shared" ca="1" si="0"/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t="shared" ca="1" si="0"/>
        <v>45747</v>
      </c>
      <c r="M5" s="14">
        <f t="shared" ca="1" si="0"/>
        <v>45838</v>
      </c>
      <c r="N5" s="14">
        <f t="shared" ca="1" si="0"/>
        <v>45930</v>
      </c>
      <c r="O5" s="14">
        <f t="shared" ca="1" si="0"/>
        <v>46022</v>
      </c>
      <c r="Q5" s="24" t="str">
        <f ca="1"/>
        <v>TENB US EQUITY</v>
      </c>
      <c r="R5" s="24">
        <f ca="1"/>
        <v>46022</v>
      </c>
      <c r="S5" s="25" t="str">
        <f ca="1"/>
        <v>canonical</v>
      </c>
      <c r="T5" s="26" t="str">
        <f ca="1"/>
        <v>revenue</v>
      </c>
      <c r="U5" s="27" t="str">
        <f ca="1"/>
        <v>260.533</v>
      </c>
      <c r="V5" s="28" t="str">
        <f ca="1"/>
        <v>0.105213145492108</v>
      </c>
      <c r="W5" s="29" t="str">
        <f ca="1"/>
        <v>-64.2639512650711</v>
      </c>
      <c r="X5" s="29" t="str">
        <f ca="1"/>
        <v>0.82488126632807</v>
      </c>
      <c r="Y5" s="29" t="str">
        <f ca="1"/>
        <v>0.0320591031532247</v>
      </c>
    </row>
    <row r="6" spans="1:25" x14ac:dyDescent="0.45">
      <c r="D6" s="15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TENB US EQUITY</v>
      </c>
      <c r="R6" s="24">
        <f ca="1"/>
        <v>45747</v>
      </c>
      <c r="S6" s="25" t="str">
        <f ca="1"/>
        <v>canonical</v>
      </c>
      <c r="T6" s="26" t="str">
        <f ca="1"/>
        <v>gross_margin_gaap</v>
      </c>
      <c r="U6" s="30" t="str">
        <f ca="1"/>
        <v>78.0628</v>
      </c>
      <c r="V6" s="29" t="str">
        <f ca="1"/>
        <v>72.059999999999</v>
      </c>
      <c r="W6" s="29" t="str">
        <f ca="1"/>
        <v/>
      </c>
      <c r="X6" s="29" t="str">
        <f ca="1"/>
        <v/>
      </c>
      <c r="Y6" s="29" t="str">
        <f ca="1"/>
        <v>-11.6100000000003</v>
      </c>
    </row>
    <row r="7" spans="1:25" x14ac:dyDescent="0.45">
      <c r="A7" s="16" t="s">
        <v>9</v>
      </c>
      <c r="B7" s="16" t="s">
        <v>8</v>
      </c>
      <c r="C7" s="9" t="s">
        <v>0</v>
      </c>
      <c r="D7" s="11">
        <f ca="1"/>
        <v>188.839</v>
      </c>
      <c r="E7" s="11">
        <f ca="1"/>
        <v>195.036</v>
      </c>
      <c r="F7" s="11">
        <f ca="1"/>
        <v>201.529</v>
      </c>
      <c r="G7" s="11">
        <f ca="1"/>
        <v>213.30600000000001</v>
      </c>
      <c r="H7" s="11">
        <f ca="1"/>
        <v>215.96100000000001</v>
      </c>
      <c r="I7" s="11">
        <f ca="1"/>
        <v>221.24100000000001</v>
      </c>
      <c r="J7" s="11">
        <f ca="1"/>
        <v>227.08799999999999</v>
      </c>
      <c r="K7" s="11">
        <f ca="1"/>
        <v>235.73099999999999</v>
      </c>
      <c r="L7" s="11">
        <f ca="1"/>
        <v>239.137</v>
      </c>
      <c r="M7" s="11">
        <f ca="1"/>
        <v>247.29499999999999</v>
      </c>
      <c r="N7" s="11">
        <f ca="1"/>
        <v>252.44</v>
      </c>
      <c r="O7" s="3">
        <f ca="1"/>
        <v>260.53300000000002</v>
      </c>
      <c r="P7" s="1"/>
      <c r="Q7" s="24" t="str">
        <f ca="1"/>
        <v>TENB US EQUITY</v>
      </c>
      <c r="R7" s="24">
        <f ca="1"/>
        <v>45838</v>
      </c>
      <c r="S7" s="25" t="str">
        <f ca="1"/>
        <v>canonical</v>
      </c>
      <c r="T7" s="26" t="str">
        <f ca="1"/>
        <v>gross_margin_gaap</v>
      </c>
      <c r="U7" s="30" t="str">
        <f ca="1"/>
        <v>77.9882</v>
      </c>
      <c r="V7" s="29" t="str">
        <f ca="1"/>
        <v>4.4700000000006</v>
      </c>
      <c r="W7" s="29" t="str">
        <f ca="1"/>
        <v/>
      </c>
      <c r="X7" s="29" t="str">
        <f ca="1"/>
        <v/>
      </c>
      <c r="Y7" s="29" t="str">
        <f ca="1"/>
        <v>-7.45999999999896</v>
      </c>
    </row>
    <row r="8" spans="1:25" x14ac:dyDescent="0.45">
      <c r="C8" s="4" t="s">
        <v>4</v>
      </c>
      <c r="D8" s="5"/>
      <c r="E8" s="4"/>
      <c r="F8" s="4"/>
      <c r="G8" s="12"/>
      <c r="H8" s="12">
        <f t="shared" ref="H8:O8" ca="1" si="1">+H7/D7-1</f>
        <v>0.14362499271866525</v>
      </c>
      <c r="I8" s="12">
        <f t="shared" ca="1" si="1"/>
        <v>0.13435981049652379</v>
      </c>
      <c r="J8" s="12">
        <f t="shared" ca="1" si="1"/>
        <v>0.12682541966664851</v>
      </c>
      <c r="K8" s="12">
        <f t="shared" ca="1" si="1"/>
        <v>0.10513065736547489</v>
      </c>
      <c r="L8" s="12">
        <f t="shared" ca="1" si="1"/>
        <v>0.1073156727372071</v>
      </c>
      <c r="M8" s="12">
        <f t="shared" ca="1" si="1"/>
        <v>0.11776298244900341</v>
      </c>
      <c r="N8" s="12">
        <f t="shared" ca="1" si="1"/>
        <v>0.11163954061861481</v>
      </c>
      <c r="O8" s="12">
        <f t="shared" ca="1" si="1"/>
        <v>0.1052131454921077</v>
      </c>
      <c r="P8" s="3"/>
      <c r="Q8" s="24" t="str">
        <f ca="1"/>
        <v>TENB US EQUITY</v>
      </c>
      <c r="R8" s="24">
        <f ca="1"/>
        <v>45930</v>
      </c>
      <c r="S8" s="25" t="str">
        <f ca="1"/>
        <v>canonical</v>
      </c>
      <c r="T8" s="26" t="str">
        <f ca="1"/>
        <v>gross_margin_gaap</v>
      </c>
      <c r="U8" s="30" t="str">
        <f ca="1"/>
        <v>77.5182</v>
      </c>
      <c r="V8" s="29" t="str">
        <f ca="1"/>
        <v>-24.4200000000006</v>
      </c>
      <c r="W8" s="29" t="str">
        <f ca="1"/>
        <v/>
      </c>
      <c r="X8" s="29" t="str">
        <f ca="1"/>
        <v/>
      </c>
      <c r="Y8" s="29" t="str">
        <f ca="1"/>
        <v>-47.0000000000013</v>
      </c>
    </row>
    <row r="9" spans="1:25" x14ac:dyDescent="0.45">
      <c r="C9" s="4" t="s">
        <v>19</v>
      </c>
      <c r="D9" s="1"/>
      <c r="L9" s="7">
        <f ca="1">(L8-K8)*10000</f>
        <v>21.850153717322129</v>
      </c>
      <c r="M9" s="7">
        <f ca="1">(M8-L8)*10000</f>
        <v>104.47309711796305</v>
      </c>
      <c r="N9" s="7">
        <f ca="1">(N8-M8)*10000</f>
        <v>-61.234418303885988</v>
      </c>
      <c r="O9" s="7">
        <f ca="1">(O8-N8)*10000</f>
        <v>-64.263951265071114</v>
      </c>
      <c r="Q9" s="22" t="str">
        <f ca="1"/>
        <v>TENB US EQUITY</v>
      </c>
      <c r="R9" s="24">
        <f ca="1"/>
        <v>46022</v>
      </c>
      <c r="S9" s="25" t="str">
        <f ca="1"/>
        <v>canonical</v>
      </c>
      <c r="T9" s="26" t="str">
        <f ca="1"/>
        <v>gross_margin_gaap</v>
      </c>
      <c r="U9" s="30" t="str">
        <f ca="1"/>
        <v>78.7781</v>
      </c>
      <c r="V9" s="29" t="str">
        <f ca="1"/>
        <v>59.9199999999996</v>
      </c>
      <c r="W9" s="29" t="str">
        <f ca="1"/>
        <v/>
      </c>
      <c r="X9" s="29" t="str">
        <f ca="1"/>
        <v/>
      </c>
      <c r="Y9" s="29" t="str">
        <f ca="1"/>
        <v>125.99</v>
      </c>
    </row>
    <row r="10" spans="1:25" x14ac:dyDescent="0.4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-363.09319981458145</v>
      </c>
      <c r="M10" s="7">
        <f ca="1">(M8-I8)*10000</f>
        <v>-165.96828047520384</v>
      </c>
      <c r="N10" s="7">
        <f ca="1">(N8-J8)*10000</f>
        <v>-151.85879048033701</v>
      </c>
      <c r="O10" s="7">
        <f ca="1">(O8-K8)*10000</f>
        <v>0.82488126632807024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TENB US EQUITY</v>
      </c>
      <c r="R10" s="24">
        <f ca="1"/>
        <v>45747</v>
      </c>
      <c r="S10" s="25" t="str">
        <f ca="1"/>
        <v>canonical</v>
      </c>
      <c r="T10" s="26" t="str">
        <f ca="1"/>
        <v>operating_margin_gaap</v>
      </c>
      <c r="U10" s="30" t="str">
        <f ca="1"/>
        <v>-7.4062</v>
      </c>
      <c r="V10" s="29" t="str">
        <f ca="1"/>
        <v>-327.12</v>
      </c>
      <c r="W10" s="29" t="str">
        <f ca="1"/>
        <v/>
      </c>
      <c r="X10" s="29" t="str">
        <f ca="1"/>
        <v/>
      </c>
      <c r="Y10" s="29" t="str">
        <f ca="1"/>
        <v>-1291.04</v>
      </c>
    </row>
    <row r="11" spans="1:25" x14ac:dyDescent="0.45">
      <c r="C11" s="4" t="s">
        <v>5</v>
      </c>
      <c r="D11" s="1"/>
      <c r="L11" s="12">
        <f ca="1">L7/K7-1</f>
        <v>1.4448672427470388E-2</v>
      </c>
      <c r="M11" s="12">
        <f ca="1">M7/L7-1</f>
        <v>3.4114336133680645E-2</v>
      </c>
      <c r="N11" s="12">
        <f ca="1">N7/M7-1</f>
        <v>2.0805111304312618E-2</v>
      </c>
      <c r="O11" s="12">
        <f ca="1">O7/N7-1</f>
        <v>3.2059103153224688E-2</v>
      </c>
      <c r="Q11" s="24" t="str">
        <f ca="1"/>
        <v>TENB US EQUITY</v>
      </c>
      <c r="R11" s="24">
        <f ca="1"/>
        <v>45838</v>
      </c>
      <c r="S11" s="25" t="str">
        <f ca="1"/>
        <v>canonical</v>
      </c>
      <c r="T11" s="26" t="str">
        <f ca="1"/>
        <v>operating_margin_gaap</v>
      </c>
      <c r="U11" s="30" t="str">
        <f ca="1"/>
        <v>-3.0118</v>
      </c>
      <c r="V11" s="29" t="str">
        <f ca="1"/>
        <v>97.39</v>
      </c>
      <c r="W11" s="29" t="str">
        <f ca="1"/>
        <v/>
      </c>
      <c r="X11" s="29" t="str">
        <f ca="1"/>
        <v/>
      </c>
      <c r="Y11" s="29" t="str">
        <f ca="1"/>
        <v>439.44</v>
      </c>
    </row>
    <row r="12" spans="1:25" x14ac:dyDescent="0.45">
      <c r="Q12" s="24" t="str">
        <f ca="1"/>
        <v>TENB US EQUITY</v>
      </c>
      <c r="R12" s="24">
        <f ca="1"/>
        <v>45930</v>
      </c>
      <c r="S12" s="25" t="str">
        <f ca="1"/>
        <v>canonical</v>
      </c>
      <c r="T12" s="26" t="str">
        <f ca="1"/>
        <v>operating_margin_gaap</v>
      </c>
      <c r="U12" s="30" t="str">
        <f ca="1"/>
        <v>2.8268</v>
      </c>
      <c r="V12" s="29" t="str">
        <f ca="1"/>
        <v>374.41</v>
      </c>
      <c r="W12" s="29" t="str">
        <f ca="1"/>
        <v/>
      </c>
      <c r="X12" s="29" t="str">
        <f ca="1"/>
        <v/>
      </c>
      <c r="Y12" s="29" t="str">
        <f ca="1"/>
        <v>583.86</v>
      </c>
    </row>
    <row r="13" spans="1:25" x14ac:dyDescent="0.45">
      <c r="C13" s="13" t="s">
        <v>12</v>
      </c>
      <c r="D13" s="14">
        <f t="shared" ref="D13:O13" ca="1" si="2">EOMONTH(DATE(YEAR(D14),ROUNDUP(MONTH(D14)/3,0)*3,1),0)</f>
        <v>45016</v>
      </c>
      <c r="E13" s="14">
        <f t="shared" ca="1" si="2"/>
        <v>45107</v>
      </c>
      <c r="F13" s="14">
        <f t="shared" ca="1" si="2"/>
        <v>45199</v>
      </c>
      <c r="G13" s="14">
        <f t="shared" ca="1" si="2"/>
        <v>45291</v>
      </c>
      <c r="H13" s="14">
        <f t="shared" ca="1" si="2"/>
        <v>45382</v>
      </c>
      <c r="I13" s="14">
        <f t="shared" ca="1" si="2"/>
        <v>45473</v>
      </c>
      <c r="J13" s="14">
        <f t="shared" ca="1" si="2"/>
        <v>45565</v>
      </c>
      <c r="K13" s="14">
        <f t="shared" ca="1" si="2"/>
        <v>45657</v>
      </c>
      <c r="L13" s="14">
        <f t="shared" ca="1" si="2"/>
        <v>45747</v>
      </c>
      <c r="M13" s="14">
        <f t="shared" ca="1" si="2"/>
        <v>45838</v>
      </c>
      <c r="N13" s="14">
        <f t="shared" ca="1" si="2"/>
        <v>45930</v>
      </c>
      <c r="O13" s="14">
        <f t="shared" ca="1" si="2"/>
        <v>46022</v>
      </c>
      <c r="Q13" s="24" t="str">
        <f ca="1"/>
        <v>TENB US EQUITY</v>
      </c>
      <c r="R13" s="24">
        <f ca="1"/>
        <v>46022</v>
      </c>
      <c r="S13" s="25" t="str">
        <f ca="1"/>
        <v>canonical</v>
      </c>
      <c r="T13" s="26" t="str">
        <f ca="1"/>
        <v>operating_margin_gaap</v>
      </c>
      <c r="U13" s="30" t="str">
        <f ca="1"/>
        <v>3.3988</v>
      </c>
      <c r="V13" s="29" t="str">
        <f ca="1"/>
        <v>-210.54</v>
      </c>
      <c r="W13" s="29" t="str">
        <f ca="1"/>
        <v/>
      </c>
      <c r="X13" s="29" t="str">
        <f ca="1"/>
        <v/>
      </c>
      <c r="Y13" s="29" t="str">
        <f ca="1"/>
        <v>57.2</v>
      </c>
    </row>
    <row r="14" spans="1:25" x14ac:dyDescent="0.4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TENB US EQUITY</v>
      </c>
      <c r="R14" s="24">
        <v>45747</v>
      </c>
      <c r="S14" s="25" t="str">
        <v>custom</v>
      </c>
      <c r="T14" s="26" t="str">
        <v>current_billings</v>
      </c>
      <c r="U14" s="30" t="str">
        <v>215.36</v>
      </c>
      <c r="V14" s="29" t="str">
        <v>0.0890132839798341</v>
      </c>
      <c r="W14" s="29" t="str">
        <v>-234.629229763863</v>
      </c>
      <c r="X14" s="29" t="str">
        <v>-295.217838934689</v>
      </c>
      <c r="Y14" s="29" t="str">
        <v>-0.28727210148165</v>
      </c>
    </row>
    <row r="15" spans="1:25" x14ac:dyDescent="0.45">
      <c r="A15" s="16" t="s">
        <v>9</v>
      </c>
      <c r="B15" s="16" t="s">
        <v>14</v>
      </c>
      <c r="C15" s="9" t="s">
        <v>6</v>
      </c>
      <c r="D15" s="3">
        <f ca="1"/>
        <v>75.902199999999993</v>
      </c>
      <c r="E15" s="3">
        <f ca="1"/>
        <v>77.6892</v>
      </c>
      <c r="F15" s="3">
        <f ca="1"/>
        <v>77.296599999999998</v>
      </c>
      <c r="G15" s="3">
        <f ca="1"/>
        <v>77.120699999999999</v>
      </c>
      <c r="H15" s="3">
        <f ca="1"/>
        <v>77.342200000000005</v>
      </c>
      <c r="I15" s="3">
        <f ca="1"/>
        <v>77.9435</v>
      </c>
      <c r="J15" s="3">
        <f ca="1"/>
        <v>77.7624</v>
      </c>
      <c r="K15" s="3">
        <f ca="1"/>
        <v>78.178899999999999</v>
      </c>
      <c r="L15" s="3">
        <f ca="1"/>
        <v>78.062799999999996</v>
      </c>
      <c r="M15" s="3">
        <f ca="1"/>
        <v>77.988200000000006</v>
      </c>
      <c r="N15" s="3">
        <f ca="1"/>
        <v>77.518199999999993</v>
      </c>
      <c r="O15">
        <f ca="1"/>
        <v>78.778099999999995</v>
      </c>
      <c r="Q15" s="24" t="str">
        <v>TENB US EQUITY</v>
      </c>
      <c r="R15" s="24">
        <v>45838</v>
      </c>
      <c r="S15" s="25" t="str">
        <v>custom</v>
      </c>
      <c r="T15" s="26" t="str">
        <v>current_billings</v>
      </c>
      <c r="U15" s="30" t="str">
        <v>238.619</v>
      </c>
      <c r="V15" s="29" t="str">
        <v>0.0784893312181079</v>
      </c>
      <c r="W15" s="29" t="str">
        <v>-105.239527617262</v>
      </c>
      <c r="X15" s="29" t="str">
        <v>-268.968867386163</v>
      </c>
      <c r="Y15" s="29" t="str">
        <v>0.108000557206537</v>
      </c>
    </row>
    <row r="16" spans="1:25" x14ac:dyDescent="0.45">
      <c r="C16" s="4" t="s">
        <v>4</v>
      </c>
      <c r="D16" s="5"/>
      <c r="E16" s="4"/>
      <c r="F16" s="4"/>
      <c r="G16" s="4"/>
      <c r="H16" s="7">
        <f t="shared" ref="H16:O16" ca="1" si="3">(H15-D15)*100</f>
        <v>144.00000000000119</v>
      </c>
      <c r="I16" s="7">
        <f t="shared" ca="1" si="3"/>
        <v>25.430000000000064</v>
      </c>
      <c r="J16" s="7">
        <f t="shared" ca="1" si="3"/>
        <v>46.580000000000155</v>
      </c>
      <c r="K16" s="7">
        <f t="shared" ca="1" si="3"/>
        <v>105.81999999999994</v>
      </c>
      <c r="L16" s="7">
        <f t="shared" ca="1" si="3"/>
        <v>72.059999999999036</v>
      </c>
      <c r="M16" s="7">
        <f t="shared" ca="1" si="3"/>
        <v>4.4700000000005957</v>
      </c>
      <c r="N16" s="7">
        <f t="shared" ca="1" si="3"/>
        <v>-24.420000000000641</v>
      </c>
      <c r="O16" s="7">
        <f t="shared" ca="1" si="3"/>
        <v>59.919999999999618</v>
      </c>
      <c r="Q16" s="24" t="str">
        <v>TENB US EQUITY</v>
      </c>
      <c r="R16" s="24">
        <v>45930</v>
      </c>
      <c r="S16" s="25" t="str">
        <v>custom</v>
      </c>
      <c r="T16" s="26" t="str">
        <v>current_billings</v>
      </c>
      <c r="U16" s="30" t="str">
        <v>267.506</v>
      </c>
      <c r="V16" s="29" t="str">
        <v>0.076738541545075</v>
      </c>
      <c r="W16" s="29" t="str">
        <v>-17.5078967303288</v>
      </c>
      <c r="X16" s="29" t="str">
        <v>-289.080481604023</v>
      </c>
      <c r="Y16" s="29" t="str">
        <v>0.121059094204569</v>
      </c>
    </row>
    <row r="17" spans="1:25" x14ac:dyDescent="0.45">
      <c r="C17" s="4" t="s">
        <v>19</v>
      </c>
      <c r="D17" s="1"/>
      <c r="K17" s="7"/>
      <c r="L17" s="7"/>
      <c r="M17" s="7"/>
      <c r="N17" s="7"/>
      <c r="O17" s="7"/>
      <c r="Q17" s="24" t="str">
        <v>TENB US EQUITY</v>
      </c>
      <c r="R17" s="24">
        <v>46022</v>
      </c>
      <c r="S17" s="25" t="str">
        <v>custom</v>
      </c>
      <c r="T17" s="26" t="str">
        <v>current_billings</v>
      </c>
      <c r="U17" s="30" t="str">
        <v>327.785</v>
      </c>
      <c r="V17" s="29" t="str">
        <v>0.0847952926069706</v>
      </c>
      <c r="W17" s="29" t="str">
        <v>80.5675106189563</v>
      </c>
      <c r="X17" s="29" t="str">
        <v>-276.809143492498</v>
      </c>
      <c r="Y17" s="29" t="str">
        <v>0.225337001786876</v>
      </c>
    </row>
    <row r="18" spans="1:25" x14ac:dyDescent="0.4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TENB US EQUITY</v>
      </c>
      <c r="R18" s="24">
        <v>45747</v>
      </c>
      <c r="S18" s="25" t="str">
        <v>custom</v>
      </c>
      <c r="T18" s="26" t="str">
        <v>dbner_pct</v>
      </c>
      <c r="U18" s="30" t="str">
        <v>1.08</v>
      </c>
      <c r="V18" s="29" t="str">
        <v>-100</v>
      </c>
      <c r="W18" s="29" t="str">
        <v/>
      </c>
      <c r="X18" s="29" t="str">
        <v/>
      </c>
      <c r="Y18" s="29" t="str">
        <v>0</v>
      </c>
    </row>
    <row r="19" spans="1:25" x14ac:dyDescent="0.45">
      <c r="C19" s="4" t="s">
        <v>5</v>
      </c>
      <c r="D19" s="1"/>
      <c r="K19" s="7"/>
      <c r="L19" s="7">
        <f ca="1">(L15-K15)*100</f>
        <v>-11.610000000000298</v>
      </c>
      <c r="M19" s="7">
        <f ca="1">(M15-L15)*100</f>
        <v>-7.4599999999989564</v>
      </c>
      <c r="N19" s="7">
        <f ca="1">(N15-M15)*100</f>
        <v>-47.000000000001307</v>
      </c>
      <c r="O19" s="7">
        <f ca="1">(O15-N15)*100</f>
        <v>125.99000000000018</v>
      </c>
      <c r="Q19" s="24" t="str">
        <v>TENB US EQUITY</v>
      </c>
      <c r="R19" s="24">
        <v>45838</v>
      </c>
      <c r="S19" s="25" t="str">
        <v>custom</v>
      </c>
      <c r="T19" s="26" t="str">
        <v>dbner_pct</v>
      </c>
      <c r="U19" s="30" t="str">
        <v>1.07</v>
      </c>
      <c r="V19" s="29" t="str">
        <v>-200</v>
      </c>
      <c r="W19" s="29" t="str">
        <v/>
      </c>
      <c r="X19" s="29" t="str">
        <v/>
      </c>
      <c r="Y19" s="29" t="str">
        <v>-100</v>
      </c>
    </row>
    <row r="20" spans="1:25" x14ac:dyDescent="0.45">
      <c r="Q20" s="24" t="str">
        <v>TENB US EQUITY</v>
      </c>
      <c r="R20" s="24">
        <v>45930</v>
      </c>
      <c r="S20" s="25" t="str">
        <v>custom</v>
      </c>
      <c r="T20" s="26" t="str">
        <v>dbner_pct</v>
      </c>
      <c r="U20" s="30" t="str">
        <v>1.06</v>
      </c>
      <c r="V20" s="29" t="str">
        <v>-200</v>
      </c>
      <c r="W20" s="29" t="str">
        <v/>
      </c>
      <c r="X20" s="29" t="str">
        <v/>
      </c>
      <c r="Y20" s="29" t="str">
        <v>-100</v>
      </c>
    </row>
    <row r="21" spans="1:25" x14ac:dyDescent="0.45">
      <c r="C21" s="13" t="s">
        <v>12</v>
      </c>
      <c r="D21" s="14">
        <f t="shared" ref="D21:O21" ca="1" si="4">EOMONTH(DATE(YEAR(D22),ROUNDUP(MONTH(D22)/3,0)*3,1),0)</f>
        <v>45016</v>
      </c>
      <c r="E21" s="14">
        <f t="shared" ca="1" si="4"/>
        <v>45107</v>
      </c>
      <c r="F21" s="14">
        <f t="shared" ca="1" si="4"/>
        <v>45199</v>
      </c>
      <c r="G21" s="14">
        <f t="shared" ca="1" si="4"/>
        <v>45291</v>
      </c>
      <c r="H21" s="14">
        <f t="shared" ca="1" si="4"/>
        <v>45382</v>
      </c>
      <c r="I21" s="14">
        <f t="shared" ca="1" si="4"/>
        <v>45473</v>
      </c>
      <c r="J21" s="14">
        <f t="shared" ca="1" si="4"/>
        <v>45565</v>
      </c>
      <c r="K21" s="14">
        <f t="shared" ca="1" si="4"/>
        <v>45657</v>
      </c>
      <c r="L21" s="14">
        <f t="shared" ca="1" si="4"/>
        <v>45747</v>
      </c>
      <c r="M21" s="14">
        <f t="shared" ca="1" si="4"/>
        <v>45838</v>
      </c>
      <c r="N21" s="14">
        <f t="shared" ca="1" si="4"/>
        <v>45930</v>
      </c>
      <c r="O21" s="14">
        <f t="shared" ca="1" si="4"/>
        <v>46022</v>
      </c>
      <c r="Q21" s="24" t="str">
        <v>TENB US EQUITY</v>
      </c>
      <c r="R21" s="24">
        <v>46022</v>
      </c>
      <c r="S21" s="25" t="str">
        <v>custom</v>
      </c>
      <c r="T21" s="26" t="str">
        <v>dbner_pct</v>
      </c>
      <c r="U21" s="30" t="str">
        <v>1.06</v>
      </c>
      <c r="V21" s="29" t="str">
        <v>-200</v>
      </c>
      <c r="W21" s="29" t="str">
        <v/>
      </c>
      <c r="X21" s="29" t="str">
        <v/>
      </c>
      <c r="Y21" s="29" t="str">
        <v>0</v>
      </c>
    </row>
    <row r="22" spans="1:25" x14ac:dyDescent="0.45">
      <c r="D22" s="1" cm="1">
        <f t="array" aca="1" ref="D22:O23" ca="1">+_xll.BDH($B$2,C23,$B$3,$B$4,"DIR=H")</f>
        <v>45016</v>
      </c>
      <c r="E22" s="1">
        <f ca="1"/>
        <v>45107</v>
      </c>
      <c r="F22" s="1">
        <f ca="1"/>
        <v>45199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45565</v>
      </c>
      <c r="K22" s="1">
        <f ca="1"/>
        <v>45657</v>
      </c>
      <c r="L22" s="1">
        <f ca="1"/>
        <v>45747</v>
      </c>
      <c r="M22" s="1">
        <f ca="1"/>
        <v>45838</v>
      </c>
      <c r="N22" s="1">
        <f ca="1"/>
        <v>45930</v>
      </c>
      <c r="O22" s="1">
        <f ca="1"/>
        <v>46022</v>
      </c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TENB US EQUITY</v>
      </c>
      <c r="R22" s="24">
        <v>45747</v>
      </c>
      <c r="S22" s="25" t="str">
        <v>custom</v>
      </c>
      <c r="T22" s="26" t="str">
        <v>customers_100K</v>
      </c>
      <c r="U22" s="27" t="str">
        <v>2042</v>
      </c>
      <c r="V22" s="28" t="str">
        <v>0.189283634245778</v>
      </c>
      <c r="W22" s="29" t="str">
        <v>341.412751522272</v>
      </c>
      <c r="X22" s="28" t="str">
        <v>2.25462500625273</v>
      </c>
      <c r="Y22" s="29" t="str">
        <v>0.0271629778672031</v>
      </c>
    </row>
    <row r="23" spans="1:25" x14ac:dyDescent="0.45">
      <c r="A23" s="16" t="s">
        <v>9</v>
      </c>
      <c r="B23" s="16" t="s">
        <v>15</v>
      </c>
      <c r="C23" s="9" t="s">
        <v>7</v>
      </c>
      <c r="D23" s="3">
        <f ca="1"/>
        <v>-10.1441</v>
      </c>
      <c r="E23" s="3">
        <f ca="1"/>
        <v>-5.5091999999999999</v>
      </c>
      <c r="F23" s="3">
        <f ca="1"/>
        <v>-3.9264999999999999</v>
      </c>
      <c r="G23" s="3">
        <f ca="1"/>
        <v>-6.7255000000000003</v>
      </c>
      <c r="H23" s="3">
        <f ca="1"/>
        <v>-4.1349999999999998</v>
      </c>
      <c r="I23" s="3">
        <f ca="1"/>
        <v>-3.9857</v>
      </c>
      <c r="J23" s="3">
        <f ca="1"/>
        <v>-0.9173</v>
      </c>
      <c r="K23" s="3">
        <f ca="1"/>
        <v>5.5042</v>
      </c>
      <c r="L23" s="3">
        <f ca="1"/>
        <v>-7.4062000000000001</v>
      </c>
      <c r="M23" s="3">
        <f ca="1"/>
        <v>-3.0118</v>
      </c>
      <c r="N23" s="3">
        <f ca="1"/>
        <v>2.8268</v>
      </c>
      <c r="O23" s="3">
        <f ca="1"/>
        <v>3.3988</v>
      </c>
      <c r="Q23" s="24" t="str">
        <v>TENB US EQUITY</v>
      </c>
      <c r="R23" s="24">
        <v>45838</v>
      </c>
      <c r="S23" s="25" t="str">
        <v>custom</v>
      </c>
      <c r="T23" s="26" t="str">
        <v>customers_100K</v>
      </c>
      <c r="U23" s="27" t="str">
        <v>2118</v>
      </c>
      <c r="V23" s="28" t="str">
        <v>0.181260457334077</v>
      </c>
      <c r="W23" s="29" t="str">
        <v>-80.2317691170051</v>
      </c>
      <c r="X23" s="28" t="str">
        <v>-85.2056456373318</v>
      </c>
      <c r="Y23" s="29" t="str">
        <v>0.0372184133202742</v>
      </c>
    </row>
    <row r="24" spans="1:25" x14ac:dyDescent="0.45">
      <c r="C24" s="4" t="s">
        <v>4</v>
      </c>
      <c r="D24" s="5"/>
      <c r="E24" s="4"/>
      <c r="F24" s="4"/>
      <c r="G24" s="4"/>
      <c r="H24" s="7">
        <f t="shared" ref="H24:O24" ca="1" si="5">(H23-D23)*100</f>
        <v>600.91</v>
      </c>
      <c r="I24" s="7">
        <f t="shared" ca="1" si="5"/>
        <v>152.35</v>
      </c>
      <c r="J24" s="7">
        <f t="shared" ca="1" si="5"/>
        <v>300.91999999999996</v>
      </c>
      <c r="K24" s="7">
        <f t="shared" ca="1" si="5"/>
        <v>1222.97</v>
      </c>
      <c r="L24" s="7">
        <f t="shared" ca="1" si="5"/>
        <v>-327.12</v>
      </c>
      <c r="M24" s="7">
        <f t="shared" ca="1" si="5"/>
        <v>97.39</v>
      </c>
      <c r="N24" s="7">
        <f t="shared" ca="1" si="5"/>
        <v>374.41</v>
      </c>
      <c r="O24" s="7">
        <f t="shared" ca="1" si="5"/>
        <v>-210.54</v>
      </c>
      <c r="Q24" s="24" t="str">
        <v>TENB US EQUITY</v>
      </c>
      <c r="R24" s="24">
        <v>45930</v>
      </c>
      <c r="S24" s="25" t="str">
        <v>custom</v>
      </c>
      <c r="T24" s="26" t="str">
        <v>customers_100K</v>
      </c>
      <c r="U24" s="27" t="str">
        <v>2156</v>
      </c>
      <c r="V24" s="28" t="str">
        <v>0.163518618456557</v>
      </c>
      <c r="W24" s="29" t="str">
        <v>-177.418388775201</v>
      </c>
      <c r="X24" s="28" t="str">
        <v>-205.069406488745</v>
      </c>
      <c r="Y24" s="29" t="str">
        <v>0.0179414542020775</v>
      </c>
    </row>
    <row r="25" spans="1:25" x14ac:dyDescent="0.45">
      <c r="C25" s="4" t="s">
        <v>19</v>
      </c>
      <c r="D25" s="1"/>
      <c r="K25" s="7"/>
      <c r="L25" s="7"/>
      <c r="M25" s="7"/>
      <c r="N25" s="7"/>
      <c r="O25" s="7"/>
      <c r="Q25" s="24" t="str">
        <v>TENB US EQUITY</v>
      </c>
      <c r="R25" s="24">
        <v>46022</v>
      </c>
      <c r="S25" s="25" t="str">
        <v>custom</v>
      </c>
      <c r="T25" s="26" t="str">
        <v>customers_100K</v>
      </c>
      <c r="U25" s="27" t="str">
        <v>2161</v>
      </c>
      <c r="V25" s="28" t="str">
        <v>0.0870221327967806</v>
      </c>
      <c r="W25" s="29" t="str">
        <v>-764.964856597763</v>
      </c>
      <c r="X25" s="28" t="str">
        <v>-681.202262967697</v>
      </c>
      <c r="Y25" s="29" t="str">
        <v>0.00231910946196656</v>
      </c>
    </row>
    <row r="26" spans="1:25" x14ac:dyDescent="0.4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TENB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45">
      <c r="C27" s="4" t="s">
        <v>5</v>
      </c>
      <c r="D27" s="1"/>
      <c r="K27" s="7"/>
      <c r="L27" s="7">
        <f ca="1">(L23-K23)*100</f>
        <v>-1291.04</v>
      </c>
      <c r="M27" s="7">
        <f ca="1">(M23-L23)*100</f>
        <v>439.44</v>
      </c>
      <c r="N27" s="7">
        <f ca="1">(N23-M23)*100</f>
        <v>583.8599999999999</v>
      </c>
      <c r="O27" s="7">
        <f ca="1">(O23-N23)*100</f>
        <v>57.2</v>
      </c>
      <c r="Q27" s="24" t="str">
        <v>TENB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45">
      <c r="C28" s="4"/>
      <c r="D28" s="1"/>
      <c r="K28" s="7"/>
      <c r="L28" s="7"/>
      <c r="M28" s="7"/>
      <c r="N28" s="7"/>
      <c r="O28" s="7"/>
      <c r="Q28" s="24" t="str">
        <v>TENB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45">
      <c r="C29" s="13"/>
      <c r="D29" s="14">
        <f t="shared" ref="D29:L29" si="6">EOMONTH(DATE(YEAR(D30),ROUNDUP(MONTH(D30)/3,0)*3,1),0)</f>
        <v>45016</v>
      </c>
      <c r="E29" s="14">
        <f t="shared" si="6"/>
        <v>45107</v>
      </c>
      <c r="F29" s="14">
        <f t="shared" si="6"/>
        <v>45199</v>
      </c>
      <c r="G29" s="14">
        <f t="shared" si="6"/>
        <v>45291</v>
      </c>
      <c r="H29" s="14">
        <f t="shared" si="6"/>
        <v>45382</v>
      </c>
      <c r="I29" s="14">
        <f t="shared" si="6"/>
        <v>45473</v>
      </c>
      <c r="J29" s="14">
        <f t="shared" si="6"/>
        <v>45565</v>
      </c>
      <c r="K29" s="14">
        <f t="shared" si="6"/>
        <v>45657</v>
      </c>
      <c r="L29" s="14">
        <f t="shared" si="6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TENB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45">
      <c r="D30" s="2">
        <v>45016</v>
      </c>
      <c r="E30" s="2">
        <v>45107</v>
      </c>
      <c r="F30" s="2">
        <v>45199</v>
      </c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TENB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45">
      <c r="A31" s="16" t="s">
        <v>21</v>
      </c>
      <c r="B31" s="16" t="s">
        <v>103</v>
      </c>
      <c r="C31" s="2" t="s">
        <v>104</v>
      </c>
      <c r="D31" s="32">
        <v>176.80000000000004</v>
      </c>
      <c r="E31" s="32">
        <v>200.15899999999999</v>
      </c>
      <c r="F31" s="32">
        <v>224.70199999999994</v>
      </c>
      <c r="G31" s="32">
        <v>271.613</v>
      </c>
      <c r="H31" s="32">
        <v>197.75700000000003</v>
      </c>
      <c r="I31" s="32">
        <v>221.25299999999996</v>
      </c>
      <c r="J31" s="32">
        <v>248.44100000000006</v>
      </c>
      <c r="K31" s="32">
        <v>302.1629999999999</v>
      </c>
      <c r="L31" s="32">
        <v>215.36000000000007</v>
      </c>
      <c r="M31" s="32">
        <v>238.61899999999997</v>
      </c>
      <c r="N31" s="32">
        <v>267.50600000000003</v>
      </c>
      <c r="O31" s="32">
        <v>327.78499999999997</v>
      </c>
      <c r="Q31" s="24" t="str">
        <v>TENB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45">
      <c r="C32" s="4" t="s">
        <v>4</v>
      </c>
      <c r="D32" s="5"/>
      <c r="E32" s="4"/>
      <c r="F32" s="4"/>
      <c r="G32" s="12"/>
      <c r="H32" s="12">
        <f t="shared" ref="H32:O32" si="7">+H31/D31-1</f>
        <v>0.11853506787330303</v>
      </c>
      <c r="I32" s="12">
        <f t="shared" si="7"/>
        <v>0.1053862179567242</v>
      </c>
      <c r="J32" s="12">
        <f t="shared" si="7"/>
        <v>0.10564658970547725</v>
      </c>
      <c r="K32" s="12">
        <f t="shared" si="7"/>
        <v>0.1124762069562204</v>
      </c>
      <c r="L32" s="12">
        <f t="shared" si="7"/>
        <v>8.9013283979834101E-2</v>
      </c>
      <c r="M32" s="12">
        <f t="shared" si="7"/>
        <v>7.8489331218107861E-2</v>
      </c>
      <c r="N32" s="12">
        <f t="shared" si="7"/>
        <v>7.6738541545074979E-2</v>
      </c>
      <c r="O32" s="12">
        <f t="shared" si="7"/>
        <v>8.4795292606970607E-2</v>
      </c>
      <c r="Q32" s="24" t="str">
        <v>TENB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45">
      <c r="C33" s="4" t="s">
        <v>19</v>
      </c>
      <c r="D33" s="1"/>
      <c r="L33" s="7">
        <f>(L32-K32)*10000</f>
        <v>-234.62922976386301</v>
      </c>
      <c r="M33" s="7">
        <f>(M32-L32)*10000</f>
        <v>-105.23952761726241</v>
      </c>
      <c r="N33" s="7">
        <f>(N32-M32)*10000</f>
        <v>-17.50789673032882</v>
      </c>
      <c r="O33" s="7">
        <f>(O32-N32)*10000</f>
        <v>80.567510618956277</v>
      </c>
      <c r="Q33" s="24" t="str">
        <v>TENB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45">
      <c r="C34" s="4" t="s">
        <v>23</v>
      </c>
      <c r="D34" s="1"/>
      <c r="E34" s="6"/>
      <c r="F34" s="6"/>
      <c r="G34" s="6"/>
      <c r="H34" s="6"/>
      <c r="I34" s="6"/>
      <c r="J34" s="6"/>
      <c r="K34" s="6"/>
      <c r="L34" s="7">
        <f>(L32-H32)*10000</f>
        <v>-295.21783893468933</v>
      </c>
      <c r="M34" s="7">
        <f>(M32-I32)*10000</f>
        <v>-268.96886738616342</v>
      </c>
      <c r="N34" s="7">
        <f>(N32-J32)*10000</f>
        <v>-289.08048160402268</v>
      </c>
      <c r="O34" s="7">
        <f>(O32-K32)*10000</f>
        <v>-276.80914349249798</v>
      </c>
    </row>
    <row r="35" spans="1:25" x14ac:dyDescent="0.45">
      <c r="C35" s="4" t="s">
        <v>5</v>
      </c>
      <c r="D35" s="1"/>
      <c r="L35" s="12">
        <f>L31/K31-1</f>
        <v>-0.28727210148165017</v>
      </c>
      <c r="M35" s="12">
        <f>M31/L31-1</f>
        <v>0.10800055720653745</v>
      </c>
      <c r="N35" s="12">
        <f>N31/M31-1</f>
        <v>0.12105909420456906</v>
      </c>
      <c r="O35" s="12">
        <f>O31/N31-1</f>
        <v>0.22533700178687566</v>
      </c>
    </row>
    <row r="36" spans="1:25" x14ac:dyDescent="0.45">
      <c r="C36" s="4"/>
      <c r="D36" s="1"/>
      <c r="L36" s="7"/>
      <c r="M36" s="7"/>
      <c r="N36" s="7"/>
      <c r="O36" s="7"/>
    </row>
    <row r="37" spans="1:25" x14ac:dyDescent="0.45">
      <c r="C37" s="13"/>
      <c r="D37" s="14">
        <f t="shared" ref="D37:L37" si="8">EOMONTH(DATE(YEAR(D38),ROUNDUP(MONTH(D38)/3,0)*3,1),0)</f>
        <v>45016</v>
      </c>
      <c r="E37" s="14">
        <f t="shared" si="8"/>
        <v>45107</v>
      </c>
      <c r="F37" s="14">
        <f t="shared" si="8"/>
        <v>45199</v>
      </c>
      <c r="G37" s="14">
        <f t="shared" si="8"/>
        <v>45291</v>
      </c>
      <c r="H37" s="14">
        <f t="shared" si="8"/>
        <v>45382</v>
      </c>
      <c r="I37" s="14">
        <f t="shared" si="8"/>
        <v>45473</v>
      </c>
      <c r="J37" s="14">
        <f t="shared" si="8"/>
        <v>45565</v>
      </c>
      <c r="K37" s="14">
        <f t="shared" si="8"/>
        <v>45657</v>
      </c>
      <c r="L37" s="14">
        <f t="shared" si="8"/>
        <v>45747</v>
      </c>
      <c r="M37" s="14">
        <f>EOMONTH(DATE(YEAR(M38),ROUNDUP(MONTH(M38)/3,0)*3,1),0)</f>
        <v>45838</v>
      </c>
      <c r="N37" s="14">
        <f>EOMONTH(DATE(YEAR(N38),ROUNDUP(MONTH(N38)/3,0)*3,1),0)</f>
        <v>45930</v>
      </c>
      <c r="O37" s="14">
        <f>EOMONTH(DATE(YEAR(O38),ROUNDUP(MONTH(O38)/3,0)*3,1),0)</f>
        <v>46022</v>
      </c>
    </row>
    <row r="38" spans="1:25" x14ac:dyDescent="0.45">
      <c r="D38" s="2">
        <v>45016</v>
      </c>
      <c r="E38" s="2">
        <v>45107</v>
      </c>
      <c r="F38" s="2">
        <v>45199</v>
      </c>
      <c r="G38" s="2">
        <v>45291</v>
      </c>
      <c r="H38" s="2">
        <v>45382</v>
      </c>
      <c r="I38" s="2">
        <v>45473</v>
      </c>
      <c r="J38" s="2">
        <v>45565</v>
      </c>
      <c r="K38" s="2">
        <v>45657</v>
      </c>
      <c r="L38" s="2">
        <v>45747</v>
      </c>
      <c r="M38" s="2">
        <v>45838</v>
      </c>
      <c r="N38" s="2">
        <v>45930</v>
      </c>
      <c r="O38" s="2">
        <v>46022</v>
      </c>
    </row>
    <row r="39" spans="1:25" x14ac:dyDescent="0.45">
      <c r="A39" s="16" t="s">
        <v>21</v>
      </c>
      <c r="B39" s="16" t="s">
        <v>89</v>
      </c>
      <c r="C39" s="2" t="s">
        <v>88</v>
      </c>
      <c r="D39" s="34">
        <v>1.1299999999999999</v>
      </c>
      <c r="E39" s="34">
        <v>1.1100000000000001</v>
      </c>
      <c r="F39" s="34">
        <v>1.1100000000000001</v>
      </c>
      <c r="G39" s="35">
        <v>1.1100000000000001</v>
      </c>
      <c r="H39" s="35">
        <v>1.0900000000000001</v>
      </c>
      <c r="I39" s="35">
        <v>1.0900000000000001</v>
      </c>
      <c r="J39" s="35">
        <v>1.08</v>
      </c>
      <c r="K39" s="35">
        <v>1.08</v>
      </c>
      <c r="L39" s="35">
        <v>1.08</v>
      </c>
      <c r="M39" s="35">
        <v>1.07</v>
      </c>
      <c r="N39" s="35">
        <v>1.06</v>
      </c>
      <c r="O39" s="35">
        <v>1.06</v>
      </c>
    </row>
    <row r="40" spans="1:25" x14ac:dyDescent="0.45">
      <c r="C40" s="4"/>
      <c r="D40" s="5"/>
      <c r="E40" s="4"/>
      <c r="F40" s="4"/>
      <c r="G40" s="12"/>
      <c r="H40" s="7">
        <f t="shared" ref="H40:O40" si="9">(H39-D39)*10000</f>
        <v>-399.99999999999812</v>
      </c>
      <c r="I40" s="7">
        <f t="shared" si="9"/>
        <v>-200.00000000000017</v>
      </c>
      <c r="J40" s="7">
        <f t="shared" si="9"/>
        <v>-300.00000000000028</v>
      </c>
      <c r="K40" s="7">
        <f t="shared" si="9"/>
        <v>-300.00000000000028</v>
      </c>
      <c r="L40" s="7">
        <f t="shared" si="9"/>
        <v>-100.00000000000009</v>
      </c>
      <c r="M40" s="7">
        <f t="shared" si="9"/>
        <v>-200.00000000000017</v>
      </c>
      <c r="N40" s="7">
        <f t="shared" si="9"/>
        <v>-200.00000000000017</v>
      </c>
      <c r="O40" s="7">
        <f t="shared" si="9"/>
        <v>-200.00000000000017</v>
      </c>
    </row>
    <row r="41" spans="1:25" x14ac:dyDescent="0.45">
      <c r="C41" s="4"/>
      <c r="D41" s="1"/>
      <c r="K41" s="7"/>
      <c r="L41" s="7"/>
      <c r="M41" s="7"/>
      <c r="N41" s="7"/>
      <c r="O41" s="7"/>
    </row>
    <row r="42" spans="1:25" x14ac:dyDescent="0.45">
      <c r="C42" s="4"/>
      <c r="D42" s="1"/>
      <c r="E42" s="6"/>
      <c r="F42" s="6"/>
      <c r="G42" s="6"/>
      <c r="H42" s="7"/>
      <c r="I42" s="7"/>
      <c r="J42" s="7"/>
      <c r="K42" s="7"/>
      <c r="L42" s="7"/>
      <c r="M42" s="7"/>
      <c r="N42" s="7"/>
      <c r="O42" s="7"/>
    </row>
    <row r="43" spans="1:25" x14ac:dyDescent="0.45">
      <c r="C43" s="4"/>
      <c r="D43" s="1"/>
      <c r="K43" s="7"/>
      <c r="L43" s="7">
        <f t="shared" ref="L43:O43" si="10">(L39-K39)*10000</f>
        <v>0</v>
      </c>
      <c r="M43" s="7">
        <f t="shared" si="10"/>
        <v>-100.00000000000009</v>
      </c>
      <c r="N43" s="7">
        <f t="shared" si="10"/>
        <v>-100.00000000000009</v>
      </c>
      <c r="O43" s="7">
        <f t="shared" si="10"/>
        <v>0</v>
      </c>
    </row>
    <row r="44" spans="1:25" x14ac:dyDescent="0.45">
      <c r="C44" s="4"/>
      <c r="D44" s="1"/>
      <c r="G44" s="1"/>
    </row>
    <row r="45" spans="1:25" x14ac:dyDescent="0.45">
      <c r="C45" s="13"/>
      <c r="D45" s="14">
        <f t="shared" ref="D45:L45" si="11">EOMONTH(DATE(YEAR(D46),ROUNDUP(MONTH(D46)/3,0)*3,1),0)</f>
        <v>45016</v>
      </c>
      <c r="E45" s="14">
        <f t="shared" si="11"/>
        <v>45107</v>
      </c>
      <c r="F45" s="14">
        <f t="shared" si="11"/>
        <v>45199</v>
      </c>
      <c r="G45" s="14">
        <f t="shared" si="11"/>
        <v>45291</v>
      </c>
      <c r="H45" s="14">
        <f t="shared" si="11"/>
        <v>45382</v>
      </c>
      <c r="I45" s="14">
        <f t="shared" si="11"/>
        <v>45473</v>
      </c>
      <c r="J45" s="14">
        <f t="shared" si="11"/>
        <v>45565</v>
      </c>
      <c r="K45" s="14">
        <f t="shared" si="11"/>
        <v>45657</v>
      </c>
      <c r="L45" s="14">
        <f t="shared" si="11"/>
        <v>45747</v>
      </c>
      <c r="M45" s="14">
        <f>EOMONTH(DATE(YEAR(M46),ROUNDUP(MONTH(M46)/3,0)*3,1),0)</f>
        <v>45838</v>
      </c>
      <c r="N45" s="14">
        <f>EOMONTH(DATE(YEAR(N46),ROUNDUP(MONTH(N46)/3,0)*3,1),0)</f>
        <v>45930</v>
      </c>
      <c r="O45" s="14">
        <f>EOMONTH(DATE(YEAR(O46),ROUNDUP(MONTH(O46)/3,0)*3,1),0)</f>
        <v>46022</v>
      </c>
    </row>
    <row r="46" spans="1:25" x14ac:dyDescent="0.45">
      <c r="D46" s="2">
        <v>45016</v>
      </c>
      <c r="E46" s="2">
        <v>45107</v>
      </c>
      <c r="F46" s="2">
        <v>45199</v>
      </c>
      <c r="G46" s="2">
        <v>45291</v>
      </c>
      <c r="H46" s="2">
        <v>45382</v>
      </c>
      <c r="I46" s="2">
        <v>45473</v>
      </c>
      <c r="J46" s="2">
        <v>45565</v>
      </c>
      <c r="K46" s="2">
        <v>45657</v>
      </c>
      <c r="L46" s="2">
        <v>45747</v>
      </c>
      <c r="M46" s="2">
        <v>45838</v>
      </c>
      <c r="N46" s="2">
        <v>45930</v>
      </c>
      <c r="O46" s="2">
        <v>46022</v>
      </c>
    </row>
    <row r="47" spans="1:25" x14ac:dyDescent="0.45">
      <c r="A47" s="16" t="s">
        <v>21</v>
      </c>
      <c r="B47" s="16" t="s">
        <v>105</v>
      </c>
      <c r="C47" s="2" t="s">
        <v>106</v>
      </c>
      <c r="D47" s="32">
        <v>1444</v>
      </c>
      <c r="E47" s="32">
        <v>1507</v>
      </c>
      <c r="F47" s="32">
        <v>1565</v>
      </c>
      <c r="G47" s="32">
        <v>1721</v>
      </c>
      <c r="H47" s="32">
        <v>1717</v>
      </c>
      <c r="I47" s="32">
        <v>1793</v>
      </c>
      <c r="J47" s="32">
        <v>1853</v>
      </c>
      <c r="K47" s="32">
        <v>1988</v>
      </c>
      <c r="L47" s="32">
        <v>2042</v>
      </c>
      <c r="M47" s="32">
        <v>2118</v>
      </c>
      <c r="N47" s="32">
        <v>2156</v>
      </c>
      <c r="O47" s="32">
        <v>2161</v>
      </c>
    </row>
    <row r="48" spans="1:25" x14ac:dyDescent="0.45">
      <c r="C48" s="4" t="s">
        <v>4</v>
      </c>
      <c r="D48" s="5"/>
      <c r="E48" s="4"/>
      <c r="F48" s="4"/>
      <c r="G48" s="12"/>
      <c r="H48" s="12">
        <f t="shared" ref="H48" si="12">+H47/D47-1</f>
        <v>0.18905817174515227</v>
      </c>
      <c r="I48" s="12">
        <f t="shared" ref="I48" si="13">+I47/E47-1</f>
        <v>0.18978102189781021</v>
      </c>
      <c r="J48" s="12">
        <f t="shared" ref="J48" si="14">+J47/F47-1</f>
        <v>0.18402555910543139</v>
      </c>
      <c r="K48" s="12">
        <f t="shared" ref="K48" si="15">+K47/G47-1</f>
        <v>0.15514235909355034</v>
      </c>
      <c r="L48" s="12">
        <f t="shared" ref="L48" si="16">+L47/H47-1</f>
        <v>0.18928363424577754</v>
      </c>
      <c r="M48" s="12">
        <f t="shared" ref="M48" si="17">+M47/I47-1</f>
        <v>0.18126045733407703</v>
      </c>
      <c r="N48" s="12">
        <f t="shared" ref="N48" si="18">+N47/J47-1</f>
        <v>0.16351861845655691</v>
      </c>
      <c r="O48" s="12">
        <f t="shared" ref="O48" si="19">+O47/K47-1</f>
        <v>8.7022132796780616E-2</v>
      </c>
    </row>
    <row r="49" spans="1:15" x14ac:dyDescent="0.45">
      <c r="C49" s="4" t="s">
        <v>19</v>
      </c>
      <c r="D49" s="1"/>
      <c r="L49" s="7">
        <f>(L48-K48)*10000</f>
        <v>341.412751522272</v>
      </c>
      <c r="M49" s="7">
        <f>(M48-L48)*10000</f>
        <v>-80.231769117005143</v>
      </c>
      <c r="N49" s="7">
        <f>(N48-M48)*10000</f>
        <v>-177.41838877520121</v>
      </c>
      <c r="O49" s="7">
        <f>(O48-N48)*10000</f>
        <v>-764.96485659776295</v>
      </c>
    </row>
    <row r="50" spans="1:15" x14ac:dyDescent="0.45">
      <c r="C50" s="4" t="s">
        <v>23</v>
      </c>
      <c r="D50" s="1"/>
      <c r="E50" s="6"/>
      <c r="F50" s="6"/>
      <c r="G50" s="6"/>
      <c r="H50" s="6"/>
      <c r="I50" s="6"/>
      <c r="J50" s="6"/>
      <c r="K50" s="6"/>
      <c r="L50" s="7">
        <f>(L48-H48)*10000</f>
        <v>2.2546250062527307</v>
      </c>
      <c r="M50" s="7">
        <f>(M48-I48)*10000</f>
        <v>-85.205645637331799</v>
      </c>
      <c r="N50" s="7">
        <f>(N48-J48)*10000</f>
        <v>-205.06940648874485</v>
      </c>
      <c r="O50" s="7">
        <f>(O48-K48)*10000</f>
        <v>-681.20226296769727</v>
      </c>
    </row>
    <row r="51" spans="1:15" x14ac:dyDescent="0.45">
      <c r="C51" s="4" t="s">
        <v>5</v>
      </c>
      <c r="D51" s="1"/>
      <c r="L51" s="12">
        <f>L47/K47-1</f>
        <v>2.716297786720312E-2</v>
      </c>
      <c r="M51" s="12">
        <f>M47/L47-1</f>
        <v>3.7218413320274202E-2</v>
      </c>
      <c r="N51" s="12">
        <f>N47/M47-1</f>
        <v>1.7941454202077489E-2</v>
      </c>
      <c r="O51" s="12">
        <f>O47/N47-1</f>
        <v>2.319109461966562E-3</v>
      </c>
    </row>
    <row r="52" spans="1:15" x14ac:dyDescent="0.45">
      <c r="C52" s="4"/>
      <c r="D52" s="1"/>
      <c r="G52" s="1"/>
    </row>
    <row r="53" spans="1:15" x14ac:dyDescent="0.4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4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4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4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45">
      <c r="C57" s="4"/>
      <c r="D57" s="1"/>
      <c r="K57" s="7"/>
      <c r="L57" s="7"/>
      <c r="M57" s="7"/>
      <c r="N57" s="7"/>
      <c r="O57" s="7"/>
    </row>
    <row r="58" spans="1:15" x14ac:dyDescent="0.4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45">
      <c r="C59" s="4"/>
      <c r="D59" s="1"/>
      <c r="K59" s="7"/>
      <c r="L59" s="7"/>
      <c r="M59" s="7"/>
      <c r="N59" s="7"/>
      <c r="O59" s="7"/>
    </row>
    <row r="64" spans="1:15" x14ac:dyDescent="0.4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45">
      <c r="C65" s="4"/>
      <c r="D65" s="1"/>
      <c r="K65" s="7"/>
      <c r="L65" s="7"/>
      <c r="M65" s="7"/>
      <c r="N65" s="7"/>
      <c r="O65" s="7"/>
    </row>
    <row r="66" spans="3:15" x14ac:dyDescent="0.4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4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082DB-E9D3-42A2-B190-9EA4B24AF245}">
  <dimension ref="A1:Y67"/>
  <sheetViews>
    <sheetView zoomScale="85" zoomScaleNormal="85" workbookViewId="0">
      <pane xSplit="3" topLeftCell="E1" activePane="topRight" state="frozen"/>
      <selection pane="topRight" activeCell="O15" sqref="O15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6" width="10.1328125" bestFit="1" customWidth="1"/>
    <col min="7" max="7" width="10.59765625" bestFit="1" customWidth="1"/>
    <col min="8" max="10" width="10.1328125" bestFit="1" customWidth="1"/>
    <col min="11" max="11" width="10.59765625" bestFit="1" customWidth="1"/>
    <col min="12" max="12" width="10.1328125" bestFit="1" customWidth="1"/>
    <col min="13" max="15" width="10.265625" bestFit="1" customWidth="1"/>
    <col min="16" max="16" width="9" customWidth="1"/>
    <col min="17" max="17" width="12.3984375" bestFit="1" customWidth="1"/>
    <col min="18" max="18" width="14.3984375" bestFit="1" customWidth="1"/>
    <col min="19" max="19" width="8.59765625" bestFit="1" customWidth="1"/>
    <col min="20" max="20" width="20.265625" bestFit="1" customWidth="1"/>
    <col min="21" max="21" width="7.3984375" bestFit="1" customWidth="1"/>
    <col min="22" max="22" width="10.73046875" bestFit="1" customWidth="1"/>
    <col min="23" max="23" width="9.1328125" bestFit="1" customWidth="1"/>
    <col min="24" max="24" width="10.3984375" bestFit="1" customWidth="1"/>
    <col min="25" max="25" width="9.1328125" bestFit="1" customWidth="1"/>
  </cols>
  <sheetData>
    <row r="1" spans="1:25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45">
      <c r="A2" s="17" t="s">
        <v>1</v>
      </c>
      <c r="B2" s="31" t="s">
        <v>90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TYL US EQUITY</v>
      </c>
      <c r="R2" s="24">
        <f ca="1"/>
        <v>45747</v>
      </c>
      <c r="S2" s="25" t="str">
        <f ca="1"/>
        <v>canonical</v>
      </c>
      <c r="T2" s="26" t="str">
        <f ca="1"/>
        <v>revenue</v>
      </c>
      <c r="U2" s="27" t="str">
        <f ca="1"/>
        <v>565.165</v>
      </c>
      <c r="V2" s="28" t="str">
        <f ca="1"/>
        <v>0.103064452854346</v>
      </c>
      <c r="W2" s="29" t="str">
        <f ca="1"/>
        <v>-221.000704180296</v>
      </c>
      <c r="X2" s="28" t="str">
        <f ca="1"/>
        <v>172.199207649029</v>
      </c>
      <c r="Y2" s="29" t="str">
        <f ca="1"/>
        <v>0.0444143839476947</v>
      </c>
    </row>
    <row r="3" spans="1:25" x14ac:dyDescent="0.45">
      <c r="A3" s="18" t="s">
        <v>3</v>
      </c>
      <c r="B3" s="19">
        <f ca="1">+B4-365*3</f>
        <v>45001</v>
      </c>
      <c r="Q3" s="24" t="str">
        <f ca="1"/>
        <v>TYL US EQUITY</v>
      </c>
      <c r="R3" s="24">
        <f ca="1"/>
        <v>45838</v>
      </c>
      <c r="S3" s="25" t="str">
        <f ca="1"/>
        <v>canonical</v>
      </c>
      <c r="T3" s="26" t="str">
        <f ca="1"/>
        <v>revenue</v>
      </c>
      <c r="U3" s="27" t="str">
        <f ca="1"/>
        <v>596.117</v>
      </c>
      <c r="V3" s="28" t="str">
        <f ca="1"/>
        <v>0.101928736210109</v>
      </c>
      <c r="W3" s="29" t="str">
        <f ca="1"/>
        <v>-11.3571664423695</v>
      </c>
      <c r="X3" s="29" t="str">
        <f ca="1"/>
        <v>291.575123439556</v>
      </c>
      <c r="Y3" s="29" t="str">
        <f ca="1"/>
        <v>0.0547663071846276</v>
      </c>
    </row>
    <row r="4" spans="1:25" x14ac:dyDescent="0.45">
      <c r="A4" s="20" t="s">
        <v>2</v>
      </c>
      <c r="B4" s="21">
        <f ca="1">TODAY()</f>
        <v>46096</v>
      </c>
      <c r="Q4" s="24" t="str">
        <f ca="1"/>
        <v>TYL US EQUITY</v>
      </c>
      <c r="R4" s="24">
        <f ca="1"/>
        <v>45930</v>
      </c>
      <c r="S4" s="25" t="str">
        <f ca="1"/>
        <v>canonical</v>
      </c>
      <c r="T4" s="26" t="str">
        <f ca="1"/>
        <v>revenue</v>
      </c>
      <c r="U4" s="27" t="str">
        <f ca="1"/>
        <v>595.879</v>
      </c>
      <c r="V4" s="28" t="str">
        <f ca="1"/>
        <v>0.0967024148916786</v>
      </c>
      <c r="W4" s="29" t="str">
        <f ca="1"/>
        <v>-52.2632131843048</v>
      </c>
      <c r="X4" s="29" t="str">
        <f ca="1"/>
        <v>-16.4926011701372</v>
      </c>
      <c r="Y4" s="29" t="str">
        <f ca="1"/>
        <v>-0.00039925048270717</v>
      </c>
    </row>
    <row r="5" spans="1:25" x14ac:dyDescent="0.45">
      <c r="C5" s="13" t="s">
        <v>12</v>
      </c>
      <c r="D5" s="14">
        <f t="shared" ref="D5:O5" ca="1" si="0">EOMONTH(DATE(YEAR(D6),ROUNDUP(MONTH(D6)/3,0)*3,1),0)</f>
        <v>45016</v>
      </c>
      <c r="E5" s="14">
        <f t="shared" ca="1" si="0"/>
        <v>45107</v>
      </c>
      <c r="F5" s="14">
        <f t="shared" ca="1" si="0"/>
        <v>45199</v>
      </c>
      <c r="G5" s="14">
        <f t="shared" ca="1" si="0"/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t="shared" ca="1" si="0"/>
        <v>45747</v>
      </c>
      <c r="M5" s="14">
        <f t="shared" ca="1" si="0"/>
        <v>45838</v>
      </c>
      <c r="N5" s="14">
        <f t="shared" ca="1" si="0"/>
        <v>45930</v>
      </c>
      <c r="O5" s="14">
        <f t="shared" ca="1" si="0"/>
        <v>46022</v>
      </c>
      <c r="Q5" s="24" t="str">
        <f ca="1"/>
        <v>TYL US EQUITY</v>
      </c>
      <c r="R5" s="24">
        <f ca="1"/>
        <v>46022</v>
      </c>
      <c r="S5" s="25" t="str">
        <f ca="1"/>
        <v>canonical</v>
      </c>
      <c r="T5" s="26" t="str">
        <f ca="1"/>
        <v>revenue</v>
      </c>
      <c r="U5" s="27" t="str">
        <f ca="1"/>
        <v>575.179</v>
      </c>
      <c r="V5" s="28" t="str">
        <f ca="1"/>
        <v>0.0629200692623413</v>
      </c>
      <c r="W5" s="29" t="str">
        <f ca="1"/>
        <v>-337.823456293374</v>
      </c>
      <c r="X5" s="29" t="str">
        <f ca="1"/>
        <v>-622.444540100344</v>
      </c>
      <c r="Y5" s="29" t="str">
        <f ca="1"/>
        <v>-0.0347385962586365</v>
      </c>
    </row>
    <row r="6" spans="1:25" x14ac:dyDescent="0.45">
      <c r="D6" s="15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TYL US EQUITY</v>
      </c>
      <c r="R6" s="24">
        <f ca="1"/>
        <v>45747</v>
      </c>
      <c r="S6" s="25" t="str">
        <f ca="1"/>
        <v>canonical</v>
      </c>
      <c r="T6" s="26" t="str">
        <f ca="1"/>
        <v>gross_margin_gaap</v>
      </c>
      <c r="U6" s="30" t="str">
        <f ca="1"/>
        <v>47.2572</v>
      </c>
      <c r="V6" s="29" t="str">
        <f ca="1"/>
        <v>360.299999999999</v>
      </c>
      <c r="W6" s="29" t="str">
        <f ca="1"/>
        <v/>
      </c>
      <c r="X6" s="29" t="str">
        <f ca="1"/>
        <v/>
      </c>
      <c r="Y6" s="29" t="str">
        <f ca="1"/>
        <v>349.35</v>
      </c>
    </row>
    <row r="7" spans="1:25" x14ac:dyDescent="0.45">
      <c r="A7" s="16" t="s">
        <v>9</v>
      </c>
      <c r="B7" s="16" t="s">
        <v>8</v>
      </c>
      <c r="C7" s="9" t="s">
        <v>0</v>
      </c>
      <c r="D7" s="11">
        <f ca="1"/>
        <v>471.85300000000001</v>
      </c>
      <c r="E7" s="11">
        <f ca="1"/>
        <v>504.279</v>
      </c>
      <c r="F7" s="11">
        <f ca="1"/>
        <v>494.68400000000003</v>
      </c>
      <c r="G7" s="11">
        <f ca="1"/>
        <v>480.935</v>
      </c>
      <c r="H7" s="11">
        <f ca="1"/>
        <v>512.35900000000004</v>
      </c>
      <c r="I7" s="11">
        <f ca="1"/>
        <v>540.976</v>
      </c>
      <c r="J7" s="11">
        <f ca="1"/>
        <v>543.33699999999999</v>
      </c>
      <c r="K7" s="11">
        <f ca="1"/>
        <v>541.13099999999997</v>
      </c>
      <c r="L7" s="11">
        <f ca="1"/>
        <v>565.16499999999996</v>
      </c>
      <c r="M7" s="11">
        <f ca="1"/>
        <v>596.11699999999996</v>
      </c>
      <c r="N7" s="11">
        <f ca="1"/>
        <v>595.87900000000002</v>
      </c>
      <c r="O7" s="3">
        <f ca="1"/>
        <v>575.17899999999997</v>
      </c>
      <c r="P7" s="1"/>
      <c r="Q7" s="24" t="str">
        <f ca="1"/>
        <v>TYL US EQUITY</v>
      </c>
      <c r="R7" s="24">
        <f ca="1"/>
        <v>45838</v>
      </c>
      <c r="S7" s="25" t="str">
        <f ca="1"/>
        <v>canonical</v>
      </c>
      <c r="T7" s="26" t="str">
        <f ca="1"/>
        <v>gross_margin_gaap</v>
      </c>
      <c r="U7" s="30" t="str">
        <f ca="1"/>
        <v>45.8272</v>
      </c>
      <c r="V7" s="29" t="str">
        <f ca="1"/>
        <v>186.669999999999</v>
      </c>
      <c r="W7" s="29" t="str">
        <f ca="1"/>
        <v/>
      </c>
      <c r="X7" s="29" t="str">
        <f ca="1"/>
        <v/>
      </c>
      <c r="Y7" s="29" t="str">
        <f ca="1"/>
        <v>-143</v>
      </c>
    </row>
    <row r="8" spans="1:25" x14ac:dyDescent="0.45">
      <c r="C8" s="4" t="s">
        <v>4</v>
      </c>
      <c r="D8" s="5"/>
      <c r="E8" s="4"/>
      <c r="F8" s="4"/>
      <c r="G8" s="12"/>
      <c r="H8" s="12">
        <f t="shared" ref="H8:O8" ca="1" si="1">+H7/D7-1</f>
        <v>8.5844532089443204E-2</v>
      </c>
      <c r="I8" s="12">
        <f t="shared" ca="1" si="1"/>
        <v>7.2771223866153534E-2</v>
      </c>
      <c r="J8" s="12">
        <f t="shared" ca="1" si="1"/>
        <v>9.8351675008692352E-2</v>
      </c>
      <c r="K8" s="12">
        <f t="shared" ca="1" si="1"/>
        <v>0.12516452327237571</v>
      </c>
      <c r="L8" s="12">
        <f t="shared" ca="1" si="1"/>
        <v>0.10306445285434607</v>
      </c>
      <c r="M8" s="12">
        <f t="shared" ca="1" si="1"/>
        <v>0.10192873621010912</v>
      </c>
      <c r="N8" s="12">
        <f t="shared" ca="1" si="1"/>
        <v>9.6702414891678634E-2</v>
      </c>
      <c r="O8" s="12">
        <f t="shared" ca="1" si="1"/>
        <v>6.2920069262341283E-2</v>
      </c>
      <c r="P8" s="3"/>
      <c r="Q8" s="24" t="str">
        <f ca="1"/>
        <v>TYL US EQUITY</v>
      </c>
      <c r="R8" s="24">
        <f ca="1"/>
        <v>45930</v>
      </c>
      <c r="S8" s="25" t="str">
        <f ca="1"/>
        <v>canonical</v>
      </c>
      <c r="T8" s="26" t="str">
        <f ca="1"/>
        <v>gross_margin_gaap</v>
      </c>
      <c r="U8" s="30" t="str">
        <f ca="1"/>
        <v>47.2331</v>
      </c>
      <c r="V8" s="29" t="str">
        <f ca="1"/>
        <v>352.91</v>
      </c>
      <c r="W8" s="29" t="str">
        <f ca="1"/>
        <v/>
      </c>
      <c r="X8" s="29" t="str">
        <f ca="1"/>
        <v/>
      </c>
      <c r="Y8" s="29" t="str">
        <f ca="1"/>
        <v>140.59</v>
      </c>
    </row>
    <row r="9" spans="1:25" x14ac:dyDescent="0.45">
      <c r="C9" s="4" t="s">
        <v>19</v>
      </c>
      <c r="D9" s="1"/>
      <c r="L9" s="7">
        <f ca="1">(L8-K8)*10000</f>
        <v>-221.0007041802964</v>
      </c>
      <c r="M9" s="7">
        <f ca="1">(M8-L8)*10000</f>
        <v>-11.357166442369504</v>
      </c>
      <c r="N9" s="7">
        <f ca="1">(N8-M8)*10000</f>
        <v>-52.263213184304824</v>
      </c>
      <c r="O9" s="7">
        <f ca="1">(O8-N8)*10000</f>
        <v>-337.82345629337351</v>
      </c>
      <c r="Q9" s="22" t="str">
        <f ca="1"/>
        <v>TYL US EQUITY</v>
      </c>
      <c r="R9" s="24">
        <f ca="1"/>
        <v>46022</v>
      </c>
      <c r="S9" s="25" t="str">
        <f ca="1"/>
        <v>canonical</v>
      </c>
      <c r="T9" s="26" t="str">
        <f ca="1"/>
        <v>gross_margin_gaap</v>
      </c>
      <c r="U9" s="30" t="str">
        <f ca="1"/>
        <v>45.5481</v>
      </c>
      <c r="V9" s="29" t="str">
        <f ca="1"/>
        <v>178.44</v>
      </c>
      <c r="W9" s="29" t="str">
        <f ca="1"/>
        <v/>
      </c>
      <c r="X9" s="29" t="str">
        <f ca="1"/>
        <v/>
      </c>
      <c r="Y9" s="29" t="str">
        <f ca="1"/>
        <v>-168.5</v>
      </c>
    </row>
    <row r="10" spans="1:25" x14ac:dyDescent="0.4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172.19920764902864</v>
      </c>
      <c r="M10" s="7">
        <f ca="1">(M8-I8)*10000</f>
        <v>291.57512343955585</v>
      </c>
      <c r="N10" s="7">
        <f ca="1">(N8-J8)*10000</f>
        <v>-16.492601170137178</v>
      </c>
      <c r="O10" s="7">
        <f ca="1">(O8-K8)*10000</f>
        <v>-622.44454010034417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TYL US EQUITY</v>
      </c>
      <c r="R10" s="24">
        <f ca="1"/>
        <v>45747</v>
      </c>
      <c r="S10" s="25" t="str">
        <f ca="1"/>
        <v>canonical</v>
      </c>
      <c r="T10" s="26" t="str">
        <f ca="1"/>
        <v>operating_margin_gaap</v>
      </c>
      <c r="U10" s="30" t="str">
        <f ca="1"/>
        <v>15.7782</v>
      </c>
      <c r="V10" s="29" t="str">
        <f ca="1"/>
        <v>270.57</v>
      </c>
      <c r="W10" s="29" t="str">
        <f ca="1"/>
        <v/>
      </c>
      <c r="X10" s="29" t="str">
        <f ca="1"/>
        <v/>
      </c>
      <c r="Y10" s="29" t="str">
        <f ca="1"/>
        <v>253.08</v>
      </c>
    </row>
    <row r="11" spans="1:25" x14ac:dyDescent="0.45">
      <c r="C11" s="4" t="s">
        <v>5</v>
      </c>
      <c r="D11" s="1"/>
      <c r="L11" s="12">
        <f ca="1">L7/K7-1</f>
        <v>4.4414383947694702E-2</v>
      </c>
      <c r="M11" s="12">
        <f ca="1">M7/L7-1</f>
        <v>5.4766307184627605E-2</v>
      </c>
      <c r="N11" s="12">
        <f ca="1">N7/M7-1</f>
        <v>-3.9925048270716967E-4</v>
      </c>
      <c r="O11" s="12">
        <f ca="1">O7/N7-1</f>
        <v>-3.4738596258636512E-2</v>
      </c>
      <c r="Q11" s="24" t="str">
        <f ca="1"/>
        <v>TYL US EQUITY</v>
      </c>
      <c r="R11" s="24">
        <f ca="1"/>
        <v>45838</v>
      </c>
      <c r="S11" s="25" t="str">
        <f ca="1"/>
        <v>canonical</v>
      </c>
      <c r="T11" s="26" t="str">
        <f ca="1"/>
        <v>operating_margin_gaap</v>
      </c>
      <c r="U11" s="30" t="str">
        <f ca="1"/>
        <v>16.0364</v>
      </c>
      <c r="V11" s="29" t="str">
        <f ca="1"/>
        <v>161.15</v>
      </c>
      <c r="W11" s="29" t="str">
        <f ca="1"/>
        <v/>
      </c>
      <c r="X11" s="29" t="str">
        <f ca="1"/>
        <v/>
      </c>
      <c r="Y11" s="29" t="str">
        <f ca="1"/>
        <v>25.82</v>
      </c>
    </row>
    <row r="12" spans="1:25" x14ac:dyDescent="0.45">
      <c r="Q12" s="24" t="str">
        <f ca="1"/>
        <v>TYL US EQUITY</v>
      </c>
      <c r="R12" s="24">
        <f ca="1"/>
        <v>45930</v>
      </c>
      <c r="S12" s="25" t="str">
        <f ca="1"/>
        <v>canonical</v>
      </c>
      <c r="T12" s="26" t="str">
        <f ca="1"/>
        <v>operating_margin_gaap</v>
      </c>
      <c r="U12" s="30" t="str">
        <f ca="1"/>
        <v>16.4349</v>
      </c>
      <c r="V12" s="29" t="str">
        <f ca="1"/>
        <v>119.08</v>
      </c>
      <c r="W12" s="29" t="str">
        <f ca="1"/>
        <v/>
      </c>
      <c r="X12" s="29" t="str">
        <f ca="1"/>
        <v/>
      </c>
      <c r="Y12" s="29" t="str">
        <f ca="1"/>
        <v>39.8499999999999</v>
      </c>
    </row>
    <row r="13" spans="1:25" x14ac:dyDescent="0.45">
      <c r="C13" s="13" t="s">
        <v>12</v>
      </c>
      <c r="D13" s="14">
        <f t="shared" ref="D13:O13" ca="1" si="2">EOMONTH(DATE(YEAR(D14),ROUNDUP(MONTH(D14)/3,0)*3,1),0)</f>
        <v>45016</v>
      </c>
      <c r="E13" s="14">
        <f t="shared" ca="1" si="2"/>
        <v>45107</v>
      </c>
      <c r="F13" s="14">
        <f t="shared" ca="1" si="2"/>
        <v>45199</v>
      </c>
      <c r="G13" s="14">
        <f t="shared" ca="1" si="2"/>
        <v>45291</v>
      </c>
      <c r="H13" s="14">
        <f t="shared" ca="1" si="2"/>
        <v>45382</v>
      </c>
      <c r="I13" s="14">
        <f t="shared" ca="1" si="2"/>
        <v>45473</v>
      </c>
      <c r="J13" s="14">
        <f t="shared" ca="1" si="2"/>
        <v>45565</v>
      </c>
      <c r="K13" s="14">
        <f t="shared" ca="1" si="2"/>
        <v>45657</v>
      </c>
      <c r="L13" s="14">
        <f t="shared" ca="1" si="2"/>
        <v>45747</v>
      </c>
      <c r="M13" s="14">
        <f t="shared" ca="1" si="2"/>
        <v>45838</v>
      </c>
      <c r="N13" s="14">
        <f t="shared" ca="1" si="2"/>
        <v>45930</v>
      </c>
      <c r="O13" s="14">
        <f t="shared" ca="1" si="2"/>
        <v>46022</v>
      </c>
      <c r="Q13" s="24" t="str">
        <f ca="1"/>
        <v>TYL US EQUITY</v>
      </c>
      <c r="R13" s="24">
        <f ca="1"/>
        <v>46022</v>
      </c>
      <c r="S13" s="25" t="str">
        <f ca="1"/>
        <v>canonical</v>
      </c>
      <c r="T13" s="26" t="str">
        <f ca="1"/>
        <v>operating_margin_gaap</v>
      </c>
      <c r="U13" s="30" t="str">
        <f ca="1"/>
        <v>13.0351</v>
      </c>
      <c r="V13" s="29" t="str">
        <f ca="1"/>
        <v>-21.2300000000001</v>
      </c>
      <c r="W13" s="29" t="str">
        <f ca="1"/>
        <v/>
      </c>
      <c r="X13" s="29" t="str">
        <f ca="1"/>
        <v/>
      </c>
      <c r="Y13" s="29" t="str">
        <f ca="1"/>
        <v>-339.98</v>
      </c>
    </row>
    <row r="14" spans="1:25" x14ac:dyDescent="0.4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TYL US EQUITY</v>
      </c>
      <c r="R14" s="24">
        <v>45747</v>
      </c>
      <c r="S14" s="25" t="str">
        <v>custom</v>
      </c>
      <c r="T14" s="26" t="str">
        <v>saas_revenue_in_k</v>
      </c>
      <c r="U14" s="30" t="str">
        <v>180080</v>
      </c>
      <c r="V14" s="29" t="str">
        <v>0.210345198408431</v>
      </c>
      <c r="W14" s="29" t="str">
        <v>-198.008066712403</v>
      </c>
      <c r="X14" s="29" t="str">
        <v>-100.460577946613</v>
      </c>
      <c r="Y14" s="29" t="str">
        <v>0.0385595810697026</v>
      </c>
    </row>
    <row r="15" spans="1:25" x14ac:dyDescent="0.45">
      <c r="A15" s="16" t="s">
        <v>9</v>
      </c>
      <c r="B15" s="16" t="s">
        <v>14</v>
      </c>
      <c r="C15" s="9" t="s">
        <v>6</v>
      </c>
      <c r="D15" s="3">
        <f ca="1"/>
        <v>42.351500000000001</v>
      </c>
      <c r="E15" s="3">
        <f ca="1"/>
        <v>44.256700000000002</v>
      </c>
      <c r="F15" s="3">
        <f ca="1"/>
        <v>45.515900000000002</v>
      </c>
      <c r="G15" s="3">
        <f ca="1"/>
        <v>44.273099999999999</v>
      </c>
      <c r="H15" s="3">
        <f ca="1"/>
        <v>43.654200000000003</v>
      </c>
      <c r="I15" s="3">
        <f ca="1"/>
        <v>43.960500000000003</v>
      </c>
      <c r="J15" s="3">
        <f ca="1"/>
        <v>43.704000000000001</v>
      </c>
      <c r="K15" s="3">
        <f ca="1"/>
        <v>43.7637</v>
      </c>
      <c r="L15" s="3">
        <f ca="1"/>
        <v>47.257199999999997</v>
      </c>
      <c r="M15" s="3">
        <f ca="1"/>
        <v>45.827199999999998</v>
      </c>
      <c r="N15" s="3">
        <f ca="1"/>
        <v>47.2331</v>
      </c>
      <c r="O15">
        <f ca="1"/>
        <v>45.548099999999998</v>
      </c>
      <c r="Q15" s="24" t="str">
        <v>TYL US EQUITY</v>
      </c>
      <c r="R15" s="24">
        <v>45838</v>
      </c>
      <c r="S15" s="25" t="str">
        <v>custom</v>
      </c>
      <c r="T15" s="26" t="str">
        <v>saas_revenue_in_k</v>
      </c>
      <c r="U15" s="30" t="str">
        <v>189571</v>
      </c>
      <c r="V15" s="29" t="str">
        <v>0.215370116298452</v>
      </c>
      <c r="W15" s="29" t="str">
        <v>50.2491789002124</v>
      </c>
      <c r="X15" s="29" t="str">
        <v>-166.933281205399</v>
      </c>
      <c r="Y15" s="29" t="str">
        <v>0.0527043536206131</v>
      </c>
    </row>
    <row r="16" spans="1:25" x14ac:dyDescent="0.45">
      <c r="C16" s="4" t="s">
        <v>4</v>
      </c>
      <c r="D16" s="5"/>
      <c r="E16" s="4"/>
      <c r="F16" s="4"/>
      <c r="G16" s="4"/>
      <c r="H16" s="7">
        <f t="shared" ref="H16:O16" ca="1" si="3">(H15-D15)*100</f>
        <v>130.27000000000015</v>
      </c>
      <c r="I16" s="7">
        <f t="shared" ca="1" si="3"/>
        <v>-29.619999999999891</v>
      </c>
      <c r="J16" s="7">
        <f t="shared" ca="1" si="3"/>
        <v>-181.19000000000014</v>
      </c>
      <c r="K16" s="7">
        <f t="shared" ca="1" si="3"/>
        <v>-50.939999999999941</v>
      </c>
      <c r="L16" s="7">
        <f t="shared" ca="1" si="3"/>
        <v>360.29999999999944</v>
      </c>
      <c r="M16" s="7">
        <f t="shared" ca="1" si="3"/>
        <v>186.66999999999945</v>
      </c>
      <c r="N16" s="7">
        <f t="shared" ca="1" si="3"/>
        <v>352.90999999999997</v>
      </c>
      <c r="O16" s="7">
        <f t="shared" ca="1" si="3"/>
        <v>178.4399999999998</v>
      </c>
      <c r="Q16" s="24" t="str">
        <v>TYL US EQUITY</v>
      </c>
      <c r="R16" s="24">
        <v>45930</v>
      </c>
      <c r="S16" s="25" t="str">
        <v>custom</v>
      </c>
      <c r="T16" s="26" t="str">
        <v>saas_revenue_in_k</v>
      </c>
      <c r="U16" s="30" t="str">
        <v>199786</v>
      </c>
      <c r="V16" s="29" t="str">
        <v>0.199022949875168</v>
      </c>
      <c r="W16" s="29" t="str">
        <v>-163.471664232842</v>
      </c>
      <c r="X16" s="29" t="str">
        <v>-39.602497725082</v>
      </c>
      <c r="Y16" s="29" t="str">
        <v>0.0538848241555934</v>
      </c>
    </row>
    <row r="17" spans="1:25" x14ac:dyDescent="0.45">
      <c r="C17" s="4" t="s">
        <v>19</v>
      </c>
      <c r="D17" s="1"/>
      <c r="K17" s="7"/>
      <c r="L17" s="7"/>
      <c r="M17" s="7"/>
      <c r="N17" s="7"/>
      <c r="O17" s="7"/>
      <c r="Q17" s="24" t="str">
        <v>TYL US EQUITY</v>
      </c>
      <c r="R17" s="24">
        <v>46022</v>
      </c>
      <c r="S17" s="25" t="str">
        <v>custom</v>
      </c>
      <c r="T17" s="26" t="str">
        <v>saas_revenue_in_k</v>
      </c>
      <c r="U17" s="30" t="str">
        <v>208332</v>
      </c>
      <c r="V17" s="29" t="str">
        <v>0.20149486141389</v>
      </c>
      <c r="W17" s="29" t="str">
        <v>24.7191153872173</v>
      </c>
      <c r="X17" s="29" t="str">
        <v>-286.511436657815</v>
      </c>
      <c r="Y17" s="29" t="str">
        <v>0.0427757700739793</v>
      </c>
    </row>
    <row r="18" spans="1:25" x14ac:dyDescent="0.4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TYL US EQUITY</v>
      </c>
      <c r="R18" s="24">
        <v>0</v>
      </c>
      <c r="S18" s="25">
        <v>0</v>
      </c>
      <c r="T18" s="26">
        <v>0</v>
      </c>
      <c r="U18" s="30" t="str">
        <v/>
      </c>
      <c r="V18" s="29" t="str">
        <v/>
      </c>
      <c r="W18" s="29" t="str">
        <v/>
      </c>
      <c r="X18" s="29" t="str">
        <v/>
      </c>
      <c r="Y18" s="29" t="str">
        <v/>
      </c>
    </row>
    <row r="19" spans="1:25" x14ac:dyDescent="0.45">
      <c r="C19" s="4" t="s">
        <v>5</v>
      </c>
      <c r="D19" s="1"/>
      <c r="K19" s="7"/>
      <c r="L19" s="7">
        <f ca="1">(L15-K15)*100</f>
        <v>349.34999999999974</v>
      </c>
      <c r="M19" s="7">
        <f ca="1">(M15-L15)*100</f>
        <v>-142.99999999999997</v>
      </c>
      <c r="N19" s="7">
        <f ca="1">(N15-M15)*100</f>
        <v>140.59000000000026</v>
      </c>
      <c r="O19" s="7">
        <f ca="1">(O15-N15)*100</f>
        <v>-168.50000000000023</v>
      </c>
      <c r="Q19" s="24" t="str">
        <v>TYL US EQUITY</v>
      </c>
      <c r="R19" s="24">
        <v>0</v>
      </c>
      <c r="S19" s="25">
        <v>0</v>
      </c>
      <c r="T19" s="26">
        <v>0</v>
      </c>
      <c r="U19" s="30" t="str">
        <v/>
      </c>
      <c r="V19" s="29" t="str">
        <v/>
      </c>
      <c r="W19" s="29" t="str">
        <v/>
      </c>
      <c r="X19" s="29" t="str">
        <v/>
      </c>
      <c r="Y19" s="29" t="str">
        <v/>
      </c>
    </row>
    <row r="20" spans="1:25" x14ac:dyDescent="0.45">
      <c r="Q20" s="24" t="str">
        <v>TYL US EQUITY</v>
      </c>
      <c r="R20" s="24">
        <v>0</v>
      </c>
      <c r="S20" s="25">
        <v>0</v>
      </c>
      <c r="T20" s="26">
        <v>0</v>
      </c>
      <c r="U20" s="30" t="str">
        <v/>
      </c>
      <c r="V20" s="29" t="str">
        <v/>
      </c>
      <c r="W20" s="29" t="str">
        <v/>
      </c>
      <c r="X20" s="29" t="str">
        <v/>
      </c>
      <c r="Y20" s="29" t="str">
        <v/>
      </c>
    </row>
    <row r="21" spans="1:25" x14ac:dyDescent="0.45">
      <c r="C21" s="13" t="s">
        <v>12</v>
      </c>
      <c r="D21" s="14">
        <f t="shared" ref="D21:O21" ca="1" si="4">EOMONTH(DATE(YEAR(D22),ROUNDUP(MONTH(D22)/3,0)*3,1),0)</f>
        <v>45016</v>
      </c>
      <c r="E21" s="14">
        <f t="shared" ca="1" si="4"/>
        <v>45107</v>
      </c>
      <c r="F21" s="14">
        <f t="shared" ca="1" si="4"/>
        <v>45199</v>
      </c>
      <c r="G21" s="14">
        <f t="shared" ca="1" si="4"/>
        <v>45291</v>
      </c>
      <c r="H21" s="14">
        <f t="shared" ca="1" si="4"/>
        <v>45382</v>
      </c>
      <c r="I21" s="14">
        <f t="shared" ca="1" si="4"/>
        <v>45473</v>
      </c>
      <c r="J21" s="14">
        <f t="shared" ca="1" si="4"/>
        <v>45565</v>
      </c>
      <c r="K21" s="14">
        <f t="shared" ca="1" si="4"/>
        <v>45657</v>
      </c>
      <c r="L21" s="14">
        <f t="shared" ca="1" si="4"/>
        <v>45747</v>
      </c>
      <c r="M21" s="14">
        <f t="shared" ca="1" si="4"/>
        <v>45838</v>
      </c>
      <c r="N21" s="14">
        <f t="shared" ca="1" si="4"/>
        <v>45930</v>
      </c>
      <c r="O21" s="14">
        <f t="shared" ca="1" si="4"/>
        <v>46022</v>
      </c>
      <c r="Q21" s="24" t="str">
        <v>TYL US EQUITY</v>
      </c>
      <c r="R21" s="24">
        <v>0</v>
      </c>
      <c r="S21" s="25">
        <v>0</v>
      </c>
      <c r="T21" s="26">
        <v>0</v>
      </c>
      <c r="U21" s="30" t="str">
        <v/>
      </c>
      <c r="V21" s="29" t="str">
        <v/>
      </c>
      <c r="W21" s="29" t="str">
        <v/>
      </c>
      <c r="X21" s="29" t="str">
        <v/>
      </c>
      <c r="Y21" s="29" t="str">
        <v/>
      </c>
    </row>
    <row r="22" spans="1:25" x14ac:dyDescent="0.45">
      <c r="D22" s="1" cm="1">
        <f t="array" aca="1" ref="D22:O23" ca="1">+_xll.BDH($B$2,C23,$B$3,$B$4,"DIR=H")</f>
        <v>45016</v>
      </c>
      <c r="E22" s="1">
        <f ca="1"/>
        <v>45107</v>
      </c>
      <c r="F22" s="1">
        <f ca="1"/>
        <v>45199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45565</v>
      </c>
      <c r="K22" s="1">
        <f ca="1"/>
        <v>45657</v>
      </c>
      <c r="L22" s="1">
        <f ca="1"/>
        <v>45747</v>
      </c>
      <c r="M22" s="1">
        <f ca="1"/>
        <v>45838</v>
      </c>
      <c r="N22" s="1">
        <f ca="1"/>
        <v>45930</v>
      </c>
      <c r="O22" s="1">
        <f ca="1"/>
        <v>46022</v>
      </c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TYL US EQUITY</v>
      </c>
      <c r="R22" s="24">
        <v>0</v>
      </c>
      <c r="S22" s="25">
        <v>0</v>
      </c>
      <c r="T22" s="26">
        <v>0</v>
      </c>
      <c r="U22" s="27" t="str">
        <v/>
      </c>
      <c r="V22" s="28" t="str">
        <v/>
      </c>
      <c r="W22" s="29" t="str">
        <v/>
      </c>
      <c r="X22" s="28" t="str">
        <v/>
      </c>
      <c r="Y22" s="29" t="str">
        <v/>
      </c>
    </row>
    <row r="23" spans="1:25" x14ac:dyDescent="0.45">
      <c r="A23" s="16" t="s">
        <v>9</v>
      </c>
      <c r="B23" s="16" t="s">
        <v>15</v>
      </c>
      <c r="C23" s="9" t="s">
        <v>7</v>
      </c>
      <c r="D23" s="3">
        <f ca="1"/>
        <v>9.5326000000000004</v>
      </c>
      <c r="E23" s="3">
        <f ca="1"/>
        <v>12.2698</v>
      </c>
      <c r="F23" s="3">
        <f ca="1"/>
        <v>12.9244</v>
      </c>
      <c r="G23" s="3">
        <f ca="1"/>
        <v>9.9282000000000004</v>
      </c>
      <c r="H23" s="3">
        <f ca="1"/>
        <v>13.0725</v>
      </c>
      <c r="I23" s="3">
        <f ca="1"/>
        <v>14.424899999999999</v>
      </c>
      <c r="J23" s="3">
        <f ca="1"/>
        <v>15.2441</v>
      </c>
      <c r="K23" s="3">
        <f ca="1"/>
        <v>13.247400000000001</v>
      </c>
      <c r="L23" s="3">
        <f ca="1"/>
        <v>15.7782</v>
      </c>
      <c r="M23" s="3">
        <f ca="1"/>
        <v>16.0364</v>
      </c>
      <c r="N23" s="3">
        <f ca="1"/>
        <v>16.434899999999999</v>
      </c>
      <c r="O23">
        <f ca="1"/>
        <v>13.0351</v>
      </c>
      <c r="Q23" s="24" t="str">
        <v>TYL US EQUITY</v>
      </c>
      <c r="R23" s="24">
        <v>0</v>
      </c>
      <c r="S23" s="25">
        <v>0</v>
      </c>
      <c r="T23" s="26">
        <v>0</v>
      </c>
      <c r="U23" s="27" t="str">
        <v/>
      </c>
      <c r="V23" s="28" t="str">
        <v/>
      </c>
      <c r="W23" s="29" t="str">
        <v/>
      </c>
      <c r="X23" s="28" t="str">
        <v/>
      </c>
      <c r="Y23" s="29" t="str">
        <v/>
      </c>
    </row>
    <row r="24" spans="1:25" x14ac:dyDescent="0.45">
      <c r="C24" s="4" t="s">
        <v>4</v>
      </c>
      <c r="D24" s="5"/>
      <c r="E24" s="4"/>
      <c r="F24" s="4"/>
      <c r="G24" s="4"/>
      <c r="H24" s="7">
        <f t="shared" ref="H24:O24" ca="1" si="5">(H23-D23)*100</f>
        <v>353.98999999999995</v>
      </c>
      <c r="I24" s="7">
        <f t="shared" ca="1" si="5"/>
        <v>215.50999999999991</v>
      </c>
      <c r="J24" s="7">
        <f t="shared" ca="1" si="5"/>
        <v>231.96999999999991</v>
      </c>
      <c r="K24" s="7">
        <f t="shared" ca="1" si="5"/>
        <v>331.92</v>
      </c>
      <c r="L24" s="7">
        <f t="shared" ca="1" si="5"/>
        <v>270.57000000000005</v>
      </c>
      <c r="M24" s="7">
        <f t="shared" ca="1" si="5"/>
        <v>161.15000000000012</v>
      </c>
      <c r="N24" s="7">
        <f t="shared" ca="1" si="5"/>
        <v>119.07999999999994</v>
      </c>
      <c r="O24" s="7">
        <f t="shared" ca="1" si="5"/>
        <v>-21.230000000000082</v>
      </c>
      <c r="Q24" s="24" t="str">
        <v>TYL US EQUITY</v>
      </c>
      <c r="R24" s="24">
        <v>0</v>
      </c>
      <c r="S24" s="25">
        <v>0</v>
      </c>
      <c r="T24" s="26">
        <v>0</v>
      </c>
      <c r="U24" s="27" t="str">
        <v/>
      </c>
      <c r="V24" s="28" t="str">
        <v/>
      </c>
      <c r="W24" s="29" t="str">
        <v/>
      </c>
      <c r="X24" s="28" t="str">
        <v/>
      </c>
      <c r="Y24" s="29" t="str">
        <v/>
      </c>
    </row>
    <row r="25" spans="1:25" x14ac:dyDescent="0.45">
      <c r="C25" s="4" t="s">
        <v>19</v>
      </c>
      <c r="D25" s="1"/>
      <c r="K25" s="7"/>
      <c r="L25" s="7"/>
      <c r="M25" s="7"/>
      <c r="N25" s="7"/>
      <c r="O25" s="7"/>
      <c r="Q25" s="24" t="str">
        <v>TYL US EQUITY</v>
      </c>
      <c r="R25" s="24">
        <v>0</v>
      </c>
      <c r="S25" s="25">
        <v>0</v>
      </c>
      <c r="T25" s="26">
        <v>0</v>
      </c>
      <c r="U25" s="27" t="str">
        <v/>
      </c>
      <c r="V25" s="28" t="str">
        <v/>
      </c>
      <c r="W25" s="29" t="str">
        <v/>
      </c>
      <c r="X25" s="28" t="str">
        <v/>
      </c>
      <c r="Y25" s="29" t="str">
        <v/>
      </c>
    </row>
    <row r="26" spans="1:25" x14ac:dyDescent="0.4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TYL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45">
      <c r="C27" s="4" t="s">
        <v>5</v>
      </c>
      <c r="D27" s="1"/>
      <c r="K27" s="7"/>
      <c r="L27" s="7">
        <f ca="1">(L23-K23)*100</f>
        <v>253.07999999999993</v>
      </c>
      <c r="M27" s="7">
        <f ca="1">(M23-L23)*100</f>
        <v>25.820000000000043</v>
      </c>
      <c r="N27" s="7">
        <f ca="1">(N23-M23)*100</f>
        <v>39.849999999999852</v>
      </c>
      <c r="O27" s="7">
        <f ca="1">(O23-N23)*100</f>
        <v>-339.9799999999999</v>
      </c>
      <c r="Q27" s="24" t="str">
        <v>TYL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45">
      <c r="C28" s="4"/>
      <c r="D28" s="1"/>
      <c r="K28" s="7"/>
      <c r="L28" s="7"/>
      <c r="M28" s="7"/>
      <c r="N28" s="7"/>
      <c r="O28" s="7"/>
      <c r="Q28" s="24" t="str">
        <v>TYL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45">
      <c r="C29" s="13"/>
      <c r="D29" s="14">
        <f t="shared" ref="D29:L29" si="6">EOMONTH(DATE(YEAR(D30),ROUNDUP(MONTH(D30)/3,0)*3,1),0)</f>
        <v>45016</v>
      </c>
      <c r="E29" s="14">
        <f t="shared" si="6"/>
        <v>45107</v>
      </c>
      <c r="F29" s="14">
        <f t="shared" si="6"/>
        <v>45199</v>
      </c>
      <c r="G29" s="14">
        <f t="shared" si="6"/>
        <v>45291</v>
      </c>
      <c r="H29" s="14">
        <f t="shared" si="6"/>
        <v>45382</v>
      </c>
      <c r="I29" s="14">
        <f t="shared" si="6"/>
        <v>45473</v>
      </c>
      <c r="J29" s="14">
        <f t="shared" si="6"/>
        <v>45565</v>
      </c>
      <c r="K29" s="14">
        <f t="shared" si="6"/>
        <v>45657</v>
      </c>
      <c r="L29" s="14">
        <f t="shared" si="6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TYL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45">
      <c r="D30" s="2">
        <v>45016</v>
      </c>
      <c r="E30" s="2">
        <v>45107</v>
      </c>
      <c r="F30" s="2">
        <v>45199</v>
      </c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TYL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45">
      <c r="A31" s="16" t="s">
        <v>21</v>
      </c>
      <c r="B31" s="16" t="s">
        <v>91</v>
      </c>
      <c r="C31" s="2" t="s">
        <v>57</v>
      </c>
      <c r="D31" s="32">
        <v>121915</v>
      </c>
      <c r="E31" s="32">
        <v>126599</v>
      </c>
      <c r="F31" s="32">
        <v>138509</v>
      </c>
      <c r="G31" s="32">
        <v>140954</v>
      </c>
      <c r="H31" s="32">
        <v>148784</v>
      </c>
      <c r="I31" s="32">
        <v>155978</v>
      </c>
      <c r="J31" s="32">
        <v>166624</v>
      </c>
      <c r="K31" s="32">
        <v>173394</v>
      </c>
      <c r="L31" s="32">
        <v>180080</v>
      </c>
      <c r="M31" s="32">
        <v>189571</v>
      </c>
      <c r="N31" s="32">
        <v>199786</v>
      </c>
      <c r="O31" s="32">
        <v>208332</v>
      </c>
      <c r="Q31" s="24" t="str">
        <v>TYL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45">
      <c r="C32" s="4" t="s">
        <v>4</v>
      </c>
      <c r="D32" s="5"/>
      <c r="E32" s="4"/>
      <c r="F32" s="4"/>
      <c r="G32" s="12"/>
      <c r="H32" s="12">
        <f t="shared" ref="H32:O32" si="7">+H31/D31-1</f>
        <v>0.2203912562030923</v>
      </c>
      <c r="I32" s="12">
        <f t="shared" si="7"/>
        <v>0.23206344441899218</v>
      </c>
      <c r="J32" s="12">
        <f t="shared" si="7"/>
        <v>0.2029831996476763</v>
      </c>
      <c r="K32" s="12">
        <f t="shared" si="7"/>
        <v>0.23014600507967131</v>
      </c>
      <c r="L32" s="12">
        <f t="shared" si="7"/>
        <v>0.21034519840843102</v>
      </c>
      <c r="M32" s="12">
        <f t="shared" si="7"/>
        <v>0.21537011629845226</v>
      </c>
      <c r="N32" s="12">
        <f t="shared" si="7"/>
        <v>0.19902294987516811</v>
      </c>
      <c r="O32" s="12">
        <f t="shared" si="7"/>
        <v>0.20149486141388984</v>
      </c>
      <c r="Q32" s="24" t="str">
        <v>TYL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45">
      <c r="C33" s="4" t="s">
        <v>19</v>
      </c>
      <c r="D33" s="1"/>
      <c r="L33" s="7">
        <f>(L32-K32)*10000</f>
        <v>-198.00806671240289</v>
      </c>
      <c r="M33" s="7">
        <f>(M32-L32)*10000</f>
        <v>50.249178900212414</v>
      </c>
      <c r="N33" s="7">
        <f>(N32-M32)*10000</f>
        <v>-163.47166423284153</v>
      </c>
      <c r="O33" s="7">
        <f>(O32-N32)*10000</f>
        <v>24.719115387217272</v>
      </c>
      <c r="Q33" s="24" t="str">
        <v>TYL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45">
      <c r="C34" s="4" t="s">
        <v>23</v>
      </c>
      <c r="D34" s="1"/>
      <c r="E34" s="6"/>
      <c r="F34" s="6"/>
      <c r="G34" s="6"/>
      <c r="H34" s="6"/>
      <c r="I34" s="6"/>
      <c r="J34" s="6"/>
      <c r="K34" s="6"/>
      <c r="L34" s="7">
        <f>(L32-H32)*10000</f>
        <v>-100.46057794661279</v>
      </c>
      <c r="M34" s="7">
        <f>(M32-I32)*10000</f>
        <v>-166.9332812053992</v>
      </c>
      <c r="N34" s="7">
        <f>(N32-J32)*10000</f>
        <v>-39.602497725081953</v>
      </c>
      <c r="O34" s="7">
        <f>(O32-K32)*10000</f>
        <v>-286.51143665781478</v>
      </c>
    </row>
    <row r="35" spans="1:25" x14ac:dyDescent="0.45">
      <c r="C35" s="4" t="s">
        <v>5</v>
      </c>
      <c r="D35" s="1"/>
      <c r="L35" s="12">
        <f>L31/K31-1</f>
        <v>3.8559581069702586E-2</v>
      </c>
      <c r="M35" s="12">
        <f>M31/L31-1</f>
        <v>5.2704353620613098E-2</v>
      </c>
      <c r="N35" s="12">
        <f>N31/M31-1</f>
        <v>5.3884824155593369E-2</v>
      </c>
      <c r="O35" s="12">
        <f>O31/N31-1</f>
        <v>4.2775770073979258E-2</v>
      </c>
    </row>
    <row r="36" spans="1:25" x14ac:dyDescent="0.45">
      <c r="C36" s="4"/>
      <c r="D36" s="1"/>
      <c r="L36" s="7"/>
      <c r="M36" s="7"/>
      <c r="N36" s="7"/>
      <c r="O36" s="7"/>
    </row>
    <row r="37" spans="1:25" x14ac:dyDescent="0.45">
      <c r="C37" s="13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25" x14ac:dyDescent="0.45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25" x14ac:dyDescent="0.45">
      <c r="A39" s="16"/>
      <c r="B39" s="16"/>
      <c r="C39" s="2"/>
      <c r="D39" s="34"/>
      <c r="E39" s="34"/>
      <c r="F39" s="34"/>
      <c r="G39" s="35"/>
      <c r="H39" s="35"/>
      <c r="I39" s="35"/>
      <c r="J39" s="35"/>
      <c r="K39" s="35"/>
      <c r="L39" s="35"/>
      <c r="M39" s="35"/>
      <c r="N39" s="35"/>
      <c r="O39" s="35"/>
    </row>
    <row r="40" spans="1:25" x14ac:dyDescent="0.45">
      <c r="C40" s="4"/>
      <c r="D40" s="5"/>
      <c r="E40" s="4"/>
      <c r="F40" s="4"/>
      <c r="G40" s="12"/>
      <c r="H40" s="12"/>
      <c r="I40" s="12"/>
      <c r="J40" s="12"/>
      <c r="K40" s="12"/>
      <c r="L40" s="12"/>
      <c r="M40" s="12"/>
      <c r="N40" s="12"/>
      <c r="O40" s="12"/>
    </row>
    <row r="41" spans="1:25" x14ac:dyDescent="0.45">
      <c r="C41" s="4"/>
      <c r="D41" s="1"/>
      <c r="L41" s="7"/>
      <c r="M41" s="7"/>
      <c r="N41" s="7"/>
      <c r="O41" s="7"/>
    </row>
    <row r="42" spans="1:25" x14ac:dyDescent="0.45">
      <c r="C42" s="4"/>
      <c r="D42" s="1"/>
      <c r="E42" s="6"/>
      <c r="F42" s="6"/>
      <c r="G42" s="6"/>
      <c r="H42" s="6"/>
      <c r="I42" s="6"/>
      <c r="J42" s="6"/>
      <c r="K42" s="6"/>
      <c r="L42" s="7"/>
      <c r="M42" s="7"/>
      <c r="N42" s="7"/>
      <c r="O42" s="7"/>
    </row>
    <row r="43" spans="1:25" x14ac:dyDescent="0.45">
      <c r="C43" s="4"/>
      <c r="D43" s="1"/>
      <c r="L43" s="12"/>
      <c r="M43" s="12"/>
      <c r="N43" s="12"/>
      <c r="O43" s="12"/>
    </row>
    <row r="44" spans="1:25" x14ac:dyDescent="0.45">
      <c r="C44" s="4"/>
      <c r="D44" s="1"/>
      <c r="G44" s="1"/>
    </row>
    <row r="45" spans="1:25" x14ac:dyDescent="0.45"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25" x14ac:dyDescent="0.45"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25" x14ac:dyDescent="0.45">
      <c r="A47" s="16"/>
      <c r="B47" s="16"/>
      <c r="C47" s="2"/>
      <c r="D47" s="34"/>
      <c r="E47" s="34"/>
      <c r="F47" s="34"/>
      <c r="G47" s="35"/>
      <c r="H47" s="35"/>
      <c r="I47" s="35"/>
      <c r="J47" s="35"/>
      <c r="K47" s="35"/>
      <c r="L47" s="35"/>
      <c r="M47" s="35"/>
      <c r="N47" s="35"/>
      <c r="O47" s="35"/>
    </row>
    <row r="48" spans="1:25" x14ac:dyDescent="0.45">
      <c r="C48" s="4"/>
      <c r="D48" s="5"/>
      <c r="E48" s="4"/>
      <c r="F48" s="4"/>
      <c r="G48" s="4"/>
      <c r="H48" s="7"/>
      <c r="I48" s="7"/>
      <c r="J48" s="7"/>
      <c r="K48" s="7"/>
      <c r="L48" s="7"/>
      <c r="M48" s="7"/>
      <c r="N48" s="7"/>
      <c r="O48" s="7"/>
    </row>
    <row r="49" spans="1:15" x14ac:dyDescent="0.45">
      <c r="C49" s="4"/>
      <c r="D49" s="1"/>
      <c r="K49" s="7"/>
      <c r="L49" s="7"/>
      <c r="M49" s="7"/>
      <c r="N49" s="7"/>
      <c r="O49" s="7"/>
    </row>
    <row r="50" spans="1:15" x14ac:dyDescent="0.45">
      <c r="C50" s="4"/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45">
      <c r="C51" s="4"/>
      <c r="D51" s="1"/>
      <c r="K51" s="7"/>
      <c r="L51" s="7"/>
      <c r="M51" s="7"/>
      <c r="N51" s="7"/>
      <c r="O51" s="7"/>
    </row>
    <row r="52" spans="1:15" x14ac:dyDescent="0.45">
      <c r="C52" s="4"/>
      <c r="D52" s="1"/>
      <c r="G52" s="1"/>
    </row>
    <row r="53" spans="1:15" x14ac:dyDescent="0.4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4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4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4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45">
      <c r="C57" s="4"/>
      <c r="D57" s="1"/>
      <c r="K57" s="7"/>
      <c r="L57" s="7"/>
      <c r="M57" s="7"/>
      <c r="N57" s="7"/>
      <c r="O57" s="7"/>
    </row>
    <row r="58" spans="1:15" x14ac:dyDescent="0.4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45">
      <c r="C59" s="4"/>
      <c r="D59" s="1"/>
      <c r="K59" s="7"/>
      <c r="L59" s="7"/>
      <c r="M59" s="7"/>
      <c r="N59" s="7"/>
      <c r="O59" s="7"/>
    </row>
    <row r="64" spans="1:15" x14ac:dyDescent="0.4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45">
      <c r="C65" s="4"/>
      <c r="D65" s="1"/>
      <c r="K65" s="7"/>
      <c r="L65" s="7"/>
      <c r="M65" s="7"/>
      <c r="N65" s="7"/>
      <c r="O65" s="7"/>
    </row>
    <row r="66" spans="3:15" x14ac:dyDescent="0.4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4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9846-5AD9-4C27-BF23-263BCFC7DE42}">
  <dimension ref="A1:Y67"/>
  <sheetViews>
    <sheetView zoomScale="85" zoomScaleNormal="85" workbookViewId="0">
      <pane xSplit="3" topLeftCell="G1" activePane="topRight" state="frozen"/>
      <selection pane="topRight" activeCell="O18" sqref="O18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6" width="10.1328125" bestFit="1" customWidth="1"/>
    <col min="7" max="7" width="10.59765625" bestFit="1" customWidth="1"/>
    <col min="8" max="10" width="10.1328125" bestFit="1" customWidth="1"/>
    <col min="11" max="11" width="10.59765625" bestFit="1" customWidth="1"/>
    <col min="12" max="12" width="10.1328125" bestFit="1" customWidth="1"/>
    <col min="13" max="15" width="10.265625" bestFit="1" customWidth="1"/>
    <col min="16" max="16" width="9" customWidth="1"/>
    <col min="17" max="17" width="12.3984375" bestFit="1" customWidth="1"/>
    <col min="18" max="18" width="14.3984375" bestFit="1" customWidth="1"/>
    <col min="19" max="19" width="8.59765625" bestFit="1" customWidth="1"/>
    <col min="20" max="20" width="20.265625" bestFit="1" customWidth="1"/>
    <col min="21" max="21" width="7.3984375" bestFit="1" customWidth="1"/>
    <col min="22" max="22" width="10.73046875" bestFit="1" customWidth="1"/>
    <col min="23" max="23" width="9.1328125" bestFit="1" customWidth="1"/>
    <col min="24" max="24" width="10.3984375" bestFit="1" customWidth="1"/>
    <col min="25" max="25" width="9.1328125" bestFit="1" customWidth="1"/>
  </cols>
  <sheetData>
    <row r="1" spans="1:25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45">
      <c r="A2" s="17" t="s">
        <v>1</v>
      </c>
      <c r="B2" s="31" t="s">
        <v>92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VRNS US EQUITY</v>
      </c>
      <c r="R2" s="24">
        <f ca="1"/>
        <v>45747</v>
      </c>
      <c r="S2" s="25" t="str">
        <f ca="1"/>
        <v>canonical</v>
      </c>
      <c r="T2" s="26" t="str">
        <f ca="1"/>
        <v>revenue</v>
      </c>
      <c r="U2" s="27" t="str">
        <f ca="1"/>
        <v>136.423</v>
      </c>
      <c r="V2" s="28" t="str">
        <f ca="1"/>
        <v>0.196462086264054</v>
      </c>
      <c r="W2" s="29" t="str">
        <f ca="1"/>
        <v>1678.11673217896</v>
      </c>
      <c r="X2" s="28" t="str">
        <f ca="1"/>
        <v>1341.61811423601</v>
      </c>
      <c r="Y2" s="29" t="str">
        <f ca="1"/>
        <v>-0.139363084648675</v>
      </c>
    </row>
    <row r="3" spans="1:25" x14ac:dyDescent="0.45">
      <c r="A3" s="18" t="s">
        <v>3</v>
      </c>
      <c r="B3" s="19">
        <f ca="1">+B4-365*3</f>
        <v>45001</v>
      </c>
      <c r="Q3" s="24" t="str">
        <f ca="1"/>
        <v>VRNS US EQUITY</v>
      </c>
      <c r="R3" s="24">
        <f ca="1"/>
        <v>45838</v>
      </c>
      <c r="S3" s="25" t="str">
        <f ca="1"/>
        <v>canonical</v>
      </c>
      <c r="T3" s="26" t="str">
        <f ca="1"/>
        <v>revenue</v>
      </c>
      <c r="U3" s="27" t="str">
        <f ca="1"/>
        <v>152.163</v>
      </c>
      <c r="V3" s="28" t="str">
        <f ca="1"/>
        <v>0.167377595016341</v>
      </c>
      <c r="W3" s="29" t="str">
        <f ca="1"/>
        <v>-290.844912477131</v>
      </c>
      <c r="X3" s="29" t="str">
        <f ca="1"/>
        <v>380.390169782536</v>
      </c>
      <c r="Y3" s="29" t="str">
        <f ca="1"/>
        <v>0.11537643945669</v>
      </c>
    </row>
    <row r="4" spans="1:25" x14ac:dyDescent="0.45">
      <c r="A4" s="20" t="s">
        <v>2</v>
      </c>
      <c r="B4" s="21">
        <f ca="1">TODAY()</f>
        <v>46096</v>
      </c>
      <c r="Q4" s="24" t="str">
        <f ca="1"/>
        <v>VRNS US EQUITY</v>
      </c>
      <c r="R4" s="24">
        <f ca="1"/>
        <v>45930</v>
      </c>
      <c r="S4" s="25" t="str">
        <f ca="1"/>
        <v>canonical</v>
      </c>
      <c r="T4" s="26" t="str">
        <f ca="1"/>
        <v>revenue</v>
      </c>
      <c r="U4" s="27" t="str">
        <f ca="1"/>
        <v>161.577</v>
      </c>
      <c r="V4" s="28" t="str">
        <f ca="1"/>
        <v>0.0912351081935325</v>
      </c>
      <c r="W4" s="29" t="str">
        <f ca="1"/>
        <v>-761.424868228087</v>
      </c>
      <c r="X4" s="29" t="str">
        <f ca="1"/>
        <v>-1193.807141566</v>
      </c>
      <c r="Y4" s="29" t="str">
        <f ca="1"/>
        <v>0.061867865381203</v>
      </c>
    </row>
    <row r="5" spans="1:25" x14ac:dyDescent="0.45">
      <c r="C5" s="13" t="s">
        <v>12</v>
      </c>
      <c r="D5" s="14">
        <f t="shared" ref="D5:O5" ca="1" si="0">EOMONTH(DATE(YEAR(D6),ROUNDUP(MONTH(D6)/3,0)*3,1),0)</f>
        <v>45016</v>
      </c>
      <c r="E5" s="14">
        <f t="shared" ca="1" si="0"/>
        <v>45107</v>
      </c>
      <c r="F5" s="14">
        <f t="shared" ca="1" si="0"/>
        <v>45199</v>
      </c>
      <c r="G5" s="14">
        <f t="shared" ca="1" si="0"/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t="shared" ca="1" si="0"/>
        <v>45747</v>
      </c>
      <c r="M5" s="14">
        <f t="shared" ca="1" si="0"/>
        <v>45838</v>
      </c>
      <c r="N5" s="14">
        <f t="shared" ca="1" si="0"/>
        <v>45930</v>
      </c>
      <c r="O5" s="14">
        <f t="shared" ca="1" si="0"/>
        <v>46022</v>
      </c>
      <c r="Q5" s="24" t="str">
        <f ca="1"/>
        <v>VRNS US EQUITY</v>
      </c>
      <c r="R5" s="24">
        <f ca="1"/>
        <v>46022</v>
      </c>
      <c r="S5" s="25" t="str">
        <f ca="1"/>
        <v>canonical</v>
      </c>
      <c r="T5" s="26" t="str">
        <f ca="1"/>
        <v>revenue</v>
      </c>
      <c r="U5" s="27" t="str">
        <f ca="1"/>
        <v>173.369</v>
      </c>
      <c r="V5" s="28" t="str">
        <f ca="1"/>
        <v>0.0937141198884641</v>
      </c>
      <c r="W5" s="29" t="str">
        <f ca="1"/>
        <v>24.7901169493159</v>
      </c>
      <c r="X5" s="29" t="str">
        <f ca="1"/>
        <v>650.637068423054</v>
      </c>
      <c r="Y5" s="29" t="str">
        <f ca="1"/>
        <v>0.0729806841320237</v>
      </c>
    </row>
    <row r="6" spans="1:25" x14ac:dyDescent="0.45">
      <c r="D6" s="15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VRNS US EQUITY</v>
      </c>
      <c r="R6" s="24">
        <f ca="1"/>
        <v>45747</v>
      </c>
      <c r="S6" s="25" t="str">
        <f ca="1"/>
        <v>canonical</v>
      </c>
      <c r="T6" s="26" t="str">
        <f ca="1"/>
        <v>gross_margin_gaap</v>
      </c>
      <c r="U6" s="30" t="str">
        <f ca="1"/>
        <v>78.7294</v>
      </c>
      <c r="V6" s="29" t="str">
        <f ca="1"/>
        <v>-254.7</v>
      </c>
      <c r="W6" s="29" t="str">
        <f ca="1"/>
        <v/>
      </c>
      <c r="X6" s="29" t="str">
        <f ca="1"/>
        <v/>
      </c>
      <c r="Y6" s="29" t="str">
        <f ca="1"/>
        <v>-483.36</v>
      </c>
    </row>
    <row r="7" spans="1:25" x14ac:dyDescent="0.45">
      <c r="A7" s="16" t="s">
        <v>9</v>
      </c>
      <c r="B7" s="16" t="s">
        <v>8</v>
      </c>
      <c r="C7" s="9" t="s">
        <v>0</v>
      </c>
      <c r="D7" s="11">
        <f ca="1"/>
        <v>107.33499999999999</v>
      </c>
      <c r="E7" s="11">
        <f ca="1"/>
        <v>115.41800000000001</v>
      </c>
      <c r="F7" s="11">
        <f ca="1"/>
        <v>122.30800000000001</v>
      </c>
      <c r="G7" s="11">
        <f ca="1"/>
        <v>154.09899999999999</v>
      </c>
      <c r="H7" s="11">
        <f ca="1"/>
        <v>114.02200000000001</v>
      </c>
      <c r="I7" s="11">
        <f ca="1"/>
        <v>130.346</v>
      </c>
      <c r="J7" s="11">
        <f ca="1"/>
        <v>148.06800000000001</v>
      </c>
      <c r="K7" s="11">
        <f ca="1"/>
        <v>158.51400000000001</v>
      </c>
      <c r="L7" s="11">
        <f ca="1"/>
        <v>136.423</v>
      </c>
      <c r="M7" s="11">
        <f ca="1"/>
        <v>152.16300000000001</v>
      </c>
      <c r="N7" s="11">
        <f ca="1"/>
        <v>161.577</v>
      </c>
      <c r="O7" s="3">
        <f ca="1"/>
        <v>173.369</v>
      </c>
      <c r="P7" s="1"/>
      <c r="Q7" s="24" t="str">
        <f ca="1"/>
        <v>VRNS US EQUITY</v>
      </c>
      <c r="R7" s="24">
        <f ca="1"/>
        <v>45838</v>
      </c>
      <c r="S7" s="25" t="str">
        <f ca="1"/>
        <v>canonical</v>
      </c>
      <c r="T7" s="26" t="str">
        <f ca="1"/>
        <v>gross_margin_gaap</v>
      </c>
      <c r="U7" s="30" t="str">
        <f ca="1"/>
        <v>79.4635</v>
      </c>
      <c r="V7" s="29" t="str">
        <f ca="1"/>
        <v>-332.390000000001</v>
      </c>
      <c r="W7" s="29" t="str">
        <f ca="1"/>
        <v/>
      </c>
      <c r="X7" s="29" t="str">
        <f ca="1"/>
        <v/>
      </c>
      <c r="Y7" s="29" t="str">
        <f ca="1"/>
        <v>73.4099999999998</v>
      </c>
    </row>
    <row r="8" spans="1:25" x14ac:dyDescent="0.45">
      <c r="C8" s="4" t="s">
        <v>4</v>
      </c>
      <c r="D8" s="5"/>
      <c r="E8" s="4"/>
      <c r="F8" s="4"/>
      <c r="G8" s="12"/>
      <c r="H8" s="12">
        <f t="shared" ref="H8:O8" ca="1" si="1">+H7/D7-1</f>
        <v>6.2300274840452863E-2</v>
      </c>
      <c r="I8" s="12">
        <f t="shared" ca="1" si="1"/>
        <v>0.12933857803808757</v>
      </c>
      <c r="J8" s="12">
        <f t="shared" ca="1" si="1"/>
        <v>0.21061582235013243</v>
      </c>
      <c r="K8" s="12">
        <f t="shared" ca="1" si="1"/>
        <v>2.8650413046158674E-2</v>
      </c>
      <c r="L8" s="12">
        <f t="shared" ca="1" si="1"/>
        <v>0.19646208626405426</v>
      </c>
      <c r="M8" s="12">
        <f t="shared" ca="1" si="1"/>
        <v>0.1673775950163412</v>
      </c>
      <c r="N8" s="12">
        <f t="shared" ca="1" si="1"/>
        <v>9.1235108193532533E-2</v>
      </c>
      <c r="O8" s="12">
        <f t="shared" ca="1" si="1"/>
        <v>9.371411988846412E-2</v>
      </c>
      <c r="P8" s="3"/>
      <c r="Q8" s="24" t="str">
        <f ca="1"/>
        <v>VRNS US EQUITY</v>
      </c>
      <c r="R8" s="24">
        <f ca="1"/>
        <v>45930</v>
      </c>
      <c r="S8" s="25" t="str">
        <f ca="1"/>
        <v>canonical</v>
      </c>
      <c r="T8" s="26" t="str">
        <f ca="1"/>
        <v>gross_margin_gaap</v>
      </c>
      <c r="U8" s="30" t="str">
        <f ca="1"/>
        <v>78.2463</v>
      </c>
      <c r="V8" s="29" t="str">
        <f ca="1"/>
        <v>-554.02</v>
      </c>
      <c r="W8" s="29" t="str">
        <f ca="1"/>
        <v/>
      </c>
      <c r="X8" s="29" t="str">
        <f ca="1"/>
        <v/>
      </c>
      <c r="Y8" s="29" t="str">
        <f ca="1"/>
        <v>-121.719999999999</v>
      </c>
    </row>
    <row r="9" spans="1:25" x14ac:dyDescent="0.45">
      <c r="C9" s="4" t="s">
        <v>19</v>
      </c>
      <c r="D9" s="1"/>
      <c r="L9" s="7">
        <f ca="1">(L8-K8)*10000</f>
        <v>1678.1167321789558</v>
      </c>
      <c r="M9" s="7">
        <f ca="1">(M8-L8)*10000</f>
        <v>-290.84491247713061</v>
      </c>
      <c r="N9" s="7">
        <f ca="1">(N8-M8)*10000</f>
        <v>-761.42486822808667</v>
      </c>
      <c r="O9" s="7">
        <f ca="1">(O8-N8)*10000</f>
        <v>24.790116949315877</v>
      </c>
      <c r="Q9" s="22" t="str">
        <f ca="1"/>
        <v>VRNS US EQUITY</v>
      </c>
      <c r="R9" s="24">
        <f ca="1"/>
        <v>46022</v>
      </c>
      <c r="S9" s="25" t="str">
        <f ca="1"/>
        <v>canonical</v>
      </c>
      <c r="T9" s="26" t="str">
        <f ca="1"/>
        <v>gross_margin_gaap</v>
      </c>
      <c r="U9" s="30" t="str">
        <f ca="1"/>
        <v>78.9132</v>
      </c>
      <c r="V9" s="29" t="str">
        <f ca="1"/>
        <v>-464.98</v>
      </c>
      <c r="W9" s="29" t="str">
        <f ca="1"/>
        <v/>
      </c>
      <c r="X9" s="29" t="str">
        <f ca="1"/>
        <v/>
      </c>
      <c r="Y9" s="29" t="str">
        <f ca="1"/>
        <v>66.6899999999998</v>
      </c>
    </row>
    <row r="10" spans="1:25" x14ac:dyDescent="0.4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1341.618114236014</v>
      </c>
      <c r="M10" s="7">
        <f ca="1">(M8-I8)*10000</f>
        <v>380.39016978253625</v>
      </c>
      <c r="N10" s="7">
        <f ca="1">(N8-J8)*10000</f>
        <v>-1193.807141565999</v>
      </c>
      <c r="O10" s="7">
        <f ca="1">(O8-K8)*10000</f>
        <v>650.63706842305442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VRNS US EQUITY</v>
      </c>
      <c r="R10" s="24">
        <f ca="1"/>
        <v>45747</v>
      </c>
      <c r="S10" s="25" t="str">
        <f ca="1"/>
        <v>canonical</v>
      </c>
      <c r="T10" s="26" t="str">
        <f ca="1"/>
        <v>operating_margin_gaap</v>
      </c>
      <c r="U10" s="30" t="str">
        <f ca="1"/>
        <v>-32.0811</v>
      </c>
      <c r="V10" s="29" t="str">
        <f ca="1"/>
        <v>969.42</v>
      </c>
      <c r="W10" s="29" t="str">
        <f ca="1"/>
        <v/>
      </c>
      <c r="X10" s="29" t="str">
        <f ca="1"/>
        <v/>
      </c>
      <c r="Y10" s="29" t="str">
        <f ca="1"/>
        <v>-2100.83</v>
      </c>
    </row>
    <row r="11" spans="1:25" x14ac:dyDescent="0.45">
      <c r="C11" s="4" t="s">
        <v>5</v>
      </c>
      <c r="D11" s="1"/>
      <c r="L11" s="12">
        <f ca="1">L7/K7-1</f>
        <v>-0.13936308464867464</v>
      </c>
      <c r="M11" s="12">
        <f ca="1">M7/L7-1</f>
        <v>0.11537643945668985</v>
      </c>
      <c r="N11" s="12">
        <f ca="1">N7/M7-1</f>
        <v>6.1867865381203035E-2</v>
      </c>
      <c r="O11" s="12">
        <f ca="1">O7/N7-1</f>
        <v>7.2980684132023743E-2</v>
      </c>
      <c r="Q11" s="24" t="str">
        <f ca="1"/>
        <v>VRNS US EQUITY</v>
      </c>
      <c r="R11" s="24">
        <f ca="1"/>
        <v>45838</v>
      </c>
      <c r="S11" s="25" t="str">
        <f ca="1"/>
        <v>canonical</v>
      </c>
      <c r="T11" s="26" t="str">
        <f ca="1"/>
        <v>operating_margin_gaap</v>
      </c>
      <c r="U11" s="30" t="str">
        <f ca="1"/>
        <v>-24.0216</v>
      </c>
      <c r="V11" s="29" t="str">
        <f ca="1"/>
        <v>-190.66</v>
      </c>
      <c r="W11" s="29" t="str">
        <f ca="1"/>
        <v/>
      </c>
      <c r="X11" s="29" t="str">
        <f ca="1"/>
        <v/>
      </c>
      <c r="Y11" s="29" t="str">
        <f ca="1"/>
        <v>805.95</v>
      </c>
    </row>
    <row r="12" spans="1:25" x14ac:dyDescent="0.45">
      <c r="Q12" s="24" t="str">
        <f ca="1"/>
        <v>VRNS US EQUITY</v>
      </c>
      <c r="R12" s="24">
        <f ca="1"/>
        <v>45930</v>
      </c>
      <c r="S12" s="25" t="str">
        <f ca="1"/>
        <v>canonical</v>
      </c>
      <c r="T12" s="26" t="str">
        <f ca="1"/>
        <v>operating_margin_gaap</v>
      </c>
      <c r="U12" s="30" t="str">
        <f ca="1"/>
        <v>-22.2396</v>
      </c>
      <c r="V12" s="29" t="str">
        <f ca="1"/>
        <v>-627.4</v>
      </c>
      <c r="W12" s="29" t="str">
        <f ca="1"/>
        <v/>
      </c>
      <c r="X12" s="29" t="str">
        <f ca="1"/>
        <v/>
      </c>
      <c r="Y12" s="29" t="str">
        <f ca="1"/>
        <v>178.2</v>
      </c>
    </row>
    <row r="13" spans="1:25" x14ac:dyDescent="0.45">
      <c r="C13" s="13" t="s">
        <v>12</v>
      </c>
      <c r="D13" s="14">
        <f t="shared" ref="D13:O13" ca="1" si="2">EOMONTH(DATE(YEAR(D14),ROUNDUP(MONTH(D14)/3,0)*3,1),0)</f>
        <v>45016</v>
      </c>
      <c r="E13" s="14">
        <f t="shared" ca="1" si="2"/>
        <v>45107</v>
      </c>
      <c r="F13" s="14">
        <f t="shared" ca="1" si="2"/>
        <v>45199</v>
      </c>
      <c r="G13" s="14">
        <f t="shared" ca="1" si="2"/>
        <v>45291</v>
      </c>
      <c r="H13" s="14">
        <f t="shared" ca="1" si="2"/>
        <v>45382</v>
      </c>
      <c r="I13" s="14">
        <f t="shared" ca="1" si="2"/>
        <v>45473</v>
      </c>
      <c r="J13" s="14">
        <f t="shared" ca="1" si="2"/>
        <v>45565</v>
      </c>
      <c r="K13" s="14">
        <f t="shared" ca="1" si="2"/>
        <v>45657</v>
      </c>
      <c r="L13" s="14">
        <f t="shared" ca="1" si="2"/>
        <v>45747</v>
      </c>
      <c r="M13" s="14">
        <f t="shared" ca="1" si="2"/>
        <v>45838</v>
      </c>
      <c r="N13" s="14">
        <f t="shared" ca="1" si="2"/>
        <v>45930</v>
      </c>
      <c r="O13" s="14">
        <f t="shared" ca="1" si="2"/>
        <v>46022</v>
      </c>
      <c r="Q13" s="24" t="str">
        <f ca="1"/>
        <v>VRNS US EQUITY</v>
      </c>
      <c r="R13" s="24">
        <f ca="1"/>
        <v>46022</v>
      </c>
      <c r="S13" s="25" t="str">
        <f ca="1"/>
        <v>canonical</v>
      </c>
      <c r="T13" s="26" t="str">
        <f ca="1"/>
        <v>operating_margin_gaap</v>
      </c>
      <c r="U13" s="30" t="str">
        <f ca="1"/>
        <v>-17.4553</v>
      </c>
      <c r="V13" s="29" t="str">
        <f ca="1"/>
        <v>-638.25</v>
      </c>
      <c r="W13" s="29" t="str">
        <f ca="1"/>
        <v/>
      </c>
      <c r="X13" s="29" t="str">
        <f ca="1"/>
        <v/>
      </c>
      <c r="Y13" s="29" t="str">
        <f ca="1"/>
        <v>478.43</v>
      </c>
    </row>
    <row r="14" spans="1:25" x14ac:dyDescent="0.4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VRNS US EQUITY</v>
      </c>
      <c r="R14" s="24">
        <v>45747</v>
      </c>
      <c r="S14" s="25" t="str">
        <v>custom</v>
      </c>
      <c r="T14" s="26" t="str">
        <v>ARR</v>
      </c>
      <c r="U14" s="30" t="str">
        <v>664.3</v>
      </c>
      <c r="V14" s="29" t="str">
        <v>0.185614849187935</v>
      </c>
      <c r="W14" s="29" t="str">
        <v>34.7856926159995</v>
      </c>
      <c r="X14" s="29" t="str">
        <v>136.84290727362</v>
      </c>
      <c r="Y14" s="29" t="str">
        <v>0.034896401308615</v>
      </c>
    </row>
    <row r="15" spans="1:25" x14ac:dyDescent="0.45">
      <c r="A15" s="16" t="s">
        <v>9</v>
      </c>
      <c r="B15" s="16" t="s">
        <v>14</v>
      </c>
      <c r="C15" s="9" t="s">
        <v>6</v>
      </c>
      <c r="D15" s="3">
        <f ca="1"/>
        <v>83.568299999999994</v>
      </c>
      <c r="E15" s="3">
        <f ca="1"/>
        <v>84.936499999999995</v>
      </c>
      <c r="F15" s="3">
        <f ca="1"/>
        <v>85.789199999999994</v>
      </c>
      <c r="G15" s="3">
        <f ca="1"/>
        <v>87.445099999999996</v>
      </c>
      <c r="H15" s="3">
        <f ca="1"/>
        <v>81.276399999999995</v>
      </c>
      <c r="I15" s="3">
        <f ca="1"/>
        <v>82.787400000000005</v>
      </c>
      <c r="J15" s="3">
        <f ca="1"/>
        <v>83.786500000000004</v>
      </c>
      <c r="K15" s="3">
        <f ca="1"/>
        <v>83.563000000000002</v>
      </c>
      <c r="L15" s="3">
        <f ca="1"/>
        <v>78.729399999999998</v>
      </c>
      <c r="M15" s="3">
        <f ca="1"/>
        <v>79.463499999999996</v>
      </c>
      <c r="N15" s="3">
        <f ca="1"/>
        <v>78.246300000000005</v>
      </c>
      <c r="O15">
        <f ca="1"/>
        <v>78.913200000000003</v>
      </c>
      <c r="Q15" s="24" t="str">
        <v>VRNS US EQUITY</v>
      </c>
      <c r="R15" s="24">
        <v>45838</v>
      </c>
      <c r="S15" s="25" t="str">
        <v>custom</v>
      </c>
      <c r="T15" s="26" t="str">
        <v>ARR</v>
      </c>
      <c r="U15" s="30" t="str">
        <v>693.2</v>
      </c>
      <c r="V15" s="29" t="str">
        <v>0.186579938377268</v>
      </c>
      <c r="W15" s="29" t="str">
        <v>9.65089189332913</v>
      </c>
      <c r="X15" s="29" t="str">
        <v>111.272220794811</v>
      </c>
      <c r="Y15" s="29" t="str">
        <v>0.0435044407647149</v>
      </c>
    </row>
    <row r="16" spans="1:25" x14ac:dyDescent="0.45">
      <c r="C16" s="4" t="s">
        <v>4</v>
      </c>
      <c r="D16" s="5"/>
      <c r="E16" s="4"/>
      <c r="F16" s="4"/>
      <c r="G16" s="4"/>
      <c r="H16" s="7">
        <f t="shared" ref="H16:O16" ca="1" si="3">(H15-D15)*100</f>
        <v>-229.18999999999983</v>
      </c>
      <c r="I16" s="7">
        <f t="shared" ca="1" si="3"/>
        <v>-214.909999999999</v>
      </c>
      <c r="J16" s="7">
        <f t="shared" ca="1" si="3"/>
        <v>-200.26999999999902</v>
      </c>
      <c r="K16" s="7">
        <f t="shared" ca="1" si="3"/>
        <v>-388.20999999999941</v>
      </c>
      <c r="L16" s="7">
        <f t="shared" ca="1" si="3"/>
        <v>-254.6999999999997</v>
      </c>
      <c r="M16" s="7">
        <f t="shared" ca="1" si="3"/>
        <v>-332.3900000000009</v>
      </c>
      <c r="N16" s="7">
        <f t="shared" ca="1" si="3"/>
        <v>-554.01999999999987</v>
      </c>
      <c r="O16" s="7">
        <f t="shared" ca="1" si="3"/>
        <v>-464.9799999999999</v>
      </c>
      <c r="Q16" s="24" t="str">
        <v>VRNS US EQUITY</v>
      </c>
      <c r="R16" s="24">
        <v>45930</v>
      </c>
      <c r="S16" s="25" t="str">
        <v>custom</v>
      </c>
      <c r="T16" s="26" t="str">
        <v>ARR</v>
      </c>
      <c r="U16" s="30" t="str">
        <v>718.6</v>
      </c>
      <c r="V16" s="29" t="str">
        <v>0.178032786885246</v>
      </c>
      <c r="W16" s="29" t="str">
        <v>-85.471514920219</v>
      </c>
      <c r="X16" s="29" t="str">
        <v>-7.11174467410869</v>
      </c>
      <c r="Y16" s="29" t="str">
        <v>0.0366416618580496</v>
      </c>
    </row>
    <row r="17" spans="1:25" x14ac:dyDescent="0.45">
      <c r="C17" s="4" t="s">
        <v>19</v>
      </c>
      <c r="D17" s="1"/>
      <c r="K17" s="7"/>
      <c r="L17" s="7"/>
      <c r="M17" s="7"/>
      <c r="N17" s="7"/>
      <c r="O17" s="7"/>
      <c r="Q17" s="24" t="str">
        <v>VRNS US EQUITY</v>
      </c>
      <c r="R17" s="24">
        <v>46022</v>
      </c>
      <c r="S17" s="25" t="str">
        <v>custom</v>
      </c>
      <c r="T17" s="26" t="str">
        <v>ARR</v>
      </c>
      <c r="U17" s="30" t="str">
        <v>745.4</v>
      </c>
      <c r="V17" s="29" t="str">
        <v>0.161240068546503</v>
      </c>
      <c r="W17" s="29" t="str">
        <v>-167.927183387435</v>
      </c>
      <c r="X17" s="29" t="str">
        <v>-208.962113798326</v>
      </c>
      <c r="Y17" s="29" t="str">
        <v>0.0372947397717784</v>
      </c>
    </row>
    <row r="18" spans="1:25" x14ac:dyDescent="0.4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VRNS US EQUITY</v>
      </c>
      <c r="R18" s="24">
        <v>0</v>
      </c>
      <c r="S18" s="25">
        <v>0</v>
      </c>
      <c r="T18" s="26">
        <v>0</v>
      </c>
      <c r="U18" s="30" t="str">
        <v/>
      </c>
      <c r="V18" s="29" t="str">
        <v/>
      </c>
      <c r="W18" s="29" t="str">
        <v/>
      </c>
      <c r="X18" s="29" t="str">
        <v/>
      </c>
      <c r="Y18" s="29" t="str">
        <v/>
      </c>
    </row>
    <row r="19" spans="1:25" x14ac:dyDescent="0.45">
      <c r="C19" s="4" t="s">
        <v>5</v>
      </c>
      <c r="D19" s="1"/>
      <c r="K19" s="7"/>
      <c r="L19" s="7">
        <f ca="1">(L15-K15)*100</f>
        <v>-483.36000000000041</v>
      </c>
      <c r="M19" s="7">
        <f ca="1">(M15-L15)*100</f>
        <v>73.409999999999798</v>
      </c>
      <c r="N19" s="7">
        <f ca="1">(N15-M15)*100</f>
        <v>-121.71999999999912</v>
      </c>
      <c r="O19" s="7">
        <f ca="1">(O15-N15)*100</f>
        <v>66.689999999999827</v>
      </c>
      <c r="Q19" s="24" t="str">
        <v>VRNS US EQUITY</v>
      </c>
      <c r="R19" s="24">
        <v>0</v>
      </c>
      <c r="S19" s="25">
        <v>0</v>
      </c>
      <c r="T19" s="26">
        <v>0</v>
      </c>
      <c r="U19" s="30" t="str">
        <v/>
      </c>
      <c r="V19" s="29" t="str">
        <v/>
      </c>
      <c r="W19" s="29" t="str">
        <v/>
      </c>
      <c r="X19" s="29" t="str">
        <v/>
      </c>
      <c r="Y19" s="29" t="str">
        <v/>
      </c>
    </row>
    <row r="20" spans="1:25" x14ac:dyDescent="0.45">
      <c r="Q20" s="24" t="str">
        <v>VRNS US EQUITY</v>
      </c>
      <c r="R20" s="24">
        <v>0</v>
      </c>
      <c r="S20" s="25">
        <v>0</v>
      </c>
      <c r="T20" s="26">
        <v>0</v>
      </c>
      <c r="U20" s="30" t="str">
        <v/>
      </c>
      <c r="V20" s="29" t="str">
        <v/>
      </c>
      <c r="W20" s="29" t="str">
        <v/>
      </c>
      <c r="X20" s="29" t="str">
        <v/>
      </c>
      <c r="Y20" s="29" t="str">
        <v/>
      </c>
    </row>
    <row r="21" spans="1:25" x14ac:dyDescent="0.45">
      <c r="C21" s="13" t="s">
        <v>12</v>
      </c>
      <c r="D21" s="14">
        <f t="shared" ref="D21:O21" ca="1" si="4">EOMONTH(DATE(YEAR(D22),ROUNDUP(MONTH(D22)/3,0)*3,1),0)</f>
        <v>45016</v>
      </c>
      <c r="E21" s="14">
        <f t="shared" ca="1" si="4"/>
        <v>45107</v>
      </c>
      <c r="F21" s="14">
        <f t="shared" ca="1" si="4"/>
        <v>45199</v>
      </c>
      <c r="G21" s="14">
        <f t="shared" ca="1" si="4"/>
        <v>45291</v>
      </c>
      <c r="H21" s="14">
        <f t="shared" ca="1" si="4"/>
        <v>45382</v>
      </c>
      <c r="I21" s="14">
        <f t="shared" ca="1" si="4"/>
        <v>45473</v>
      </c>
      <c r="J21" s="14">
        <f t="shared" ca="1" si="4"/>
        <v>45565</v>
      </c>
      <c r="K21" s="14">
        <f t="shared" ca="1" si="4"/>
        <v>45657</v>
      </c>
      <c r="L21" s="14">
        <f t="shared" ca="1" si="4"/>
        <v>45747</v>
      </c>
      <c r="M21" s="14">
        <f t="shared" ca="1" si="4"/>
        <v>45838</v>
      </c>
      <c r="N21" s="14">
        <f t="shared" ca="1" si="4"/>
        <v>45930</v>
      </c>
      <c r="O21" s="14">
        <f t="shared" ca="1" si="4"/>
        <v>46022</v>
      </c>
      <c r="Q21" s="24" t="str">
        <v>VRNS US EQUITY</v>
      </c>
      <c r="R21" s="24">
        <v>0</v>
      </c>
      <c r="S21" s="25">
        <v>0</v>
      </c>
      <c r="T21" s="26">
        <v>0</v>
      </c>
      <c r="U21" s="30" t="str">
        <v/>
      </c>
      <c r="V21" s="29" t="str">
        <v/>
      </c>
      <c r="W21" s="29" t="str">
        <v/>
      </c>
      <c r="X21" s="29" t="str">
        <v/>
      </c>
      <c r="Y21" s="29" t="str">
        <v/>
      </c>
    </row>
    <row r="22" spans="1:25" x14ac:dyDescent="0.45">
      <c r="D22" s="1" cm="1">
        <f t="array" aca="1" ref="D22:O23" ca="1">+_xll.BDH($B$2,C23,$B$3,$B$4,"DIR=H")</f>
        <v>45016</v>
      </c>
      <c r="E22" s="1">
        <f ca="1"/>
        <v>45107</v>
      </c>
      <c r="F22" s="1">
        <f ca="1"/>
        <v>45199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45565</v>
      </c>
      <c r="K22" s="1">
        <f ca="1"/>
        <v>45657</v>
      </c>
      <c r="L22" s="1">
        <f ca="1"/>
        <v>45747</v>
      </c>
      <c r="M22" s="1">
        <f ca="1"/>
        <v>45838</v>
      </c>
      <c r="N22" s="1">
        <f ca="1"/>
        <v>45930</v>
      </c>
      <c r="O22" s="1">
        <f ca="1"/>
        <v>46022</v>
      </c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VRNS US EQUITY</v>
      </c>
      <c r="R22" s="24">
        <v>0</v>
      </c>
      <c r="S22" s="25">
        <v>0</v>
      </c>
      <c r="T22" s="26">
        <v>0</v>
      </c>
      <c r="U22" s="27" t="str">
        <v/>
      </c>
      <c r="V22" s="28" t="str">
        <v/>
      </c>
      <c r="W22" s="29" t="str">
        <v/>
      </c>
      <c r="X22" s="28" t="str">
        <v/>
      </c>
      <c r="Y22" s="29" t="str">
        <v/>
      </c>
    </row>
    <row r="23" spans="1:25" x14ac:dyDescent="0.45">
      <c r="A23" s="16" t="s">
        <v>9</v>
      </c>
      <c r="B23" s="16" t="s">
        <v>15</v>
      </c>
      <c r="C23" s="9" t="s">
        <v>7</v>
      </c>
      <c r="D23" s="3">
        <f ca="1"/>
        <v>-40.169600000000003</v>
      </c>
      <c r="E23" s="3">
        <f ca="1"/>
        <v>-34.410600000000002</v>
      </c>
      <c r="F23" s="3">
        <f ca="1"/>
        <v>-23.8308</v>
      </c>
      <c r="G23" s="3">
        <f ca="1"/>
        <v>-3.403</v>
      </c>
      <c r="H23" s="3">
        <f ca="1"/>
        <v>-41.775300000000001</v>
      </c>
      <c r="I23" s="3">
        <f ca="1"/>
        <v>-22.114999999999998</v>
      </c>
      <c r="J23" s="3">
        <f ca="1"/>
        <v>-15.9656</v>
      </c>
      <c r="K23" s="3">
        <f ca="1"/>
        <v>-11.072800000000001</v>
      </c>
      <c r="L23" s="3">
        <f ca="1"/>
        <v>-32.081099999999999</v>
      </c>
      <c r="M23" s="3">
        <f ca="1"/>
        <v>-24.021599999999999</v>
      </c>
      <c r="N23" s="3">
        <f ca="1"/>
        <v>-22.239599999999999</v>
      </c>
      <c r="O23">
        <f ca="1"/>
        <v>-17.455300000000001</v>
      </c>
      <c r="Q23" s="24" t="str">
        <v>VRNS US EQUITY</v>
      </c>
      <c r="R23" s="24">
        <v>0</v>
      </c>
      <c r="S23" s="25">
        <v>0</v>
      </c>
      <c r="T23" s="26">
        <v>0</v>
      </c>
      <c r="U23" s="27" t="str">
        <v/>
      </c>
      <c r="V23" s="28" t="str">
        <v/>
      </c>
      <c r="W23" s="29" t="str">
        <v/>
      </c>
      <c r="X23" s="28" t="str">
        <v/>
      </c>
      <c r="Y23" s="29" t="str">
        <v/>
      </c>
    </row>
    <row r="24" spans="1:25" x14ac:dyDescent="0.45">
      <c r="C24" s="4" t="s">
        <v>4</v>
      </c>
      <c r="D24" s="5"/>
      <c r="E24" s="4"/>
      <c r="F24" s="4"/>
      <c r="G24" s="4"/>
      <c r="H24" s="7">
        <f t="shared" ref="H24:O24" ca="1" si="5">(H23-D23)*100</f>
        <v>-160.56999999999988</v>
      </c>
      <c r="I24" s="7">
        <f t="shared" ca="1" si="5"/>
        <v>1229.5600000000004</v>
      </c>
      <c r="J24" s="7">
        <f t="shared" ca="1" si="5"/>
        <v>786.52</v>
      </c>
      <c r="K24" s="7">
        <f t="shared" ca="1" si="5"/>
        <v>-766.98</v>
      </c>
      <c r="L24" s="7">
        <f t="shared" ca="1" si="5"/>
        <v>969.42000000000019</v>
      </c>
      <c r="M24" s="7">
        <f t="shared" ca="1" si="5"/>
        <v>-190.66000000000008</v>
      </c>
      <c r="N24" s="7">
        <f t="shared" ca="1" si="5"/>
        <v>-627.39999999999986</v>
      </c>
      <c r="O24" s="7">
        <f t="shared" ca="1" si="5"/>
        <v>-638.25</v>
      </c>
      <c r="Q24" s="24" t="str">
        <v>VRNS US EQUITY</v>
      </c>
      <c r="R24" s="24">
        <v>0</v>
      </c>
      <c r="S24" s="25">
        <v>0</v>
      </c>
      <c r="T24" s="26">
        <v>0</v>
      </c>
      <c r="U24" s="27" t="str">
        <v/>
      </c>
      <c r="V24" s="28" t="str">
        <v/>
      </c>
      <c r="W24" s="29" t="str">
        <v/>
      </c>
      <c r="X24" s="28" t="str">
        <v/>
      </c>
      <c r="Y24" s="29" t="str">
        <v/>
      </c>
    </row>
    <row r="25" spans="1:25" x14ac:dyDescent="0.45">
      <c r="C25" s="4" t="s">
        <v>19</v>
      </c>
      <c r="D25" s="1"/>
      <c r="K25" s="7"/>
      <c r="L25" s="7"/>
      <c r="M25" s="7"/>
      <c r="N25" s="7"/>
      <c r="O25" s="7"/>
      <c r="Q25" s="24" t="str">
        <v>VRNS US EQUITY</v>
      </c>
      <c r="R25" s="24">
        <v>0</v>
      </c>
      <c r="S25" s="25">
        <v>0</v>
      </c>
      <c r="T25" s="26">
        <v>0</v>
      </c>
      <c r="U25" s="27" t="str">
        <v/>
      </c>
      <c r="V25" s="28" t="str">
        <v/>
      </c>
      <c r="W25" s="29" t="str">
        <v/>
      </c>
      <c r="X25" s="28" t="str">
        <v/>
      </c>
      <c r="Y25" s="29" t="str">
        <v/>
      </c>
    </row>
    <row r="26" spans="1:25" x14ac:dyDescent="0.4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VRNS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45">
      <c r="C27" s="4" t="s">
        <v>5</v>
      </c>
      <c r="D27" s="1"/>
      <c r="K27" s="7"/>
      <c r="L27" s="7">
        <f ca="1">(L23-K23)*100</f>
        <v>-2100.83</v>
      </c>
      <c r="M27" s="7">
        <f ca="1">(M23-L23)*100</f>
        <v>805.95</v>
      </c>
      <c r="N27" s="7">
        <f ca="1">(N23-M23)*100</f>
        <v>178.2</v>
      </c>
      <c r="O27" s="7">
        <f ca="1">(O23-N23)*100</f>
        <v>478.42999999999984</v>
      </c>
      <c r="Q27" s="24" t="str">
        <v>VRNS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45">
      <c r="C28" s="4"/>
      <c r="D28" s="1"/>
      <c r="K28" s="7"/>
      <c r="L28" s="7"/>
      <c r="M28" s="7"/>
      <c r="N28" s="7"/>
      <c r="O28" s="7"/>
      <c r="Q28" s="24" t="str">
        <v>VRNS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45">
      <c r="C29" s="13"/>
      <c r="D29" s="14">
        <f t="shared" ref="D29:L29" si="6">EOMONTH(DATE(YEAR(D30),ROUNDUP(MONTH(D30)/3,0)*3,1),0)</f>
        <v>45016</v>
      </c>
      <c r="E29" s="14">
        <f t="shared" si="6"/>
        <v>45107</v>
      </c>
      <c r="F29" s="14">
        <f t="shared" si="6"/>
        <v>45199</v>
      </c>
      <c r="G29" s="14">
        <f t="shared" si="6"/>
        <v>45291</v>
      </c>
      <c r="H29" s="14">
        <f t="shared" si="6"/>
        <v>45382</v>
      </c>
      <c r="I29" s="14">
        <f t="shared" si="6"/>
        <v>45473</v>
      </c>
      <c r="J29" s="14">
        <f t="shared" si="6"/>
        <v>45565</v>
      </c>
      <c r="K29" s="14">
        <f t="shared" si="6"/>
        <v>45657</v>
      </c>
      <c r="L29" s="14">
        <f t="shared" si="6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VRNS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45">
      <c r="D30" s="2">
        <v>45016</v>
      </c>
      <c r="E30" s="2">
        <v>45107</v>
      </c>
      <c r="F30" s="2">
        <v>45199</v>
      </c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VRNS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45">
      <c r="A31" s="16" t="s">
        <v>21</v>
      </c>
      <c r="B31" s="16" t="s">
        <v>27</v>
      </c>
      <c r="C31" s="2" t="s">
        <v>27</v>
      </c>
      <c r="D31" s="32">
        <v>478.1</v>
      </c>
      <c r="E31" s="32">
        <v>497</v>
      </c>
      <c r="F31" s="32">
        <v>517.5</v>
      </c>
      <c r="G31" s="32">
        <v>543</v>
      </c>
      <c r="H31" s="32">
        <v>560.29999999999995</v>
      </c>
      <c r="I31" s="32">
        <v>584.20000000000005</v>
      </c>
      <c r="J31" s="32">
        <v>610</v>
      </c>
      <c r="K31" s="32">
        <v>641.9</v>
      </c>
      <c r="L31" s="32">
        <v>664.3</v>
      </c>
      <c r="M31" s="32">
        <v>693.2</v>
      </c>
      <c r="N31" s="32">
        <v>718.6</v>
      </c>
      <c r="O31" s="32">
        <v>745.4</v>
      </c>
      <c r="Q31" s="24" t="str">
        <v>VRNS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45">
      <c r="C32" s="4" t="s">
        <v>4</v>
      </c>
      <c r="D32" s="5"/>
      <c r="E32" s="4"/>
      <c r="F32" s="4"/>
      <c r="G32" s="12"/>
      <c r="H32" s="12">
        <f t="shared" ref="H32:O32" si="7">+H31/D31-1</f>
        <v>0.17193055846057304</v>
      </c>
      <c r="I32" s="12">
        <f t="shared" si="7"/>
        <v>0.1754527162977868</v>
      </c>
      <c r="J32" s="12">
        <f t="shared" si="7"/>
        <v>0.17874396135265691</v>
      </c>
      <c r="K32" s="12">
        <f t="shared" si="7"/>
        <v>0.18213627992633508</v>
      </c>
      <c r="L32" s="12">
        <f t="shared" si="7"/>
        <v>0.18561484918793503</v>
      </c>
      <c r="M32" s="12">
        <f t="shared" si="7"/>
        <v>0.18657993837726794</v>
      </c>
      <c r="N32" s="12">
        <f t="shared" si="7"/>
        <v>0.17803278688524604</v>
      </c>
      <c r="O32" s="12">
        <f t="shared" si="7"/>
        <v>0.16124006854650252</v>
      </c>
      <c r="Q32" s="24" t="str">
        <v>VRNS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45">
      <c r="C33" s="4" t="s">
        <v>19</v>
      </c>
      <c r="D33" s="1"/>
      <c r="L33" s="7">
        <f>(L32-K32)*10000</f>
        <v>34.785692615999508</v>
      </c>
      <c r="M33" s="7">
        <f>(M32-L32)*10000</f>
        <v>9.6508918933291277</v>
      </c>
      <c r="N33" s="7">
        <f>(N32-M32)*10000</f>
        <v>-85.471514920218979</v>
      </c>
      <c r="O33" s="7">
        <f>(O32-N32)*10000</f>
        <v>-167.92718338743518</v>
      </c>
      <c r="Q33" s="24" t="str">
        <v>VRNS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45">
      <c r="C34" s="4" t="s">
        <v>23</v>
      </c>
      <c r="D34" s="1"/>
      <c r="E34" s="6"/>
      <c r="F34" s="6"/>
      <c r="G34" s="6"/>
      <c r="H34" s="6"/>
      <c r="I34" s="6"/>
      <c r="J34" s="6"/>
      <c r="K34" s="6"/>
      <c r="L34" s="7">
        <f>(L32-H32)*10000</f>
        <v>136.84290727361991</v>
      </c>
      <c r="M34" s="7">
        <f>(M32-I32)*10000</f>
        <v>111.27222079481136</v>
      </c>
      <c r="N34" s="7">
        <f>(N32-J32)*10000</f>
        <v>-7.1117446741086887</v>
      </c>
      <c r="O34" s="7">
        <f>(O32-K32)*10000</f>
        <v>-208.96211379832553</v>
      </c>
    </row>
    <row r="35" spans="1:25" x14ac:dyDescent="0.45">
      <c r="C35" s="4" t="s">
        <v>5</v>
      </c>
      <c r="D35" s="1"/>
      <c r="L35" s="12">
        <f>L31/K31-1</f>
        <v>3.4896401308615044E-2</v>
      </c>
      <c r="M35" s="12">
        <f>M31/L31-1</f>
        <v>4.3504440764714936E-2</v>
      </c>
      <c r="N35" s="12">
        <f>N31/M31-1</f>
        <v>3.6641661858049623E-2</v>
      </c>
      <c r="O35" s="12">
        <f>O31/N31-1</f>
        <v>3.729473977177844E-2</v>
      </c>
    </row>
    <row r="36" spans="1:25" x14ac:dyDescent="0.45">
      <c r="C36" s="4"/>
      <c r="D36" s="1"/>
      <c r="L36" s="7"/>
      <c r="M36" s="7"/>
      <c r="N36" s="7"/>
      <c r="O36" s="7"/>
    </row>
    <row r="37" spans="1:25" x14ac:dyDescent="0.45">
      <c r="C37" s="13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25" x14ac:dyDescent="0.45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25" x14ac:dyDescent="0.45">
      <c r="A39" s="16"/>
      <c r="B39" s="16"/>
      <c r="C39" s="2"/>
      <c r="D39" s="34"/>
      <c r="E39" s="34"/>
      <c r="F39" s="34"/>
      <c r="G39" s="35"/>
      <c r="H39" s="35"/>
      <c r="I39" s="35"/>
      <c r="J39" s="35"/>
      <c r="K39" s="35"/>
      <c r="L39" s="35"/>
      <c r="M39" s="35"/>
      <c r="N39" s="35"/>
      <c r="O39" s="35"/>
    </row>
    <row r="40" spans="1:25" x14ac:dyDescent="0.45">
      <c r="C40" s="4"/>
      <c r="D40" s="5"/>
      <c r="E40" s="4"/>
      <c r="F40" s="4"/>
      <c r="G40" s="12"/>
      <c r="H40" s="12"/>
      <c r="I40" s="12"/>
      <c r="J40" s="12"/>
      <c r="K40" s="12"/>
      <c r="L40" s="12"/>
      <c r="M40" s="12"/>
      <c r="N40" s="12"/>
      <c r="O40" s="12"/>
    </row>
    <row r="41" spans="1:25" x14ac:dyDescent="0.45">
      <c r="C41" s="4"/>
      <c r="D41" s="1"/>
      <c r="L41" s="7"/>
      <c r="M41" s="7"/>
      <c r="N41" s="7"/>
      <c r="O41" s="7"/>
    </row>
    <row r="42" spans="1:25" x14ac:dyDescent="0.45">
      <c r="C42" s="4"/>
      <c r="D42" s="1"/>
      <c r="E42" s="6"/>
      <c r="F42" s="6"/>
      <c r="G42" s="6"/>
      <c r="H42" s="6"/>
      <c r="I42" s="6"/>
      <c r="J42" s="6"/>
      <c r="K42" s="6"/>
      <c r="L42" s="7"/>
      <c r="M42" s="7"/>
      <c r="N42" s="7"/>
      <c r="O42" s="7"/>
    </row>
    <row r="43" spans="1:25" x14ac:dyDescent="0.45">
      <c r="C43" s="4"/>
      <c r="D43" s="1"/>
      <c r="L43" s="12"/>
      <c r="M43" s="12"/>
      <c r="N43" s="12"/>
      <c r="O43" s="12"/>
    </row>
    <row r="44" spans="1:25" x14ac:dyDescent="0.45">
      <c r="C44" s="4"/>
      <c r="D44" s="1"/>
      <c r="G44" s="1"/>
    </row>
    <row r="45" spans="1:25" x14ac:dyDescent="0.45"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25" x14ac:dyDescent="0.45"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25" x14ac:dyDescent="0.45">
      <c r="A47" s="16"/>
      <c r="B47" s="16"/>
      <c r="C47" s="2"/>
      <c r="D47" s="34"/>
      <c r="E47" s="34"/>
      <c r="F47" s="34"/>
      <c r="G47" s="35"/>
      <c r="H47" s="35"/>
      <c r="I47" s="35"/>
      <c r="J47" s="35"/>
      <c r="K47" s="35"/>
      <c r="L47" s="35"/>
      <c r="M47" s="35"/>
      <c r="N47" s="35"/>
      <c r="O47" s="35"/>
    </row>
    <row r="48" spans="1:25" x14ac:dyDescent="0.45">
      <c r="C48" s="4"/>
      <c r="D48" s="5"/>
      <c r="E48" s="4"/>
      <c r="F48" s="4"/>
      <c r="G48" s="4"/>
      <c r="H48" s="7"/>
      <c r="I48" s="7"/>
      <c r="J48" s="7"/>
      <c r="K48" s="7"/>
      <c r="L48" s="7"/>
      <c r="M48" s="7"/>
      <c r="N48" s="7"/>
      <c r="O48" s="7"/>
    </row>
    <row r="49" spans="1:15" x14ac:dyDescent="0.45">
      <c r="C49" s="4"/>
      <c r="D49" s="1"/>
      <c r="K49" s="7"/>
      <c r="L49" s="7"/>
      <c r="M49" s="7"/>
      <c r="N49" s="7"/>
      <c r="O49" s="7"/>
    </row>
    <row r="50" spans="1:15" x14ac:dyDescent="0.45">
      <c r="C50" s="4"/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45">
      <c r="C51" s="4"/>
      <c r="D51" s="1"/>
      <c r="K51" s="7"/>
      <c r="L51" s="7"/>
      <c r="M51" s="7"/>
      <c r="N51" s="7"/>
      <c r="O51" s="7"/>
    </row>
    <row r="52" spans="1:15" x14ac:dyDescent="0.45">
      <c r="C52" s="4"/>
      <c r="D52" s="1"/>
      <c r="G52" s="1"/>
    </row>
    <row r="53" spans="1:15" x14ac:dyDescent="0.4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4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4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4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45">
      <c r="C57" s="4"/>
      <c r="D57" s="1"/>
      <c r="K57" s="7"/>
      <c r="L57" s="7"/>
      <c r="M57" s="7"/>
      <c r="N57" s="7"/>
      <c r="O57" s="7"/>
    </row>
    <row r="58" spans="1:15" x14ac:dyDescent="0.4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45">
      <c r="C59" s="4"/>
      <c r="D59" s="1"/>
      <c r="K59" s="7"/>
      <c r="L59" s="7"/>
      <c r="M59" s="7"/>
      <c r="N59" s="7"/>
      <c r="O59" s="7"/>
    </row>
    <row r="64" spans="1:15" x14ac:dyDescent="0.4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45">
      <c r="C65" s="4"/>
      <c r="D65" s="1"/>
      <c r="K65" s="7"/>
      <c r="L65" s="7"/>
      <c r="M65" s="7"/>
      <c r="N65" s="7"/>
      <c r="O65" s="7"/>
    </row>
    <row r="66" spans="3:15" x14ac:dyDescent="0.4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4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8ED4A-1507-4362-BC98-F108D803B89B}">
  <dimension ref="A1:Y67"/>
  <sheetViews>
    <sheetView zoomScale="85" zoomScaleNormal="85" workbookViewId="0">
      <pane xSplit="3" topLeftCell="I1" activePane="topRight" state="frozen"/>
      <selection pane="topRight" activeCell="K36" sqref="K36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6" width="10.1328125" bestFit="1" customWidth="1"/>
    <col min="7" max="7" width="10.59765625" bestFit="1" customWidth="1"/>
    <col min="8" max="10" width="10.1328125" bestFit="1" customWidth="1"/>
    <col min="11" max="11" width="10.59765625" bestFit="1" customWidth="1"/>
    <col min="12" max="12" width="10.1328125" bestFit="1" customWidth="1"/>
    <col min="13" max="15" width="10.265625" bestFit="1" customWidth="1"/>
    <col min="16" max="16" width="9" customWidth="1"/>
    <col min="17" max="17" width="12.3984375" bestFit="1" customWidth="1"/>
    <col min="18" max="18" width="14.3984375" bestFit="1" customWidth="1"/>
    <col min="19" max="19" width="8.59765625" bestFit="1" customWidth="1"/>
    <col min="20" max="20" width="20.265625" bestFit="1" customWidth="1"/>
    <col min="21" max="21" width="7.3984375" bestFit="1" customWidth="1"/>
    <col min="22" max="22" width="10.73046875" bestFit="1" customWidth="1"/>
    <col min="23" max="23" width="9.1328125" bestFit="1" customWidth="1"/>
    <col min="24" max="24" width="10.3984375" bestFit="1" customWidth="1"/>
    <col min="25" max="25" width="9.1328125" bestFit="1" customWidth="1"/>
  </cols>
  <sheetData>
    <row r="1" spans="1:25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45">
      <c r="A2" s="17" t="s">
        <v>1</v>
      </c>
      <c r="B2" s="31" t="s">
        <v>94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WIX US EQUITY</v>
      </c>
      <c r="R2" s="24">
        <f ca="1"/>
        <v>45747</v>
      </c>
      <c r="S2" s="25" t="str">
        <f ca="1"/>
        <v>canonical</v>
      </c>
      <c r="T2" s="26" t="str">
        <f ca="1"/>
        <v>revenue</v>
      </c>
      <c r="U2" s="27" t="str">
        <f ca="1"/>
        <v>473.651</v>
      </c>
      <c r="V2" s="28" t="str">
        <f ca="1"/>
        <v>0.128342258728465</v>
      </c>
      <c r="W2" s="29" t="str">
        <f ca="1"/>
        <v>-120.442474842153</v>
      </c>
      <c r="X2" s="28" t="str">
        <f ca="1"/>
        <v>61.7457087893669</v>
      </c>
      <c r="Y2" s="29" t="str">
        <f ca="1"/>
        <v>0.0286586094189443</v>
      </c>
    </row>
    <row r="3" spans="1:25" x14ac:dyDescent="0.45">
      <c r="A3" s="18" t="s">
        <v>3</v>
      </c>
      <c r="B3" s="19">
        <f ca="1">+B4-365*3</f>
        <v>45001</v>
      </c>
      <c r="Q3" s="24" t="str">
        <f ca="1"/>
        <v>WIX US EQUITY</v>
      </c>
      <c r="R3" s="24">
        <f ca="1"/>
        <v>45838</v>
      </c>
      <c r="S3" s="25" t="str">
        <f ca="1"/>
        <v>canonical</v>
      </c>
      <c r="T3" s="26" t="str">
        <f ca="1"/>
        <v>revenue</v>
      </c>
      <c r="U3" s="27" t="str">
        <f ca="1"/>
        <v>489.93</v>
      </c>
      <c r="V3" s="28" t="str">
        <f ca="1"/>
        <v>0.124347670431857</v>
      </c>
      <c r="W3" s="29" t="str">
        <f ca="1"/>
        <v>-39.9458829660748</v>
      </c>
      <c r="X3" s="29" t="str">
        <f ca="1"/>
        <v>69.8433874819382</v>
      </c>
      <c r="Y3" s="29" t="str">
        <f ca="1"/>
        <v>0.0343691874396972</v>
      </c>
    </row>
    <row r="4" spans="1:25" x14ac:dyDescent="0.45">
      <c r="A4" s="20" t="s">
        <v>2</v>
      </c>
      <c r="B4" s="21">
        <f ca="1">TODAY()</f>
        <v>46096</v>
      </c>
      <c r="Q4" s="24" t="str">
        <f ca="1"/>
        <v>WIX US EQUITY</v>
      </c>
      <c r="R4" s="24">
        <f ca="1"/>
        <v>45930</v>
      </c>
      <c r="S4" s="25" t="str">
        <f ca="1"/>
        <v>canonical</v>
      </c>
      <c r="T4" s="26" t="str">
        <f ca="1"/>
        <v>revenue</v>
      </c>
      <c r="U4" s="27" t="str">
        <f ca="1"/>
        <v>505.194</v>
      </c>
      <c r="V4" s="28" t="str">
        <f ca="1"/>
        <v>0.136102259413097</v>
      </c>
      <c r="W4" s="29" t="str">
        <f ca="1"/>
        <v>117.545889812398</v>
      </c>
      <c r="X4" s="29" t="str">
        <f ca="1"/>
        <v>70.3494544629302</v>
      </c>
      <c r="Y4" s="29" t="str">
        <f ca="1"/>
        <v>0.0311554711897619</v>
      </c>
    </row>
    <row r="5" spans="1:25" x14ac:dyDescent="0.45">
      <c r="C5" s="13" t="s">
        <v>12</v>
      </c>
      <c r="D5" s="14">
        <f t="shared" ref="D5:O5" ca="1" si="0">EOMONTH(DATE(YEAR(D6),ROUNDUP(MONTH(D6)/3,0)*3,1),0)</f>
        <v>45016</v>
      </c>
      <c r="E5" s="14">
        <f t="shared" ca="1" si="0"/>
        <v>45107</v>
      </c>
      <c r="F5" s="14">
        <f t="shared" ca="1" si="0"/>
        <v>45199</v>
      </c>
      <c r="G5" s="14">
        <f t="shared" ca="1" si="0"/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t="shared" ca="1" si="0"/>
        <v>45747</v>
      </c>
      <c r="M5" s="14">
        <f t="shared" ca="1" si="0"/>
        <v>45838</v>
      </c>
      <c r="N5" s="14">
        <f t="shared" ca="1" si="0"/>
        <v>45930</v>
      </c>
      <c r="O5" s="14">
        <f t="shared" ca="1" si="0"/>
        <v>46022</v>
      </c>
      <c r="Q5" s="24" t="str">
        <f ca="1"/>
        <v>WIX US EQUITY</v>
      </c>
      <c r="R5" s="24">
        <f ca="1"/>
        <v>46022</v>
      </c>
      <c r="S5" s="25" t="str">
        <f ca="1"/>
        <v>canonical</v>
      </c>
      <c r="T5" s="26" t="str">
        <f ca="1"/>
        <v>revenue</v>
      </c>
      <c r="U5" s="27" t="str">
        <f ca="1"/>
        <v>524.269</v>
      </c>
      <c r="V5" s="28" t="str">
        <f ca="1"/>
        <v>0.138589004354389</v>
      </c>
      <c r="W5" s="29" t="str">
        <f ca="1"/>
        <v>24.8674494129175</v>
      </c>
      <c r="X5" s="29" t="str">
        <f ca="1"/>
        <v>-17.975018582912</v>
      </c>
      <c r="Y5" s="29" t="str">
        <f ca="1"/>
        <v>0.037757772261745</v>
      </c>
    </row>
    <row r="6" spans="1:25" x14ac:dyDescent="0.45">
      <c r="D6" s="15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WIX US EQUITY</v>
      </c>
      <c r="R6" s="24">
        <f ca="1"/>
        <v>45747</v>
      </c>
      <c r="S6" s="25" t="str">
        <f ca="1"/>
        <v>canonical</v>
      </c>
      <c r="T6" s="26" t="str">
        <f ca="1"/>
        <v>gross_margin_gaap</v>
      </c>
      <c r="U6" s="30" t="str">
        <f ca="1"/>
        <v>67.9528</v>
      </c>
      <c r="V6" s="29" t="str">
        <f ca="1"/>
        <v>65.9999999999997</v>
      </c>
      <c r="W6" s="29" t="str">
        <f ca="1"/>
        <v/>
      </c>
      <c r="X6" s="29" t="str">
        <f ca="1"/>
        <v/>
      </c>
      <c r="Y6" s="29" t="str">
        <f ca="1"/>
        <v>-85.2800000000002</v>
      </c>
    </row>
    <row r="7" spans="1:25" x14ac:dyDescent="0.45">
      <c r="A7" s="16" t="s">
        <v>9</v>
      </c>
      <c r="B7" s="16" t="s">
        <v>8</v>
      </c>
      <c r="C7" s="9" t="s">
        <v>0</v>
      </c>
      <c r="D7" s="11">
        <f ca="1"/>
        <v>374.07600000000002</v>
      </c>
      <c r="E7" s="11">
        <f ca="1"/>
        <v>389.97699999999998</v>
      </c>
      <c r="F7" s="11">
        <f ca="1"/>
        <v>393.84100000000001</v>
      </c>
      <c r="G7" s="11">
        <f ca="1"/>
        <v>403.77100000000002</v>
      </c>
      <c r="H7" s="11">
        <f ca="1"/>
        <v>419.77600000000001</v>
      </c>
      <c r="I7" s="11">
        <f ca="1"/>
        <v>435.74599999999998</v>
      </c>
      <c r="J7" s="11">
        <f ca="1"/>
        <v>444.673</v>
      </c>
      <c r="K7" s="11">
        <f ca="1"/>
        <v>460.45499999999998</v>
      </c>
      <c r="L7" s="11">
        <f ca="1"/>
        <v>473.65100000000001</v>
      </c>
      <c r="M7" s="11">
        <f ca="1"/>
        <v>489.93</v>
      </c>
      <c r="N7" s="11">
        <f ca="1"/>
        <v>505.19400000000002</v>
      </c>
      <c r="O7" s="3">
        <f ca="1"/>
        <v>524.26900000000001</v>
      </c>
      <c r="P7" s="1"/>
      <c r="Q7" s="24" t="str">
        <f ca="1"/>
        <v>WIX US EQUITY</v>
      </c>
      <c r="R7" s="24">
        <f ca="1"/>
        <v>45838</v>
      </c>
      <c r="S7" s="25" t="str">
        <f ca="1"/>
        <v>canonical</v>
      </c>
      <c r="T7" s="26" t="str">
        <f ca="1"/>
        <v>gross_margin_gaap</v>
      </c>
      <c r="U7" s="30" t="str">
        <f ca="1"/>
        <v>68.7017</v>
      </c>
      <c r="V7" s="29" t="str">
        <f ca="1"/>
        <v>121.470000000001</v>
      </c>
      <c r="W7" s="29" t="str">
        <f ca="1"/>
        <v/>
      </c>
      <c r="X7" s="29" t="str">
        <f ca="1"/>
        <v/>
      </c>
      <c r="Y7" s="29" t="str">
        <f ca="1"/>
        <v>74.8900000000006</v>
      </c>
    </row>
    <row r="8" spans="1:25" x14ac:dyDescent="0.45">
      <c r="C8" s="4" t="s">
        <v>4</v>
      </c>
      <c r="D8" s="5"/>
      <c r="E8" s="4"/>
      <c r="F8" s="4"/>
      <c r="G8" s="12"/>
      <c r="H8" s="12">
        <f t="shared" ref="H8:O8" ca="1" si="1">+H7/D7-1</f>
        <v>0.12216768784952792</v>
      </c>
      <c r="I8" s="12">
        <f t="shared" ca="1" si="1"/>
        <v>0.11736333168366331</v>
      </c>
      <c r="J8" s="12">
        <f t="shared" ca="1" si="1"/>
        <v>0.12906731396680393</v>
      </c>
      <c r="K8" s="12">
        <f t="shared" ca="1" si="1"/>
        <v>0.1403865062126799</v>
      </c>
      <c r="L8" s="12">
        <f t="shared" ca="1" si="1"/>
        <v>0.12834225872846461</v>
      </c>
      <c r="M8" s="12">
        <f t="shared" ca="1" si="1"/>
        <v>0.12434767043185713</v>
      </c>
      <c r="N8" s="12">
        <f t="shared" ca="1" si="1"/>
        <v>0.13610225941309695</v>
      </c>
      <c r="O8" s="12">
        <f t="shared" ca="1" si="1"/>
        <v>0.1385890043543887</v>
      </c>
      <c r="P8" s="3"/>
      <c r="Q8" s="24" t="str">
        <f ca="1"/>
        <v>WIX US EQUITY</v>
      </c>
      <c r="R8" s="24">
        <f ca="1"/>
        <v>45930</v>
      </c>
      <c r="S8" s="25" t="str">
        <f ca="1"/>
        <v>canonical</v>
      </c>
      <c r="T8" s="26" t="str">
        <f ca="1"/>
        <v>gross_margin_gaap</v>
      </c>
      <c r="U8" s="30" t="str">
        <f ca="1"/>
        <v>68.3433</v>
      </c>
      <c r="V8" s="29" t="str">
        <f ca="1"/>
        <v>28.3199999999994</v>
      </c>
      <c r="W8" s="29" t="str">
        <f ca="1"/>
        <v/>
      </c>
      <c r="X8" s="29" t="str">
        <f ca="1"/>
        <v/>
      </c>
      <c r="Y8" s="29" t="str">
        <f ca="1"/>
        <v>-35.8400000000003</v>
      </c>
    </row>
    <row r="9" spans="1:25" x14ac:dyDescent="0.45">
      <c r="C9" s="4" t="s">
        <v>19</v>
      </c>
      <c r="D9" s="1"/>
      <c r="L9" s="7">
        <f ca="1">(L8-K8)*10000</f>
        <v>-120.44247484215288</v>
      </c>
      <c r="M9" s="7">
        <f ca="1">(M8-L8)*10000</f>
        <v>-39.945882966074819</v>
      </c>
      <c r="N9" s="7">
        <f ca="1">(N8-M8)*10000</f>
        <v>117.54588981239822</v>
      </c>
      <c r="O9" s="7">
        <f ca="1">(O8-N8)*10000</f>
        <v>24.867449412917519</v>
      </c>
      <c r="Q9" s="22" t="str">
        <f ca="1"/>
        <v>WIX US EQUITY</v>
      </c>
      <c r="R9" s="24">
        <f ca="1"/>
        <v>46022</v>
      </c>
      <c r="S9" s="25" t="str">
        <f ca="1"/>
        <v>canonical</v>
      </c>
      <c r="T9" s="26" t="str">
        <f ca="1"/>
        <v>gross_margin_gaap</v>
      </c>
      <c r="U9" s="30" t="str">
        <f ca="1"/>
        <v>67.3273</v>
      </c>
      <c r="V9" s="29" t="str">
        <f ca="1"/>
        <v>-147.83</v>
      </c>
      <c r="W9" s="29" t="str">
        <f ca="1"/>
        <v/>
      </c>
      <c r="X9" s="29" t="str">
        <f ca="1"/>
        <v/>
      </c>
      <c r="Y9" s="29" t="str">
        <f ca="1"/>
        <v>-101.600000000001</v>
      </c>
    </row>
    <row r="10" spans="1:25" x14ac:dyDescent="0.4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61.745708789366915</v>
      </c>
      <c r="M10" s="7">
        <f ca="1">(M8-I8)*10000</f>
        <v>69.843387481938194</v>
      </c>
      <c r="N10" s="7">
        <f ca="1">(N8-J8)*10000</f>
        <v>70.349454462930169</v>
      </c>
      <c r="O10" s="7">
        <f ca="1">(O8-K8)*10000</f>
        <v>-17.97501858291195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WIX US EQUITY</v>
      </c>
      <c r="R10" s="24">
        <f ca="1"/>
        <v>45747</v>
      </c>
      <c r="S10" s="25" t="str">
        <f ca="1"/>
        <v>canonical</v>
      </c>
      <c r="T10" s="26" t="str">
        <f ca="1"/>
        <v>operating_margin_gaap</v>
      </c>
      <c r="U10" s="30" t="str">
        <f ca="1"/>
        <v>7.8972</v>
      </c>
      <c r="V10" s="29" t="str">
        <f ca="1"/>
        <v>559.36</v>
      </c>
      <c r="W10" s="29" t="str">
        <f ca="1"/>
        <v/>
      </c>
      <c r="X10" s="29" t="str">
        <f ca="1"/>
        <v/>
      </c>
      <c r="Y10" s="29" t="str">
        <f ca="1"/>
        <v>7.44999999999996</v>
      </c>
    </row>
    <row r="11" spans="1:25" x14ac:dyDescent="0.45">
      <c r="C11" s="4" t="s">
        <v>5</v>
      </c>
      <c r="D11" s="1"/>
      <c r="L11" s="12">
        <f ca="1">L7/K7-1</f>
        <v>2.865860941894427E-2</v>
      </c>
      <c r="M11" s="12">
        <f ca="1">M7/L7-1</f>
        <v>3.4369187439697191E-2</v>
      </c>
      <c r="N11" s="12">
        <f ca="1">N7/M7-1</f>
        <v>3.1155471189761919E-2</v>
      </c>
      <c r="O11" s="12">
        <f ca="1">O7/N7-1</f>
        <v>3.7757772261745037E-2</v>
      </c>
      <c r="Q11" s="24" t="str">
        <f ca="1"/>
        <v>WIX US EQUITY</v>
      </c>
      <c r="R11" s="24">
        <f ca="1"/>
        <v>45838</v>
      </c>
      <c r="S11" s="25" t="str">
        <f ca="1"/>
        <v>canonical</v>
      </c>
      <c r="T11" s="26" t="str">
        <f ca="1"/>
        <v>operating_margin_gaap</v>
      </c>
      <c r="U11" s="30" t="str">
        <f ca="1"/>
        <v>9.0433</v>
      </c>
      <c r="V11" s="29" t="str">
        <f ca="1"/>
        <v>247.87</v>
      </c>
      <c r="W11" s="29" t="str">
        <f ca="1"/>
        <v/>
      </c>
      <c r="X11" s="29" t="str">
        <f ca="1"/>
        <v/>
      </c>
      <c r="Y11" s="29" t="str">
        <f ca="1"/>
        <v>114.61</v>
      </c>
    </row>
    <row r="12" spans="1:25" x14ac:dyDescent="0.45">
      <c r="Q12" s="24" t="str">
        <f ca="1"/>
        <v>WIX US EQUITY</v>
      </c>
      <c r="R12" s="24">
        <f ca="1"/>
        <v>45930</v>
      </c>
      <c r="S12" s="25" t="str">
        <f ca="1"/>
        <v>canonical</v>
      </c>
      <c r="T12" s="26" t="str">
        <f ca="1"/>
        <v>operating_margin_gaap</v>
      </c>
      <c r="U12" s="30" t="str">
        <f ca="1"/>
        <v>-1.459</v>
      </c>
      <c r="V12" s="29" t="str">
        <f ca="1"/>
        <v>-727.14</v>
      </c>
      <c r="W12" s="29" t="str">
        <f ca="1"/>
        <v/>
      </c>
      <c r="X12" s="29" t="str">
        <f ca="1"/>
        <v/>
      </c>
      <c r="Y12" s="29" t="str">
        <f ca="1"/>
        <v>-1050.23</v>
      </c>
    </row>
    <row r="13" spans="1:25" x14ac:dyDescent="0.45">
      <c r="C13" s="13" t="s">
        <v>12</v>
      </c>
      <c r="D13" s="14">
        <f t="shared" ref="D13:O13" ca="1" si="2">EOMONTH(DATE(YEAR(D14),ROUNDUP(MONTH(D14)/3,0)*3,1),0)</f>
        <v>45016</v>
      </c>
      <c r="E13" s="14">
        <f t="shared" ca="1" si="2"/>
        <v>45107</v>
      </c>
      <c r="F13" s="14">
        <f t="shared" ca="1" si="2"/>
        <v>45199</v>
      </c>
      <c r="G13" s="14">
        <f t="shared" ca="1" si="2"/>
        <v>45291</v>
      </c>
      <c r="H13" s="14">
        <f t="shared" ca="1" si="2"/>
        <v>45382</v>
      </c>
      <c r="I13" s="14">
        <f t="shared" ca="1" si="2"/>
        <v>45473</v>
      </c>
      <c r="J13" s="14">
        <f t="shared" ca="1" si="2"/>
        <v>45565</v>
      </c>
      <c r="K13" s="14">
        <f t="shared" ca="1" si="2"/>
        <v>45657</v>
      </c>
      <c r="L13" s="14">
        <f t="shared" ca="1" si="2"/>
        <v>45747</v>
      </c>
      <c r="M13" s="14">
        <f t="shared" ca="1" si="2"/>
        <v>45838</v>
      </c>
      <c r="N13" s="14">
        <f t="shared" ca="1" si="2"/>
        <v>45930</v>
      </c>
      <c r="O13" s="14">
        <f t="shared" ca="1" si="2"/>
        <v>46022</v>
      </c>
      <c r="Q13" s="24" t="str">
        <f ca="1"/>
        <v>WIX US EQUITY</v>
      </c>
      <c r="R13" s="24">
        <f ca="1"/>
        <v>46022</v>
      </c>
      <c r="S13" s="25" t="str">
        <f ca="1"/>
        <v>canonical</v>
      </c>
      <c r="T13" s="26" t="str">
        <f ca="1"/>
        <v>operating_margin_gaap</v>
      </c>
      <c r="U13" s="30" t="str">
        <f ca="1"/>
        <v>-13.8456</v>
      </c>
      <c r="V13" s="29" t="str">
        <f ca="1"/>
        <v>-2166.83</v>
      </c>
      <c r="W13" s="29" t="str">
        <f ca="1"/>
        <v/>
      </c>
      <c r="X13" s="29" t="str">
        <f ca="1"/>
        <v/>
      </c>
      <c r="Y13" s="29" t="str">
        <f ca="1"/>
        <v>-1238.66</v>
      </c>
    </row>
    <row r="14" spans="1:25" x14ac:dyDescent="0.4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WIX US EQUITY</v>
      </c>
      <c r="R14" s="24">
        <v>45747</v>
      </c>
      <c r="S14" s="25" t="str">
        <v>custom</v>
      </c>
      <c r="T14" s="26" t="str">
        <v>bookings</v>
      </c>
      <c r="U14" s="30" t="str">
        <v>510.905</v>
      </c>
      <c r="V14" s="29" t="str">
        <v>0.117267063359291</v>
      </c>
      <c r="W14" s="29" t="str">
        <v>-589.235574951816</v>
      </c>
      <c r="X14" s="29" t="str">
        <v>151.328398623458</v>
      </c>
      <c r="Y14" s="29" t="str">
        <v>0.0996663796814463</v>
      </c>
    </row>
    <row r="15" spans="1:25" x14ac:dyDescent="0.45">
      <c r="A15" s="16" t="s">
        <v>9</v>
      </c>
      <c r="B15" s="16" t="s">
        <v>14</v>
      </c>
      <c r="C15" s="9" t="s">
        <v>6</v>
      </c>
      <c r="D15" s="3">
        <f ca="1"/>
        <v>65.387200000000007</v>
      </c>
      <c r="E15" s="3">
        <f ca="1"/>
        <v>67.204700000000003</v>
      </c>
      <c r="F15" s="3">
        <f ca="1"/>
        <v>67.234700000000004</v>
      </c>
      <c r="G15" s="3">
        <f ca="1"/>
        <v>68.766199999999998</v>
      </c>
      <c r="H15" s="3">
        <f ca="1"/>
        <v>67.2928</v>
      </c>
      <c r="I15" s="3">
        <f ca="1"/>
        <v>67.486999999999995</v>
      </c>
      <c r="J15" s="3">
        <f ca="1"/>
        <v>68.060100000000006</v>
      </c>
      <c r="K15" s="3">
        <f ca="1"/>
        <v>68.805599999999998</v>
      </c>
      <c r="L15" s="3">
        <f ca="1"/>
        <v>67.952799999999996</v>
      </c>
      <c r="M15" s="3">
        <f ca="1"/>
        <v>68.701700000000002</v>
      </c>
      <c r="N15" s="3">
        <f ca="1"/>
        <v>68.343299999999999</v>
      </c>
      <c r="O15">
        <f ca="1"/>
        <v>67.327299999999994</v>
      </c>
      <c r="Q15" s="24" t="str">
        <v>WIX US EQUITY</v>
      </c>
      <c r="R15" s="24">
        <v>45838</v>
      </c>
      <c r="S15" s="25" t="str">
        <v>custom</v>
      </c>
      <c r="T15" s="26" t="str">
        <v>bookings</v>
      </c>
      <c r="U15" s="30" t="str">
        <v>509.924</v>
      </c>
      <c r="V15" s="29" t="str">
        <v>0.112402077665964</v>
      </c>
      <c r="W15" s="29" t="str">
        <v>-48.6498569332738</v>
      </c>
      <c r="X15" s="29" t="str">
        <v>-379.206357364295</v>
      </c>
      <c r="Y15" s="29" t="str">
        <v>-0.00192012213620929</v>
      </c>
    </row>
    <row r="16" spans="1:25" x14ac:dyDescent="0.45">
      <c r="C16" s="4" t="s">
        <v>4</v>
      </c>
      <c r="D16" s="5"/>
      <c r="E16" s="4"/>
      <c r="F16" s="4"/>
      <c r="G16" s="4"/>
      <c r="H16" s="7">
        <f t="shared" ref="H16:O16" ca="1" si="3">(H15-D15)*100</f>
        <v>190.55999999999926</v>
      </c>
      <c r="I16" s="7">
        <f t="shared" ca="1" si="3"/>
        <v>28.229999999999222</v>
      </c>
      <c r="J16" s="7">
        <f t="shared" ca="1" si="3"/>
        <v>82.540000000000191</v>
      </c>
      <c r="K16" s="7">
        <f t="shared" ca="1" si="3"/>
        <v>3.9400000000000546</v>
      </c>
      <c r="L16" s="7">
        <f t="shared" ca="1" si="3"/>
        <v>65.999999999999659</v>
      </c>
      <c r="M16" s="7">
        <f t="shared" ca="1" si="3"/>
        <v>121.47000000000077</v>
      </c>
      <c r="N16" s="7">
        <f t="shared" ca="1" si="3"/>
        <v>28.319999999999368</v>
      </c>
      <c r="O16" s="7">
        <f t="shared" ca="1" si="3"/>
        <v>-147.83000000000044</v>
      </c>
      <c r="Q16" s="24" t="str">
        <v>WIX US EQUITY</v>
      </c>
      <c r="R16" s="24">
        <v>45930</v>
      </c>
      <c r="S16" s="25" t="str">
        <v>custom</v>
      </c>
      <c r="T16" s="26" t="str">
        <v>bookings</v>
      </c>
      <c r="U16" s="30" t="str">
        <v>514.543</v>
      </c>
      <c r="V16" s="29" t="str">
        <v>0.137146784651901</v>
      </c>
      <c r="W16" s="29" t="str">
        <v>247.447069859372</v>
      </c>
      <c r="X16" s="29" t="str">
        <v>-257.72296806355</v>
      </c>
      <c r="Y16" s="29" t="str">
        <v>0.00905821259638695</v>
      </c>
    </row>
    <row r="17" spans="1:25" x14ac:dyDescent="0.45">
      <c r="C17" s="4" t="s">
        <v>19</v>
      </c>
      <c r="D17" s="1"/>
      <c r="K17" s="7"/>
      <c r="L17" s="7"/>
      <c r="M17" s="7"/>
      <c r="N17" s="7"/>
      <c r="O17" s="7"/>
      <c r="Q17" s="24" t="str">
        <v>WIX US EQUITY</v>
      </c>
      <c r="R17" s="24">
        <v>46022</v>
      </c>
      <c r="S17" s="25" t="str">
        <v>custom</v>
      </c>
      <c r="T17" s="26" t="str">
        <v>bookings</v>
      </c>
      <c r="U17" s="30" t="str">
        <v>529.097</v>
      </c>
      <c r="V17" s="29" t="str">
        <v>0.138822643133879</v>
      </c>
      <c r="W17" s="29" t="str">
        <v>16.7585848197782</v>
      </c>
      <c r="X17" s="29" t="str">
        <v>-373.67977720594</v>
      </c>
      <c r="Y17" s="29" t="str">
        <v>0.0282852939404481</v>
      </c>
    </row>
    <row r="18" spans="1:25" x14ac:dyDescent="0.4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WIX US EQUITY</v>
      </c>
      <c r="R18" s="24">
        <v>45747</v>
      </c>
      <c r="S18" s="25" t="str">
        <v>custom</v>
      </c>
      <c r="T18" s="26" t="str">
        <v>creative_bookings</v>
      </c>
      <c r="U18" s="30" t="str">
        <v>369.469</v>
      </c>
      <c r="V18" s="29" t="str">
        <v>0.104088908279718</v>
      </c>
      <c r="W18" s="29" t="str">
        <v>-429.969926518483</v>
      </c>
      <c r="X18" s="29" t="str">
        <v>364.244611481508</v>
      </c>
      <c r="Y18" s="29" t="str">
        <v>0.136128536285363</v>
      </c>
    </row>
    <row r="19" spans="1:25" x14ac:dyDescent="0.45">
      <c r="C19" s="4" t="s">
        <v>5</v>
      </c>
      <c r="D19" s="1"/>
      <c r="K19" s="7"/>
      <c r="L19" s="7">
        <f ca="1">(L15-K15)*100</f>
        <v>-85.2800000000002</v>
      </c>
      <c r="M19" s="7">
        <f ca="1">(M15-L15)*100</f>
        <v>74.890000000000612</v>
      </c>
      <c r="N19" s="7">
        <f ca="1">(N15-M15)*100</f>
        <v>-35.840000000000316</v>
      </c>
      <c r="O19" s="7">
        <f ca="1">(O15-N15)*100</f>
        <v>-101.60000000000053</v>
      </c>
      <c r="Q19" s="24" t="str">
        <v>WIX US EQUITY</v>
      </c>
      <c r="R19" s="24">
        <v>45838</v>
      </c>
      <c r="S19" s="25" t="str">
        <v>custom</v>
      </c>
      <c r="T19" s="26" t="str">
        <v>creative_bookings</v>
      </c>
      <c r="U19" s="30" t="str">
        <v>364.871</v>
      </c>
      <c r="V19" s="29" t="str">
        <v>0.109141646426541</v>
      </c>
      <c r="W19" s="29" t="str">
        <v>50.5273814682328</v>
      </c>
      <c r="X19" s="29" t="str">
        <v>-100.754354239925</v>
      </c>
      <c r="Y19" s="29" t="str">
        <v>-0.0124448871217884</v>
      </c>
    </row>
    <row r="20" spans="1:25" x14ac:dyDescent="0.45">
      <c r="Q20" s="24" t="str">
        <v>WIX US EQUITY</v>
      </c>
      <c r="R20" s="24">
        <v>45930</v>
      </c>
      <c r="S20" s="25" t="str">
        <v>custom</v>
      </c>
      <c r="T20" s="26" t="str">
        <v>creative_bookings</v>
      </c>
      <c r="U20" s="30" t="str">
        <v>366.35</v>
      </c>
      <c r="V20" s="29" t="str">
        <v>0.121578016029978</v>
      </c>
      <c r="W20" s="29" t="str">
        <v>124.363696034369</v>
      </c>
      <c r="X20" s="29" t="str">
        <v>-288.920157046484</v>
      </c>
      <c r="Y20" s="29" t="str">
        <v>0.0040534873969158</v>
      </c>
    </row>
    <row r="21" spans="1:25" x14ac:dyDescent="0.45">
      <c r="C21" s="13" t="s">
        <v>12</v>
      </c>
      <c r="D21" s="14">
        <f t="shared" ref="D21:O21" ca="1" si="4">EOMONTH(DATE(YEAR(D22),ROUNDUP(MONTH(D22)/3,0)*3,1),0)</f>
        <v>45016</v>
      </c>
      <c r="E21" s="14">
        <f t="shared" ca="1" si="4"/>
        <v>45107</v>
      </c>
      <c r="F21" s="14">
        <f t="shared" ca="1" si="4"/>
        <v>45199</v>
      </c>
      <c r="G21" s="14">
        <f t="shared" ca="1" si="4"/>
        <v>45291</v>
      </c>
      <c r="H21" s="14">
        <f t="shared" ca="1" si="4"/>
        <v>45382</v>
      </c>
      <c r="I21" s="14">
        <f t="shared" ca="1" si="4"/>
        <v>45473</v>
      </c>
      <c r="J21" s="14">
        <f t="shared" ca="1" si="4"/>
        <v>45565</v>
      </c>
      <c r="K21" s="14">
        <f t="shared" ca="1" si="4"/>
        <v>45657</v>
      </c>
      <c r="L21" s="14">
        <f t="shared" ca="1" si="4"/>
        <v>45747</v>
      </c>
      <c r="M21" s="14">
        <f t="shared" ca="1" si="4"/>
        <v>45838</v>
      </c>
      <c r="N21" s="14">
        <f t="shared" ca="1" si="4"/>
        <v>45930</v>
      </c>
      <c r="O21" s="14">
        <f t="shared" ca="1" si="4"/>
        <v>46022</v>
      </c>
      <c r="Q21" s="24" t="str">
        <v>WIX US EQUITY</v>
      </c>
      <c r="R21" s="24">
        <v>46022</v>
      </c>
      <c r="S21" s="25" t="str">
        <v>custom</v>
      </c>
      <c r="T21" s="26" t="str">
        <v>creative_bookings</v>
      </c>
      <c r="U21" s="30" t="str">
        <v>370.421</v>
      </c>
      <c r="V21" s="29" t="str">
        <v>0.139055965559656</v>
      </c>
      <c r="W21" s="29" t="str">
        <v>174.779495296775</v>
      </c>
      <c r="X21" s="29" t="str">
        <v>-80.2993537191066</v>
      </c>
      <c r="Y21" s="29" t="str">
        <v>0.0111123242800599</v>
      </c>
    </row>
    <row r="22" spans="1:25" x14ac:dyDescent="0.45">
      <c r="D22" s="1" cm="1">
        <f t="array" aca="1" ref="D22:O23" ca="1">+_xll.BDH($B$2,C23,$B$3,$B$4,"DIR=H")</f>
        <v>45016</v>
      </c>
      <c r="E22" s="1">
        <f ca="1"/>
        <v>45107</v>
      </c>
      <c r="F22" s="1">
        <f ca="1"/>
        <v>45199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45565</v>
      </c>
      <c r="K22" s="1">
        <f ca="1"/>
        <v>45657</v>
      </c>
      <c r="L22" s="1">
        <f ca="1"/>
        <v>45747</v>
      </c>
      <c r="M22" s="1">
        <f ca="1"/>
        <v>45838</v>
      </c>
      <c r="N22" s="1">
        <f ca="1"/>
        <v>45930</v>
      </c>
      <c r="O22" s="1">
        <f ca="1"/>
        <v>46022</v>
      </c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WIX US EQUITY</v>
      </c>
      <c r="R22" s="24">
        <v>0</v>
      </c>
      <c r="S22" s="25">
        <v>0</v>
      </c>
      <c r="T22" s="26">
        <v>0</v>
      </c>
      <c r="U22" s="27" t="str">
        <v/>
      </c>
      <c r="V22" s="28" t="str">
        <v/>
      </c>
      <c r="W22" s="29" t="str">
        <v/>
      </c>
      <c r="X22" s="28" t="str">
        <v/>
      </c>
      <c r="Y22" s="29" t="str">
        <v/>
      </c>
    </row>
    <row r="23" spans="1:25" x14ac:dyDescent="0.45">
      <c r="A23" s="16" t="s">
        <v>9</v>
      </c>
      <c r="B23" s="16" t="s">
        <v>15</v>
      </c>
      <c r="C23" s="9" t="s">
        <v>7</v>
      </c>
      <c r="D23" s="3">
        <f ca="1"/>
        <v>-8.9108000000000001</v>
      </c>
      <c r="E23" s="3">
        <f ca="1"/>
        <v>3.3273999999999999</v>
      </c>
      <c r="F23" s="3">
        <f ca="1"/>
        <v>-1.4705999999999999</v>
      </c>
      <c r="G23" s="3">
        <f ca="1"/>
        <v>0.43809999999999999</v>
      </c>
      <c r="H23" s="3">
        <f ca="1"/>
        <v>2.3035999999999999</v>
      </c>
      <c r="I23" s="3">
        <f ca="1"/>
        <v>6.5646000000000004</v>
      </c>
      <c r="J23" s="3">
        <f ca="1"/>
        <v>5.8124000000000002</v>
      </c>
      <c r="K23" s="3">
        <f ca="1"/>
        <v>7.8227000000000002</v>
      </c>
      <c r="L23" s="3">
        <f ca="1"/>
        <v>7.8971999999999998</v>
      </c>
      <c r="M23" s="3">
        <f ca="1"/>
        <v>9.0433000000000003</v>
      </c>
      <c r="N23" s="3">
        <f ca="1"/>
        <v>-1.4590000000000001</v>
      </c>
      <c r="O23">
        <f ca="1"/>
        <v>-13.845599999999999</v>
      </c>
      <c r="Q23" s="24" t="str">
        <v>WIX US EQUITY</v>
      </c>
      <c r="R23" s="24">
        <v>0</v>
      </c>
      <c r="S23" s="25">
        <v>0</v>
      </c>
      <c r="T23" s="26">
        <v>0</v>
      </c>
      <c r="U23" s="27" t="str">
        <v/>
      </c>
      <c r="V23" s="28" t="str">
        <v/>
      </c>
      <c r="W23" s="29" t="str">
        <v/>
      </c>
      <c r="X23" s="28" t="str">
        <v/>
      </c>
      <c r="Y23" s="29" t="str">
        <v/>
      </c>
    </row>
    <row r="24" spans="1:25" x14ac:dyDescent="0.45">
      <c r="C24" s="4" t="s">
        <v>4</v>
      </c>
      <c r="D24" s="5"/>
      <c r="E24" s="4"/>
      <c r="F24" s="4"/>
      <c r="G24" s="4"/>
      <c r="H24" s="7">
        <f t="shared" ref="H24:O24" ca="1" si="5">(H23-D23)*100</f>
        <v>1121.44</v>
      </c>
      <c r="I24" s="7">
        <f t="shared" ca="1" si="5"/>
        <v>323.72000000000003</v>
      </c>
      <c r="J24" s="7">
        <f t="shared" ca="1" si="5"/>
        <v>728.30000000000007</v>
      </c>
      <c r="K24" s="7">
        <f t="shared" ca="1" si="5"/>
        <v>738.46</v>
      </c>
      <c r="L24" s="7">
        <f t="shared" ca="1" si="5"/>
        <v>559.36</v>
      </c>
      <c r="M24" s="7">
        <f t="shared" ca="1" si="5"/>
        <v>247.87</v>
      </c>
      <c r="N24" s="7">
        <f t="shared" ca="1" si="5"/>
        <v>-727.14</v>
      </c>
      <c r="O24" s="7">
        <f t="shared" ca="1" si="5"/>
        <v>-2166.83</v>
      </c>
      <c r="Q24" s="24" t="str">
        <v>WIX US EQUITY</v>
      </c>
      <c r="R24" s="24">
        <v>0</v>
      </c>
      <c r="S24" s="25">
        <v>0</v>
      </c>
      <c r="T24" s="26">
        <v>0</v>
      </c>
      <c r="U24" s="27" t="str">
        <v/>
      </c>
      <c r="V24" s="28" t="str">
        <v/>
      </c>
      <c r="W24" s="29" t="str">
        <v/>
      </c>
      <c r="X24" s="28" t="str">
        <v/>
      </c>
      <c r="Y24" s="29" t="str">
        <v/>
      </c>
    </row>
    <row r="25" spans="1:25" x14ac:dyDescent="0.45">
      <c r="C25" s="4" t="s">
        <v>19</v>
      </c>
      <c r="D25" s="1"/>
      <c r="K25" s="7"/>
      <c r="L25" s="7"/>
      <c r="M25" s="7"/>
      <c r="N25" s="7"/>
      <c r="O25" s="7"/>
      <c r="Q25" s="24" t="str">
        <v>WIX US EQUITY</v>
      </c>
      <c r="R25" s="24">
        <v>0</v>
      </c>
      <c r="S25" s="25">
        <v>0</v>
      </c>
      <c r="T25" s="26">
        <v>0</v>
      </c>
      <c r="U25" s="27" t="str">
        <v/>
      </c>
      <c r="V25" s="28" t="str">
        <v/>
      </c>
      <c r="W25" s="29" t="str">
        <v/>
      </c>
      <c r="X25" s="28" t="str">
        <v/>
      </c>
      <c r="Y25" s="29" t="str">
        <v/>
      </c>
    </row>
    <row r="26" spans="1:25" x14ac:dyDescent="0.4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WIX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45">
      <c r="C27" s="4" t="s">
        <v>5</v>
      </c>
      <c r="D27" s="1"/>
      <c r="K27" s="7"/>
      <c r="L27" s="7">
        <f ca="1">(L23-K23)*100</f>
        <v>7.4499999999999567</v>
      </c>
      <c r="M27" s="7">
        <f ca="1">(M23-L23)*100</f>
        <v>114.61000000000006</v>
      </c>
      <c r="N27" s="7">
        <f ca="1">(N23-M23)*100</f>
        <v>-1050.23</v>
      </c>
      <c r="O27" s="7">
        <f ca="1">(O23-N23)*100</f>
        <v>-1238.6599999999999</v>
      </c>
      <c r="Q27" s="24" t="str">
        <v>WIX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45">
      <c r="C28" s="4"/>
      <c r="D28" s="1"/>
      <c r="K28" s="7"/>
      <c r="L28" s="7"/>
      <c r="M28" s="7"/>
      <c r="N28" s="7"/>
      <c r="O28" s="7"/>
      <c r="Q28" s="24" t="str">
        <v>WIX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45">
      <c r="C29" s="13"/>
      <c r="D29" s="14">
        <f t="shared" ref="D29:L29" si="6">EOMONTH(DATE(YEAR(D30),ROUNDUP(MONTH(D30)/3,0)*3,1),0)</f>
        <v>45016</v>
      </c>
      <c r="E29" s="14">
        <f t="shared" si="6"/>
        <v>45107</v>
      </c>
      <c r="F29" s="14">
        <f t="shared" si="6"/>
        <v>45199</v>
      </c>
      <c r="G29" s="14">
        <f t="shared" si="6"/>
        <v>45291</v>
      </c>
      <c r="H29" s="14">
        <f t="shared" si="6"/>
        <v>45382</v>
      </c>
      <c r="I29" s="14">
        <f t="shared" si="6"/>
        <v>45473</v>
      </c>
      <c r="J29" s="14">
        <f t="shared" si="6"/>
        <v>45565</v>
      </c>
      <c r="K29" s="14">
        <f t="shared" si="6"/>
        <v>45657</v>
      </c>
      <c r="L29" s="14">
        <f t="shared" si="6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WIX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45">
      <c r="D30" s="2">
        <v>45016</v>
      </c>
      <c r="E30" s="2">
        <v>45107</v>
      </c>
      <c r="F30" s="2">
        <v>45199</v>
      </c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WIX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45">
      <c r="A31" s="16" t="s">
        <v>21</v>
      </c>
      <c r="B31" s="16" t="s">
        <v>95</v>
      </c>
      <c r="C31" s="2" t="s">
        <v>96</v>
      </c>
      <c r="D31" s="32">
        <v>414.90499999999997</v>
      </c>
      <c r="E31" s="32">
        <v>398.49599999999998</v>
      </c>
      <c r="F31" s="32">
        <v>389.09499999999997</v>
      </c>
      <c r="G31" s="32">
        <v>395.00399999999996</v>
      </c>
      <c r="H31" s="32">
        <v>457.28100000000001</v>
      </c>
      <c r="I31" s="32">
        <v>458.399</v>
      </c>
      <c r="J31" s="32">
        <v>452.48599999999999</v>
      </c>
      <c r="K31" s="32">
        <v>464.6</v>
      </c>
      <c r="L31" s="32">
        <v>510.90499999999997</v>
      </c>
      <c r="M31" s="32">
        <v>509.92399999999998</v>
      </c>
      <c r="N31" s="32">
        <v>514.54300000000001</v>
      </c>
      <c r="O31" s="32">
        <v>529.09699999999998</v>
      </c>
      <c r="Q31" s="24" t="str">
        <v>WIX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45">
      <c r="C32" s="4" t="s">
        <v>4</v>
      </c>
      <c r="D32" s="5"/>
      <c r="E32" s="4"/>
      <c r="F32" s="4"/>
      <c r="G32" s="12"/>
      <c r="H32" s="12">
        <f t="shared" ref="H32:O32" si="7">+H31/D31-1</f>
        <v>0.10213422349694512</v>
      </c>
      <c r="I32" s="12">
        <f t="shared" si="7"/>
        <v>0.150322713402393</v>
      </c>
      <c r="J32" s="12">
        <f t="shared" si="7"/>
        <v>0.16291908145825573</v>
      </c>
      <c r="K32" s="12">
        <f t="shared" si="7"/>
        <v>0.17619062085447257</v>
      </c>
      <c r="L32" s="12">
        <f t="shared" si="7"/>
        <v>0.11726706335929094</v>
      </c>
      <c r="M32" s="12">
        <f t="shared" si="7"/>
        <v>0.11240207766596355</v>
      </c>
      <c r="N32" s="12">
        <f t="shared" si="7"/>
        <v>0.13714678465190078</v>
      </c>
      <c r="O32" s="12">
        <f t="shared" si="7"/>
        <v>0.1388226431338786</v>
      </c>
      <c r="Q32" s="24" t="str">
        <v>WIX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45">
      <c r="C33" s="4" t="s">
        <v>19</v>
      </c>
      <c r="D33" s="1"/>
      <c r="L33" s="7">
        <f>(L32-K32)*10000</f>
        <v>-589.23557495181637</v>
      </c>
      <c r="M33" s="7">
        <f>(M32-L32)*10000</f>
        <v>-48.649856933273838</v>
      </c>
      <c r="N33" s="7">
        <f>(N32-M32)*10000</f>
        <v>247.44706985937225</v>
      </c>
      <c r="O33" s="7">
        <f>(O32-N32)*10000</f>
        <v>16.758584819778211</v>
      </c>
      <c r="Q33" s="24" t="str">
        <v>WIX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45">
      <c r="C34" s="4" t="s">
        <v>23</v>
      </c>
      <c r="D34" s="1"/>
      <c r="E34" s="6"/>
      <c r="F34" s="6"/>
      <c r="G34" s="6"/>
      <c r="H34" s="6"/>
      <c r="I34" s="6"/>
      <c r="J34" s="6"/>
      <c r="K34" s="6"/>
      <c r="L34" s="7">
        <f>(L32-H32)*10000</f>
        <v>151.32839862345816</v>
      </c>
      <c r="M34" s="7">
        <f>(M32-I32)*10000</f>
        <v>-379.20635736429455</v>
      </c>
      <c r="N34" s="7">
        <f>(N32-J32)*10000</f>
        <v>-257.72296806354956</v>
      </c>
      <c r="O34" s="7">
        <f>(O32-K32)*10000</f>
        <v>-373.67977720593967</v>
      </c>
    </row>
    <row r="35" spans="1:25" x14ac:dyDescent="0.45">
      <c r="C35" s="4" t="s">
        <v>5</v>
      </c>
      <c r="D35" s="1"/>
      <c r="L35" s="12">
        <f>L31/K31-1</f>
        <v>9.9666379681446315E-2</v>
      </c>
      <c r="M35" s="12">
        <f>M31/L31-1</f>
        <v>-1.9201221362092902E-3</v>
      </c>
      <c r="N35" s="12">
        <f>N31/M31-1</f>
        <v>9.0582125963869498E-3</v>
      </c>
      <c r="O35" s="12">
        <f>O31/N31-1</f>
        <v>2.8285293940448097E-2</v>
      </c>
    </row>
    <row r="36" spans="1:25" x14ac:dyDescent="0.45">
      <c r="C36" s="4"/>
      <c r="D36" s="1"/>
      <c r="L36" s="7"/>
      <c r="M36" s="7"/>
      <c r="N36" s="7"/>
      <c r="O36" s="7"/>
    </row>
    <row r="37" spans="1:25" x14ac:dyDescent="0.45">
      <c r="C37" s="13"/>
      <c r="D37" s="14">
        <f t="shared" ref="D37:L37" si="8">EOMONTH(DATE(YEAR(D38),ROUNDUP(MONTH(D38)/3,0)*3,1),0)</f>
        <v>45016</v>
      </c>
      <c r="E37" s="14">
        <f t="shared" si="8"/>
        <v>45107</v>
      </c>
      <c r="F37" s="14">
        <f t="shared" si="8"/>
        <v>45199</v>
      </c>
      <c r="G37" s="14">
        <f t="shared" si="8"/>
        <v>45291</v>
      </c>
      <c r="H37" s="14">
        <f t="shared" si="8"/>
        <v>45382</v>
      </c>
      <c r="I37" s="14">
        <f t="shared" si="8"/>
        <v>45473</v>
      </c>
      <c r="J37" s="14">
        <f t="shared" si="8"/>
        <v>45565</v>
      </c>
      <c r="K37" s="14">
        <f t="shared" si="8"/>
        <v>45657</v>
      </c>
      <c r="L37" s="14">
        <f t="shared" si="8"/>
        <v>45747</v>
      </c>
      <c r="M37" s="14">
        <f>EOMONTH(DATE(YEAR(M38),ROUNDUP(MONTH(M38)/3,0)*3,1),0)</f>
        <v>45838</v>
      </c>
      <c r="N37" s="14">
        <f>EOMONTH(DATE(YEAR(N38),ROUNDUP(MONTH(N38)/3,0)*3,1),0)</f>
        <v>45930</v>
      </c>
      <c r="O37" s="14">
        <f>EOMONTH(DATE(YEAR(O38),ROUNDUP(MONTH(O38)/3,0)*3,1),0)</f>
        <v>46022</v>
      </c>
    </row>
    <row r="38" spans="1:25" x14ac:dyDescent="0.45">
      <c r="D38" s="2">
        <v>45016</v>
      </c>
      <c r="E38" s="2">
        <v>45107</v>
      </c>
      <c r="F38" s="2">
        <v>45199</v>
      </c>
      <c r="G38" s="2">
        <v>45291</v>
      </c>
      <c r="H38" s="2">
        <v>45382</v>
      </c>
      <c r="I38" s="2">
        <v>45473</v>
      </c>
      <c r="J38" s="2">
        <v>45565</v>
      </c>
      <c r="K38" s="2">
        <v>45657</v>
      </c>
      <c r="L38" s="2">
        <v>45747</v>
      </c>
      <c r="M38" s="2">
        <v>45838</v>
      </c>
      <c r="N38" s="2">
        <v>45930</v>
      </c>
      <c r="O38" s="2">
        <v>46022</v>
      </c>
    </row>
    <row r="39" spans="1:25" x14ac:dyDescent="0.45">
      <c r="A39" s="16" t="s">
        <v>21</v>
      </c>
      <c r="B39" s="16" t="s">
        <v>97</v>
      </c>
      <c r="C39" s="2" t="s">
        <v>98</v>
      </c>
      <c r="D39" s="32">
        <v>313.42899999999997</v>
      </c>
      <c r="E39" s="32">
        <v>293.92599999999999</v>
      </c>
      <c r="F39" s="32">
        <v>283.91699999999997</v>
      </c>
      <c r="G39" s="32">
        <v>283.50099999999998</v>
      </c>
      <c r="H39" s="32">
        <v>334.637</v>
      </c>
      <c r="I39" s="32">
        <v>328.96699999999998</v>
      </c>
      <c r="J39" s="32">
        <v>326.63799999999998</v>
      </c>
      <c r="K39" s="32">
        <v>325.2</v>
      </c>
      <c r="L39" s="32">
        <v>369.46899999999999</v>
      </c>
      <c r="M39" s="32">
        <v>364.87099999999998</v>
      </c>
      <c r="N39" s="32">
        <v>366.35</v>
      </c>
      <c r="O39" s="32">
        <v>370.42099999999999</v>
      </c>
    </row>
    <row r="40" spans="1:25" x14ac:dyDescent="0.45">
      <c r="C40" s="4" t="s">
        <v>4</v>
      </c>
      <c r="D40" s="5"/>
      <c r="E40" s="4"/>
      <c r="F40" s="4"/>
      <c r="G40" s="12"/>
      <c r="H40" s="12">
        <f t="shared" ref="H40" si="9">+H39/D39-1</f>
        <v>6.7664447131567274E-2</v>
      </c>
      <c r="I40" s="12">
        <f t="shared" ref="I40" si="10">+I39/E39-1</f>
        <v>0.11921708185053381</v>
      </c>
      <c r="J40" s="12">
        <f t="shared" ref="J40" si="11">+J39/F39-1</f>
        <v>0.15047003173462659</v>
      </c>
      <c r="K40" s="12">
        <f t="shared" ref="K40" si="12">+K39/G39-1</f>
        <v>0.14708590093156637</v>
      </c>
      <c r="L40" s="12">
        <f t="shared" ref="L40" si="13">+L39/H39-1</f>
        <v>0.10408890827971806</v>
      </c>
      <c r="M40" s="12">
        <f t="shared" ref="M40" si="14">+M39/I39-1</f>
        <v>0.10914164642654134</v>
      </c>
      <c r="N40" s="12">
        <f t="shared" ref="N40" si="15">+N39/J39-1</f>
        <v>0.1215780160299782</v>
      </c>
      <c r="O40" s="12">
        <f t="shared" ref="O40" si="16">+O39/K39-1</f>
        <v>0.13905596555965571</v>
      </c>
    </row>
    <row r="41" spans="1:25" x14ac:dyDescent="0.45">
      <c r="C41" s="4" t="s">
        <v>19</v>
      </c>
      <c r="D41" s="1"/>
      <c r="L41" s="7">
        <f>(L40-K40)*10000</f>
        <v>-429.96992651848308</v>
      </c>
      <c r="M41" s="7">
        <f>(M40-L40)*10000</f>
        <v>50.527381468232768</v>
      </c>
      <c r="N41" s="7">
        <f>(N40-M40)*10000</f>
        <v>124.36369603436859</v>
      </c>
      <c r="O41" s="7">
        <f>(O40-N40)*10000</f>
        <v>174.77949529677517</v>
      </c>
    </row>
    <row r="42" spans="1:25" x14ac:dyDescent="0.45">
      <c r="C42" s="4" t="s">
        <v>23</v>
      </c>
      <c r="D42" s="1"/>
      <c r="E42" s="6"/>
      <c r="F42" s="6"/>
      <c r="G42" s="6"/>
      <c r="H42" s="6"/>
      <c r="I42" s="6"/>
      <c r="J42" s="6"/>
      <c r="K42" s="6"/>
      <c r="L42" s="7">
        <f>(L40-H40)*10000</f>
        <v>364.24461148150789</v>
      </c>
      <c r="M42" s="7">
        <f>(M40-I40)*10000</f>
        <v>-100.75435423992474</v>
      </c>
      <c r="N42" s="7">
        <f>(N40-J40)*10000</f>
        <v>-288.92015704648389</v>
      </c>
      <c r="O42" s="7">
        <f>(O40-K40)*10000</f>
        <v>-80.299353719106563</v>
      </c>
    </row>
    <row r="43" spans="1:25" x14ac:dyDescent="0.45">
      <c r="C43" s="4" t="s">
        <v>5</v>
      </c>
      <c r="D43" s="1"/>
      <c r="L43" s="12">
        <f>L39/K39-1</f>
        <v>0.13612853628536281</v>
      </c>
      <c r="M43" s="12">
        <f>M39/L39-1</f>
        <v>-1.2444887121788373E-2</v>
      </c>
      <c r="N43" s="12">
        <f>N39/M39-1</f>
        <v>4.0534873969158003E-3</v>
      </c>
      <c r="O43" s="12">
        <f>O39/N39-1</f>
        <v>1.1112324280059926E-2</v>
      </c>
    </row>
    <row r="44" spans="1:25" x14ac:dyDescent="0.45">
      <c r="C44" s="4"/>
      <c r="D44" s="1"/>
      <c r="G44" s="1"/>
    </row>
    <row r="45" spans="1:25" x14ac:dyDescent="0.45"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25" x14ac:dyDescent="0.45"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25" x14ac:dyDescent="0.45">
      <c r="A47" s="16"/>
      <c r="B47" s="16"/>
      <c r="C47" s="2"/>
      <c r="D47" s="34"/>
      <c r="E47" s="34"/>
      <c r="F47" s="34"/>
      <c r="G47" s="35"/>
      <c r="H47" s="35"/>
      <c r="I47" s="35"/>
      <c r="J47" s="35"/>
      <c r="K47" s="35"/>
      <c r="L47" s="35"/>
      <c r="M47" s="35"/>
      <c r="N47" s="35"/>
      <c r="O47" s="35"/>
    </row>
    <row r="48" spans="1:25" x14ac:dyDescent="0.45">
      <c r="C48" s="4"/>
      <c r="D48" s="5"/>
      <c r="E48" s="4"/>
      <c r="F48" s="4"/>
      <c r="G48" s="4"/>
      <c r="H48" s="7"/>
      <c r="I48" s="7"/>
      <c r="J48" s="7"/>
      <c r="K48" s="7"/>
      <c r="L48" s="7"/>
      <c r="M48" s="7"/>
      <c r="N48" s="7"/>
      <c r="O48" s="7"/>
    </row>
    <row r="49" spans="1:15" x14ac:dyDescent="0.45">
      <c r="C49" s="4"/>
      <c r="D49" s="1"/>
      <c r="K49" s="7"/>
      <c r="L49" s="7"/>
      <c r="M49" s="7"/>
      <c r="N49" s="7"/>
      <c r="O49" s="7"/>
    </row>
    <row r="50" spans="1:15" x14ac:dyDescent="0.45">
      <c r="C50" s="4"/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45">
      <c r="C51" s="4"/>
      <c r="D51" s="1"/>
      <c r="K51" s="7"/>
      <c r="L51" s="7"/>
      <c r="M51" s="7"/>
      <c r="N51" s="7"/>
      <c r="O51" s="7"/>
    </row>
    <row r="52" spans="1:15" x14ac:dyDescent="0.45">
      <c r="C52" s="4"/>
      <c r="D52" s="1"/>
      <c r="G52" s="1"/>
    </row>
    <row r="53" spans="1:15" x14ac:dyDescent="0.4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4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4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4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45">
      <c r="C57" s="4"/>
      <c r="D57" s="1"/>
      <c r="K57" s="7"/>
      <c r="L57" s="7"/>
      <c r="M57" s="7"/>
      <c r="N57" s="7"/>
      <c r="O57" s="7"/>
    </row>
    <row r="58" spans="1:15" x14ac:dyDescent="0.4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45">
      <c r="C59" s="4"/>
      <c r="D59" s="1"/>
      <c r="K59" s="7"/>
      <c r="L59" s="7"/>
      <c r="M59" s="7"/>
      <c r="N59" s="7"/>
      <c r="O59" s="7"/>
    </row>
    <row r="64" spans="1:15" x14ac:dyDescent="0.4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45">
      <c r="C65" s="4"/>
      <c r="D65" s="1"/>
      <c r="K65" s="7"/>
      <c r="L65" s="7"/>
      <c r="M65" s="7"/>
      <c r="N65" s="7"/>
      <c r="O65" s="7"/>
    </row>
    <row r="66" spans="3:15" x14ac:dyDescent="0.4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4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A18EC-556E-4CED-AC33-2A080C5CE800}">
  <dimension ref="A1:Y67"/>
  <sheetViews>
    <sheetView zoomScale="85" zoomScaleNormal="85" workbookViewId="0">
      <pane xSplit="3" topLeftCell="G1" activePane="topRight" state="frozen"/>
      <selection pane="topRight" activeCell="H53" sqref="H46:M53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6" width="10.1328125" bestFit="1" customWidth="1"/>
    <col min="7" max="7" width="10.59765625" bestFit="1" customWidth="1"/>
    <col min="8" max="10" width="10.1328125" bestFit="1" customWidth="1"/>
    <col min="11" max="11" width="10.59765625" bestFit="1" customWidth="1"/>
    <col min="12" max="12" width="10.1328125" bestFit="1" customWidth="1"/>
    <col min="13" max="15" width="10.265625" bestFit="1" customWidth="1"/>
    <col min="16" max="16" width="9" customWidth="1"/>
    <col min="17" max="17" width="12.3984375" bestFit="1" customWidth="1"/>
    <col min="18" max="18" width="14.3984375" bestFit="1" customWidth="1"/>
    <col min="19" max="19" width="8.59765625" bestFit="1" customWidth="1"/>
    <col min="20" max="20" width="20.265625" bestFit="1" customWidth="1"/>
    <col min="21" max="21" width="7.3984375" bestFit="1" customWidth="1"/>
    <col min="22" max="22" width="10.73046875" bestFit="1" customWidth="1"/>
    <col min="23" max="23" width="9.1328125" bestFit="1" customWidth="1"/>
    <col min="24" max="24" width="10.3984375" bestFit="1" customWidth="1"/>
    <col min="25" max="25" width="9.1328125" bestFit="1" customWidth="1"/>
  </cols>
  <sheetData>
    <row r="1" spans="1:25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45">
      <c r="A2" s="17" t="s">
        <v>1</v>
      </c>
      <c r="B2" s="31" t="s">
        <v>99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WK US EQUITY</v>
      </c>
      <c r="R2" s="24">
        <f ca="1"/>
        <v>45747</v>
      </c>
      <c r="S2" s="25" t="str">
        <f ca="1"/>
        <v>canonical</v>
      </c>
      <c r="T2" s="26" t="str">
        <f ca="1"/>
        <v>revenue</v>
      </c>
      <c r="U2" s="27" t="str">
        <f ca="1"/>
        <v>206.28</v>
      </c>
      <c r="V2" s="28" t="str">
        <f ca="1"/>
        <v>0.174267221504323</v>
      </c>
      <c r="W2" s="29" t="str">
        <f ca="1"/>
        <v>-251.651319486597</v>
      </c>
      <c r="X2" s="28" t="str">
        <f ca="1"/>
        <v>46.2763405118105</v>
      </c>
      <c r="Y2" s="29" t="str">
        <f ca="1"/>
        <v>0.0319727448734046</v>
      </c>
    </row>
    <row r="3" spans="1:25" x14ac:dyDescent="0.45">
      <c r="A3" s="18" t="s">
        <v>3</v>
      </c>
      <c r="B3" s="19">
        <f ca="1">+B4-365*3</f>
        <v>45001</v>
      </c>
      <c r="Q3" s="24" t="str">
        <f ca="1"/>
        <v>WK US EQUITY</v>
      </c>
      <c r="R3" s="24">
        <f ca="1"/>
        <v>45838</v>
      </c>
      <c r="S3" s="25" t="str">
        <f ca="1"/>
        <v>canonical</v>
      </c>
      <c r="T3" s="26" t="str">
        <f ca="1"/>
        <v>revenue</v>
      </c>
      <c r="U3" s="27" t="str">
        <f ca="1"/>
        <v>215.187</v>
      </c>
      <c r="V3" s="28" t="str">
        <f ca="1"/>
        <v>0.21230063717233</v>
      </c>
      <c r="W3" s="29" t="str">
        <f ca="1"/>
        <v>380.334156680062</v>
      </c>
      <c r="X3" s="29" t="str">
        <f ca="1"/>
        <v>672.825107128594</v>
      </c>
      <c r="Y3" s="29" t="str">
        <f ca="1"/>
        <v>0.0431791739383363</v>
      </c>
    </row>
    <row r="4" spans="1:25" x14ac:dyDescent="0.45">
      <c r="A4" s="20" t="s">
        <v>2</v>
      </c>
      <c r="B4" s="21">
        <f ca="1">TODAY()</f>
        <v>46096</v>
      </c>
      <c r="Q4" s="24" t="str">
        <f ca="1"/>
        <v>WK US EQUITY</v>
      </c>
      <c r="R4" s="24">
        <f ca="1"/>
        <v>45930</v>
      </c>
      <c r="S4" s="25" t="str">
        <f ca="1"/>
        <v>canonical</v>
      </c>
      <c r="T4" s="26" t="str">
        <f ca="1"/>
        <v>revenue</v>
      </c>
      <c r="U4" s="27" t="str">
        <f ca="1"/>
        <v>224.166</v>
      </c>
      <c r="V4" s="28" t="str">
        <f ca="1"/>
        <v>0.207654306355423</v>
      </c>
      <c r="W4" s="29" t="str">
        <f ca="1"/>
        <v>-46.4633081690668</v>
      </c>
      <c r="X4" s="29" t="str">
        <f ca="1"/>
        <v>341.376317861168</v>
      </c>
      <c r="Y4" s="29" t="str">
        <f ca="1"/>
        <v>0.0417264983479484</v>
      </c>
    </row>
    <row r="5" spans="1:25" x14ac:dyDescent="0.45">
      <c r="C5" s="13" t="s">
        <v>12</v>
      </c>
      <c r="D5" s="14">
        <f t="shared" ref="D5:O5" ca="1" si="0">EOMONTH(DATE(YEAR(D6),ROUNDUP(MONTH(D6)/3,0)*3,1),0)</f>
        <v>45016</v>
      </c>
      <c r="E5" s="14">
        <f t="shared" ca="1" si="0"/>
        <v>45107</v>
      </c>
      <c r="F5" s="14">
        <f t="shared" ca="1" si="0"/>
        <v>45199</v>
      </c>
      <c r="G5" s="14">
        <f t="shared" ca="1" si="0"/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t="shared" ca="1" si="0"/>
        <v>45747</v>
      </c>
      <c r="M5" s="14">
        <f t="shared" ca="1" si="0"/>
        <v>45838</v>
      </c>
      <c r="N5" s="14">
        <f t="shared" ca="1" si="0"/>
        <v>45930</v>
      </c>
      <c r="O5" s="14">
        <f t="shared" ca="1" si="0"/>
        <v>46022</v>
      </c>
      <c r="Q5" s="24" t="str">
        <f ca="1"/>
        <v>WK US EQUITY</v>
      </c>
      <c r="R5" s="24">
        <f ca="1"/>
        <v>46022</v>
      </c>
      <c r="S5" s="25" t="str">
        <f ca="1"/>
        <v>canonical</v>
      </c>
      <c r="T5" s="26" t="str">
        <f ca="1"/>
        <v>revenue</v>
      </c>
      <c r="U5" s="27" t="str">
        <f ca="1"/>
        <v>238.935</v>
      </c>
      <c r="V5" s="28" t="str">
        <f ca="1"/>
        <v>0.195338412819114</v>
      </c>
      <c r="W5" s="29" t="str">
        <f ca="1"/>
        <v>-123.158935363086</v>
      </c>
      <c r="X5" s="29" t="str">
        <f ca="1"/>
        <v>-40.939406338687</v>
      </c>
      <c r="Y5" s="29" t="str">
        <f ca="1"/>
        <v>0.0658842108080619</v>
      </c>
    </row>
    <row r="6" spans="1:25" x14ac:dyDescent="0.45">
      <c r="D6" s="15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WK US EQUITY</v>
      </c>
      <c r="R6" s="24">
        <f ca="1"/>
        <v>45747</v>
      </c>
      <c r="S6" s="25" t="str">
        <f ca="1"/>
        <v>canonical</v>
      </c>
      <c r="T6" s="26" t="str">
        <f ca="1"/>
        <v>gross_margin_gaap</v>
      </c>
      <c r="U6" s="30" t="str">
        <f ca="1"/>
        <v>76.5649</v>
      </c>
      <c r="V6" s="29" t="str">
        <f ca="1"/>
        <v>20.2199999999991</v>
      </c>
      <c r="W6" s="29" t="str">
        <f ca="1"/>
        <v/>
      </c>
      <c r="X6" s="29" t="str">
        <f ca="1"/>
        <v/>
      </c>
      <c r="Y6" s="29" t="str">
        <f ca="1"/>
        <v>-57.79</v>
      </c>
    </row>
    <row r="7" spans="1:25" x14ac:dyDescent="0.45">
      <c r="A7" s="16" t="s">
        <v>9</v>
      </c>
      <c r="B7" s="16" t="s">
        <v>8</v>
      </c>
      <c r="C7" s="9" t="s">
        <v>0</v>
      </c>
      <c r="D7" s="11">
        <f ca="1"/>
        <v>150.18899999999999</v>
      </c>
      <c r="E7" s="11">
        <f ca="1"/>
        <v>155.02199999999999</v>
      </c>
      <c r="F7" s="11">
        <f ca="1"/>
        <v>158.17500000000001</v>
      </c>
      <c r="G7" s="11">
        <f ca="1"/>
        <v>166.65299999999999</v>
      </c>
      <c r="H7" s="11">
        <f ca="1"/>
        <v>175.667</v>
      </c>
      <c r="I7" s="11">
        <f ca="1"/>
        <v>177.50299999999999</v>
      </c>
      <c r="J7" s="11">
        <f ca="1"/>
        <v>185.62100000000001</v>
      </c>
      <c r="K7" s="11">
        <f ca="1"/>
        <v>199.88900000000001</v>
      </c>
      <c r="L7" s="11">
        <f ca="1"/>
        <v>206.28</v>
      </c>
      <c r="M7" s="11">
        <f ca="1"/>
        <v>215.18700000000001</v>
      </c>
      <c r="N7" s="11">
        <f ca="1"/>
        <v>224.166</v>
      </c>
      <c r="O7" s="3">
        <f ca="1"/>
        <v>238.935</v>
      </c>
      <c r="P7" s="1"/>
      <c r="Q7" s="24" t="str">
        <f ca="1"/>
        <v>WK US EQUITY</v>
      </c>
      <c r="R7" s="24">
        <f ca="1"/>
        <v>45838</v>
      </c>
      <c r="S7" s="25" t="str">
        <f ca="1"/>
        <v>canonical</v>
      </c>
      <c r="T7" s="26" t="str">
        <f ca="1"/>
        <v>gross_margin_gaap</v>
      </c>
      <c r="U7" s="30" t="str">
        <f ca="1"/>
        <v>76.9768</v>
      </c>
      <c r="V7" s="29" t="str">
        <f ca="1"/>
        <v>17.1899999999994</v>
      </c>
      <c r="W7" s="29" t="str">
        <f ca="1"/>
        <v/>
      </c>
      <c r="X7" s="29" t="str">
        <f ca="1"/>
        <v/>
      </c>
      <c r="Y7" s="29" t="str">
        <f ca="1"/>
        <v>41.1900000000003</v>
      </c>
    </row>
    <row r="8" spans="1:25" x14ac:dyDescent="0.45">
      <c r="C8" s="4" t="s">
        <v>4</v>
      </c>
      <c r="D8" s="5"/>
      <c r="E8" s="4"/>
      <c r="F8" s="4"/>
      <c r="G8" s="12"/>
      <c r="H8" s="12">
        <f t="shared" ref="H8:O8" ca="1" si="1">+H7/D7-1</f>
        <v>0.16963958745314245</v>
      </c>
      <c r="I8" s="12">
        <f t="shared" ca="1" si="1"/>
        <v>0.14501812645947032</v>
      </c>
      <c r="J8" s="12">
        <f t="shared" ca="1" si="1"/>
        <v>0.1735166745693062</v>
      </c>
      <c r="K8" s="12">
        <f t="shared" ca="1" si="1"/>
        <v>0.19943235345298316</v>
      </c>
      <c r="L8" s="12">
        <f t="shared" ca="1" si="1"/>
        <v>0.1742672215043235</v>
      </c>
      <c r="M8" s="12">
        <f t="shared" ca="1" si="1"/>
        <v>0.21230063717232972</v>
      </c>
      <c r="N8" s="12">
        <f t="shared" ca="1" si="1"/>
        <v>0.20765430635542304</v>
      </c>
      <c r="O8" s="12">
        <f t="shared" ca="1" si="1"/>
        <v>0.19533841281911446</v>
      </c>
      <c r="P8" s="3"/>
      <c r="Q8" s="24" t="str">
        <f ca="1"/>
        <v>WK US EQUITY</v>
      </c>
      <c r="R8" s="24">
        <f ca="1"/>
        <v>45930</v>
      </c>
      <c r="S8" s="25" t="str">
        <f ca="1"/>
        <v>canonical</v>
      </c>
      <c r="T8" s="26" t="str">
        <f ca="1"/>
        <v>gross_margin_gaap</v>
      </c>
      <c r="U8" s="30" t="str">
        <f ca="1"/>
        <v>79.3109</v>
      </c>
      <c r="V8" s="29" t="str">
        <f ca="1"/>
        <v>283.79</v>
      </c>
      <c r="W8" s="29" t="str">
        <f ca="1"/>
        <v/>
      </c>
      <c r="X8" s="29" t="str">
        <f ca="1"/>
        <v/>
      </c>
      <c r="Y8" s="29" t="str">
        <f ca="1"/>
        <v>233.410000000001</v>
      </c>
    </row>
    <row r="9" spans="1:25" x14ac:dyDescent="0.45">
      <c r="C9" s="4" t="s">
        <v>19</v>
      </c>
      <c r="D9" s="1"/>
      <c r="L9" s="7">
        <f ca="1">(L8-K8)*10000</f>
        <v>-251.65131948659658</v>
      </c>
      <c r="M9" s="7">
        <f ca="1">(M8-L8)*10000</f>
        <v>380.33415668006222</v>
      </c>
      <c r="N9" s="7">
        <f ca="1">(N8-M8)*10000</f>
        <v>-46.463308169066849</v>
      </c>
      <c r="O9" s="7">
        <f ca="1">(O8-N8)*10000</f>
        <v>-123.15893536308576</v>
      </c>
      <c r="Q9" s="22" t="str">
        <f ca="1"/>
        <v>WK US EQUITY</v>
      </c>
      <c r="R9" s="24">
        <f ca="1"/>
        <v>46022</v>
      </c>
      <c r="S9" s="25" t="str">
        <f ca="1"/>
        <v>canonical</v>
      </c>
      <c r="T9" s="26" t="str">
        <f ca="1"/>
        <v>gross_margin_gaap</v>
      </c>
      <c r="U9" s="30" t="str">
        <f ca="1"/>
        <v>80.678</v>
      </c>
      <c r="V9" s="29" t="str">
        <f ca="1"/>
        <v>353.52</v>
      </c>
      <c r="W9" s="29" t="str">
        <f ca="1"/>
        <v/>
      </c>
      <c r="X9" s="29" t="str">
        <f ca="1"/>
        <v/>
      </c>
      <c r="Y9" s="29" t="str">
        <f ca="1"/>
        <v>136.709999999999</v>
      </c>
    </row>
    <row r="10" spans="1:25" x14ac:dyDescent="0.4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46.27634051181051</v>
      </c>
      <c r="M10" s="7">
        <f ca="1">(M8-I8)*10000</f>
        <v>672.82510712859403</v>
      </c>
      <c r="N10" s="7">
        <f ca="1">(N8-J8)*10000</f>
        <v>341.37631786116839</v>
      </c>
      <c r="O10" s="7">
        <f ca="1">(O8-K8)*10000</f>
        <v>-40.939406338686979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WK US EQUITY</v>
      </c>
      <c r="R10" s="24">
        <f ca="1"/>
        <v>45747</v>
      </c>
      <c r="S10" s="25" t="str">
        <f ca="1"/>
        <v>canonical</v>
      </c>
      <c r="T10" s="26" t="str">
        <f ca="1"/>
        <v>operating_margin_gaap</v>
      </c>
      <c r="U10" s="30" t="str">
        <f ca="1"/>
        <v>-11.9983</v>
      </c>
      <c r="V10" s="29" t="str">
        <f ca="1"/>
        <v>-159.05</v>
      </c>
      <c r="W10" s="29" t="str">
        <f ca="1"/>
        <v/>
      </c>
      <c r="X10" s="29" t="str">
        <f ca="1"/>
        <v/>
      </c>
      <c r="Y10" s="29" t="str">
        <f ca="1"/>
        <v>-533.46</v>
      </c>
    </row>
    <row r="11" spans="1:25" x14ac:dyDescent="0.45">
      <c r="C11" s="4" t="s">
        <v>5</v>
      </c>
      <c r="D11" s="1"/>
      <c r="L11" s="12">
        <f ca="1">L7/K7-1</f>
        <v>3.1972744873404624E-2</v>
      </c>
      <c r="M11" s="12">
        <f ca="1">M7/L7-1</f>
        <v>4.3179173938336257E-2</v>
      </c>
      <c r="N11" s="12">
        <f ca="1">N7/M7-1</f>
        <v>4.1726498347948393E-2</v>
      </c>
      <c r="O11" s="12">
        <f ca="1">O7/N7-1</f>
        <v>6.5884210808061949E-2</v>
      </c>
      <c r="Q11" s="24" t="str">
        <f ca="1"/>
        <v>WK US EQUITY</v>
      </c>
      <c r="R11" s="24">
        <f ca="1"/>
        <v>45838</v>
      </c>
      <c r="S11" s="25" t="str">
        <f ca="1"/>
        <v>canonical</v>
      </c>
      <c r="T11" s="26" t="str">
        <f ca="1"/>
        <v>operating_margin_gaap</v>
      </c>
      <c r="U11" s="30" t="str">
        <f ca="1"/>
        <v>-10.2915</v>
      </c>
      <c r="V11" s="29" t="str">
        <f ca="1"/>
        <v>275</v>
      </c>
      <c r="W11" s="29" t="str">
        <f ca="1"/>
        <v/>
      </c>
      <c r="X11" s="29" t="str">
        <f ca="1"/>
        <v/>
      </c>
      <c r="Y11" s="29" t="str">
        <f ca="1"/>
        <v>170.68</v>
      </c>
    </row>
    <row r="12" spans="1:25" x14ac:dyDescent="0.45">
      <c r="Q12" s="24" t="str">
        <f ca="1"/>
        <v>WK US EQUITY</v>
      </c>
      <c r="R12" s="24">
        <f ca="1"/>
        <v>45930</v>
      </c>
      <c r="S12" s="25" t="str">
        <f ca="1"/>
        <v>canonical</v>
      </c>
      <c r="T12" s="26" t="str">
        <f ca="1"/>
        <v>operating_margin_gaap</v>
      </c>
      <c r="U12" s="30" t="str">
        <f ca="1"/>
        <v>-1.519</v>
      </c>
      <c r="V12" s="29" t="str">
        <f ca="1"/>
        <v>1021.57</v>
      </c>
      <c r="W12" s="29" t="str">
        <f ca="1"/>
        <v/>
      </c>
      <c r="X12" s="29" t="str">
        <f ca="1"/>
        <v/>
      </c>
      <c r="Y12" s="29" t="str">
        <f ca="1"/>
        <v>877.25</v>
      </c>
    </row>
    <row r="13" spans="1:25" x14ac:dyDescent="0.45">
      <c r="C13" s="13" t="s">
        <v>12</v>
      </c>
      <c r="D13" s="14">
        <f t="shared" ref="D13:O13" ca="1" si="2">EOMONTH(DATE(YEAR(D14),ROUNDUP(MONTH(D14)/3,0)*3,1),0)</f>
        <v>45016</v>
      </c>
      <c r="E13" s="14">
        <f t="shared" ca="1" si="2"/>
        <v>45107</v>
      </c>
      <c r="F13" s="14">
        <f t="shared" ca="1" si="2"/>
        <v>45199</v>
      </c>
      <c r="G13" s="14">
        <f t="shared" ca="1" si="2"/>
        <v>45291</v>
      </c>
      <c r="H13" s="14">
        <f t="shared" ca="1" si="2"/>
        <v>45382</v>
      </c>
      <c r="I13" s="14">
        <f t="shared" ca="1" si="2"/>
        <v>45473</v>
      </c>
      <c r="J13" s="14">
        <f t="shared" ca="1" si="2"/>
        <v>45565</v>
      </c>
      <c r="K13" s="14">
        <f t="shared" ca="1" si="2"/>
        <v>45657</v>
      </c>
      <c r="L13" s="14">
        <f t="shared" ca="1" si="2"/>
        <v>45747</v>
      </c>
      <c r="M13" s="14">
        <f t="shared" ca="1" si="2"/>
        <v>45838</v>
      </c>
      <c r="N13" s="14">
        <f t="shared" ca="1" si="2"/>
        <v>45930</v>
      </c>
      <c r="O13" s="14">
        <f t="shared" ca="1" si="2"/>
        <v>46022</v>
      </c>
      <c r="Q13" s="24" t="str">
        <f ca="1"/>
        <v>WK US EQUITY</v>
      </c>
      <c r="R13" s="24">
        <f ca="1"/>
        <v>46022</v>
      </c>
      <c r="S13" s="25" t="str">
        <f ca="1"/>
        <v>canonical</v>
      </c>
      <c r="T13" s="26" t="str">
        <f ca="1"/>
        <v>operating_margin_gaap</v>
      </c>
      <c r="U13" s="30" t="str">
        <f ca="1"/>
        <v>3.2896</v>
      </c>
      <c r="V13" s="29" t="str">
        <f ca="1"/>
        <v>995.33</v>
      </c>
      <c r="W13" s="29" t="str">
        <f ca="1"/>
        <v/>
      </c>
      <c r="X13" s="29" t="str">
        <f ca="1"/>
        <v/>
      </c>
      <c r="Y13" s="29" t="str">
        <f ca="1"/>
        <v>480.86</v>
      </c>
    </row>
    <row r="14" spans="1:25" x14ac:dyDescent="0.4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WK US EQUITY</v>
      </c>
      <c r="R14" s="24">
        <v>45747</v>
      </c>
      <c r="S14" s="25" t="str">
        <v>custom</v>
      </c>
      <c r="T14" s="26" t="str">
        <v>customers</v>
      </c>
      <c r="U14" s="30" t="str">
        <v>6.4</v>
      </c>
      <c r="V14" s="29" t="str">
        <v>0.0491803278688525</v>
      </c>
      <c r="W14" s="29" t="str">
        <v>-8.19672131147531</v>
      </c>
      <c r="X14" s="29" t="str">
        <v/>
      </c>
      <c r="Y14" s="29" t="str">
        <v>0.015873015873016</v>
      </c>
    </row>
    <row r="15" spans="1:25" x14ac:dyDescent="0.45">
      <c r="A15" s="16" t="s">
        <v>9</v>
      </c>
      <c r="B15" s="16" t="s">
        <v>14</v>
      </c>
      <c r="C15" s="9" t="s">
        <v>6</v>
      </c>
      <c r="D15" s="3">
        <f ca="1"/>
        <v>74.3536</v>
      </c>
      <c r="E15" s="3">
        <f ca="1"/>
        <v>74.517200000000003</v>
      </c>
      <c r="F15" s="3">
        <f ca="1"/>
        <v>75.751499999999993</v>
      </c>
      <c r="G15" s="3">
        <f ca="1"/>
        <v>77.2911</v>
      </c>
      <c r="H15" s="3">
        <f ca="1"/>
        <v>76.362700000000004</v>
      </c>
      <c r="I15" s="3">
        <f ca="1"/>
        <v>76.804900000000004</v>
      </c>
      <c r="J15" s="3">
        <f ca="1"/>
        <v>76.472999999999999</v>
      </c>
      <c r="K15" s="3">
        <f ca="1"/>
        <v>77.142799999999994</v>
      </c>
      <c r="L15" s="3">
        <f ca="1"/>
        <v>76.564899999999994</v>
      </c>
      <c r="M15" s="3">
        <f ca="1"/>
        <v>76.976799999999997</v>
      </c>
      <c r="N15" s="3">
        <f ca="1"/>
        <v>79.310900000000004</v>
      </c>
      <c r="O15">
        <f ca="1"/>
        <v>80.677999999999997</v>
      </c>
      <c r="Q15" s="24" t="str">
        <v>WK US EQUITY</v>
      </c>
      <c r="R15" s="24">
        <v>45838</v>
      </c>
      <c r="S15" s="25" t="str">
        <v>custom</v>
      </c>
      <c r="T15" s="26" t="str">
        <v>customers</v>
      </c>
      <c r="U15" s="30" t="str">
        <v>6.5</v>
      </c>
      <c r="V15" s="29" t="str">
        <v>0.0655737704918034</v>
      </c>
      <c r="W15" s="29" t="str">
        <v>163.934426229508</v>
      </c>
      <c r="X15" s="29" t="str">
        <v>316.754654070577</v>
      </c>
      <c r="Y15" s="29" t="str">
        <v>0.015625</v>
      </c>
    </row>
    <row r="16" spans="1:25" x14ac:dyDescent="0.45">
      <c r="C16" s="4" t="s">
        <v>4</v>
      </c>
      <c r="D16" s="5"/>
      <c r="E16" s="4"/>
      <c r="F16" s="4"/>
      <c r="G16" s="4"/>
      <c r="H16" s="7">
        <f t="shared" ref="H16:O16" ca="1" si="3">(H15-D15)*100</f>
        <v>200.91000000000037</v>
      </c>
      <c r="I16" s="7">
        <f t="shared" ca="1" si="3"/>
        <v>228.7700000000001</v>
      </c>
      <c r="J16" s="7">
        <f t="shared" ca="1" si="3"/>
        <v>72.150000000000603</v>
      </c>
      <c r="K16" s="7">
        <f t="shared" ca="1" si="3"/>
        <v>-14.830000000000609</v>
      </c>
      <c r="L16" s="7">
        <f t="shared" ca="1" si="3"/>
        <v>20.219999999999061</v>
      </c>
      <c r="M16" s="7">
        <f t="shared" ca="1" si="3"/>
        <v>17.189999999999372</v>
      </c>
      <c r="N16" s="7">
        <f t="shared" ca="1" si="3"/>
        <v>283.79000000000048</v>
      </c>
      <c r="O16" s="7">
        <f t="shared" ca="1" si="3"/>
        <v>353.52000000000032</v>
      </c>
      <c r="Q16" s="24" t="str">
        <v>WK US EQUITY</v>
      </c>
      <c r="R16" s="24">
        <v>45930</v>
      </c>
      <c r="S16" s="25" t="str">
        <v>custom</v>
      </c>
      <c r="T16" s="26" t="str">
        <v>customers</v>
      </c>
      <c r="U16" s="30" t="str">
        <v>6.5</v>
      </c>
      <c r="V16" s="29" t="str">
        <v>0.0483870967741935</v>
      </c>
      <c r="W16" s="29" t="str">
        <v>-171.866737176098</v>
      </c>
      <c r="X16" s="29" t="str">
        <v>-24.60360852925</v>
      </c>
      <c r="Y16" s="29" t="str">
        <v>0</v>
      </c>
    </row>
    <row r="17" spans="1:25" x14ac:dyDescent="0.45">
      <c r="C17" s="4" t="s">
        <v>19</v>
      </c>
      <c r="D17" s="1"/>
      <c r="K17" s="7"/>
      <c r="L17" s="7"/>
      <c r="M17" s="7"/>
      <c r="N17" s="7"/>
      <c r="O17" s="7"/>
      <c r="Q17" s="24" t="str">
        <v>WK US EQUITY</v>
      </c>
      <c r="R17" s="24">
        <v>46022</v>
      </c>
      <c r="S17" s="25" t="str">
        <v>custom</v>
      </c>
      <c r="T17" s="26" t="str">
        <v>customers</v>
      </c>
      <c r="U17" s="30" t="str">
        <v>6.6</v>
      </c>
      <c r="V17" s="29" t="str">
        <v>0.0476190476190477</v>
      </c>
      <c r="W17" s="29" t="str">
        <v>-7.68049155145833</v>
      </c>
      <c r="X17" s="29" t="str">
        <v>-23.8095238095237</v>
      </c>
      <c r="Y17" s="29" t="str">
        <v>0.0153846153846153</v>
      </c>
    </row>
    <row r="18" spans="1:25" x14ac:dyDescent="0.4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WK US EQUITY</v>
      </c>
      <c r="R18" s="24">
        <v>45747</v>
      </c>
      <c r="S18" s="25" t="str">
        <v>custom</v>
      </c>
      <c r="T18" s="26" t="str">
        <v>nrr_pct</v>
      </c>
      <c r="U18" s="30" t="str">
        <v>1.101</v>
      </c>
      <c r="V18" s="29" t="str">
        <v>-90.0000000000012</v>
      </c>
      <c r="W18" s="29" t="str">
        <v/>
      </c>
      <c r="X18" s="29" t="str">
        <v/>
      </c>
      <c r="Y18" s="29" t="str">
        <v>-190.000000000001</v>
      </c>
    </row>
    <row r="19" spans="1:25" x14ac:dyDescent="0.45">
      <c r="C19" s="4" t="s">
        <v>5</v>
      </c>
      <c r="D19" s="1"/>
      <c r="K19" s="7"/>
      <c r="L19" s="7">
        <f ca="1">(L15-K15)*100</f>
        <v>-57.789999999999964</v>
      </c>
      <c r="M19" s="7">
        <f ca="1">(M15-L15)*100</f>
        <v>41.190000000000282</v>
      </c>
      <c r="N19" s="7">
        <f ca="1">(N15-M15)*100</f>
        <v>233.41000000000065</v>
      </c>
      <c r="O19" s="7">
        <f ca="1">(O15-N15)*100</f>
        <v>136.70999999999935</v>
      </c>
      <c r="Q19" s="24" t="str">
        <v>WK US EQUITY</v>
      </c>
      <c r="R19" s="24">
        <v>45838</v>
      </c>
      <c r="S19" s="25" t="str">
        <v>custom</v>
      </c>
      <c r="T19" s="26" t="str">
        <v>nrr_pct</v>
      </c>
      <c r="U19" s="30" t="str">
        <v>1.137</v>
      </c>
      <c r="V19" s="29" t="str">
        <v>469.999999999999</v>
      </c>
      <c r="W19" s="29" t="str">
        <v/>
      </c>
      <c r="X19" s="29" t="str">
        <v/>
      </c>
      <c r="Y19" s="29" t="str">
        <v>360</v>
      </c>
    </row>
    <row r="20" spans="1:25" x14ac:dyDescent="0.45">
      <c r="Q20" s="24" t="str">
        <v>WK US EQUITY</v>
      </c>
      <c r="R20" s="24">
        <v>45930</v>
      </c>
      <c r="S20" s="25" t="str">
        <v>custom</v>
      </c>
      <c r="T20" s="26" t="str">
        <v>nrr_pct</v>
      </c>
      <c r="U20" s="30" t="str">
        <v>1.136</v>
      </c>
      <c r="V20" s="29" t="str">
        <v>309.999999999999</v>
      </c>
      <c r="W20" s="29" t="str">
        <v/>
      </c>
      <c r="X20" s="29" t="str">
        <v/>
      </c>
      <c r="Y20" s="29" t="str">
        <v>-10.0000000000011</v>
      </c>
    </row>
    <row r="21" spans="1:25" x14ac:dyDescent="0.45">
      <c r="C21" s="13" t="s">
        <v>12</v>
      </c>
      <c r="D21" s="14">
        <f t="shared" ref="D21:O21" ca="1" si="4">EOMONTH(DATE(YEAR(D22),ROUNDUP(MONTH(D22)/3,0)*3,1),0)</f>
        <v>45016</v>
      </c>
      <c r="E21" s="14">
        <f t="shared" ca="1" si="4"/>
        <v>45107</v>
      </c>
      <c r="F21" s="14">
        <f t="shared" ca="1" si="4"/>
        <v>45199</v>
      </c>
      <c r="G21" s="14">
        <f t="shared" ca="1" si="4"/>
        <v>45291</v>
      </c>
      <c r="H21" s="14">
        <f t="shared" ca="1" si="4"/>
        <v>45382</v>
      </c>
      <c r="I21" s="14">
        <f t="shared" ca="1" si="4"/>
        <v>45473</v>
      </c>
      <c r="J21" s="14">
        <f t="shared" ca="1" si="4"/>
        <v>45565</v>
      </c>
      <c r="K21" s="14">
        <f t="shared" ca="1" si="4"/>
        <v>45657</v>
      </c>
      <c r="L21" s="14">
        <f t="shared" ca="1" si="4"/>
        <v>45747</v>
      </c>
      <c r="M21" s="14">
        <f t="shared" ca="1" si="4"/>
        <v>45838</v>
      </c>
      <c r="N21" s="14">
        <f t="shared" ca="1" si="4"/>
        <v>45930</v>
      </c>
      <c r="O21" s="14">
        <f t="shared" ca="1" si="4"/>
        <v>46022</v>
      </c>
      <c r="Q21" s="24" t="str">
        <v>WK US EQUITY</v>
      </c>
      <c r="R21" s="24">
        <v>0</v>
      </c>
      <c r="S21" s="25" t="str">
        <v>custom</v>
      </c>
      <c r="T21" s="26" t="str">
        <v>nrr_pct</v>
      </c>
      <c r="U21" s="30" t="str">
        <v/>
      </c>
      <c r="V21" s="29" t="str">
        <v/>
      </c>
      <c r="W21" s="29" t="str">
        <v/>
      </c>
      <c r="X21" s="29" t="str">
        <v/>
      </c>
      <c r="Y21" s="29" t="str">
        <v/>
      </c>
    </row>
    <row r="22" spans="1:25" x14ac:dyDescent="0.45">
      <c r="D22" s="1" cm="1">
        <f t="array" aca="1" ref="D22:O23" ca="1">+_xll.BDH($B$2,C23,$B$3,$B$4,"DIR=H")</f>
        <v>45016</v>
      </c>
      <c r="E22" s="1">
        <f ca="1"/>
        <v>45107</v>
      </c>
      <c r="F22" s="1">
        <f ca="1"/>
        <v>45199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45565</v>
      </c>
      <c r="K22" s="1">
        <f ca="1"/>
        <v>45657</v>
      </c>
      <c r="L22" s="1">
        <f ca="1"/>
        <v>45747</v>
      </c>
      <c r="M22" s="1">
        <f ca="1"/>
        <v>45838</v>
      </c>
      <c r="N22" s="1">
        <f ca="1"/>
        <v>45930</v>
      </c>
      <c r="O22" s="1">
        <f ca="1"/>
        <v>46022</v>
      </c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WK US EQUITY</v>
      </c>
      <c r="R22" s="24">
        <v>45747</v>
      </c>
      <c r="S22" s="25" t="str">
        <v>custom</v>
      </c>
      <c r="T22" s="26" t="str">
        <v>crpo</v>
      </c>
      <c r="U22" s="27" t="str">
        <v>636.3</v>
      </c>
      <c r="V22" s="28" t="str">
        <v>0.235533980582524</v>
      </c>
      <c r="W22" s="29" t="str">
        <v>85.7252489870497</v>
      </c>
      <c r="X22" s="28" t="str">
        <v/>
      </c>
      <c r="Y22" s="29" t="str">
        <v>0.0146707064264071</v>
      </c>
    </row>
    <row r="23" spans="1:25" x14ac:dyDescent="0.45">
      <c r="A23" s="16" t="s">
        <v>9</v>
      </c>
      <c r="B23" s="16" t="s">
        <v>15</v>
      </c>
      <c r="C23" s="9" t="s">
        <v>7</v>
      </c>
      <c r="D23" s="3">
        <f ca="1"/>
        <v>-31.187999999999999</v>
      </c>
      <c r="E23" s="3">
        <f ca="1"/>
        <v>-14.635300000000001</v>
      </c>
      <c r="F23" s="3">
        <f ca="1"/>
        <v>-9.8150999999999993</v>
      </c>
      <c r="G23" s="3">
        <f ca="1"/>
        <v>-5.6843000000000004</v>
      </c>
      <c r="H23" s="3">
        <f ca="1"/>
        <v>-10.4078</v>
      </c>
      <c r="I23" s="3">
        <f ca="1"/>
        <v>-13.041499999999999</v>
      </c>
      <c r="J23" s="3">
        <f ca="1"/>
        <v>-11.7347</v>
      </c>
      <c r="K23" s="3">
        <f ca="1"/>
        <v>-6.6637000000000004</v>
      </c>
      <c r="L23" s="3">
        <f ca="1"/>
        <v>-11.9983</v>
      </c>
      <c r="M23" s="3">
        <f ca="1"/>
        <v>-10.291499999999999</v>
      </c>
      <c r="N23" s="3">
        <f ca="1"/>
        <v>-1.5189999999999999</v>
      </c>
      <c r="O23">
        <f ca="1"/>
        <v>3.2896000000000001</v>
      </c>
      <c r="Q23" s="24" t="str">
        <v>WK US EQUITY</v>
      </c>
      <c r="R23" s="24">
        <v>45838</v>
      </c>
      <c r="S23" s="25" t="str">
        <v>custom</v>
      </c>
      <c r="T23" s="26" t="str">
        <v>crpo</v>
      </c>
      <c r="U23" s="27" t="str">
        <v>668.3</v>
      </c>
      <c r="V23" s="28" t="str">
        <v>0.229170498436638</v>
      </c>
      <c r="W23" s="29" t="str">
        <v>-63.6348214588667</v>
      </c>
      <c r="X23" s="28" t="str">
        <v>334.370478098507</v>
      </c>
      <c r="Y23" s="29" t="str">
        <v>0.0502907433600503</v>
      </c>
    </row>
    <row r="24" spans="1:25" x14ac:dyDescent="0.45">
      <c r="C24" s="4" t="s">
        <v>4</v>
      </c>
      <c r="D24" s="5"/>
      <c r="E24" s="4"/>
      <c r="F24" s="4"/>
      <c r="G24" s="4"/>
      <c r="H24" s="7">
        <f t="shared" ref="H24:O24" ca="1" si="5">(H23-D23)*100</f>
        <v>2078.02</v>
      </c>
      <c r="I24" s="7">
        <f t="shared" ca="1" si="5"/>
        <v>159.38000000000017</v>
      </c>
      <c r="J24" s="7">
        <f t="shared" ca="1" si="5"/>
        <v>-191.96000000000009</v>
      </c>
      <c r="K24" s="7">
        <f t="shared" ca="1" si="5"/>
        <v>-97.94</v>
      </c>
      <c r="L24" s="7">
        <f t="shared" ca="1" si="5"/>
        <v>-159.05000000000004</v>
      </c>
      <c r="M24" s="7">
        <f t="shared" ca="1" si="5"/>
        <v>275</v>
      </c>
      <c r="N24" s="7">
        <f t="shared" ca="1" si="5"/>
        <v>1021.57</v>
      </c>
      <c r="O24" s="7">
        <f t="shared" ca="1" si="5"/>
        <v>995.33</v>
      </c>
      <c r="Q24" s="24" t="str">
        <v>WK US EQUITY</v>
      </c>
      <c r="R24" s="24">
        <v>45930</v>
      </c>
      <c r="S24" s="25" t="str">
        <v>custom</v>
      </c>
      <c r="T24" s="26" t="str">
        <v>crpo</v>
      </c>
      <c r="U24" s="27" t="str">
        <v>700.9</v>
      </c>
      <c r="V24" s="28" t="str">
        <v>0.196075085324232</v>
      </c>
      <c r="W24" s="29" t="str">
        <v>-330.954131124055</v>
      </c>
      <c r="X24" s="28" t="str">
        <v>-595.495129187507</v>
      </c>
      <c r="Y24" s="29" t="str">
        <v>0.0487804878048781</v>
      </c>
    </row>
    <row r="25" spans="1:25" x14ac:dyDescent="0.45">
      <c r="C25" s="4" t="s">
        <v>19</v>
      </c>
      <c r="D25" s="1"/>
      <c r="K25" s="7"/>
      <c r="L25" s="7"/>
      <c r="M25" s="7"/>
      <c r="N25" s="7"/>
      <c r="O25" s="7"/>
      <c r="Q25" s="24" t="str">
        <v>WK US EQUITY</v>
      </c>
      <c r="R25" s="24">
        <v>46022</v>
      </c>
      <c r="S25" s="25" t="str">
        <v>custom</v>
      </c>
      <c r="T25" s="26" t="str">
        <v>crpo</v>
      </c>
      <c r="U25" s="27" t="str">
        <v>757.4</v>
      </c>
      <c r="V25" s="28" t="str">
        <v>0.207781852974007</v>
      </c>
      <c r="W25" s="29" t="str">
        <v>117.067676497751</v>
      </c>
      <c r="X25" s="28" t="str">
        <v>-191.796027098121</v>
      </c>
      <c r="Y25" s="29" t="str">
        <v>0.0806106434584106</v>
      </c>
    </row>
    <row r="26" spans="1:25" x14ac:dyDescent="0.4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WK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45">
      <c r="C27" s="4" t="s">
        <v>5</v>
      </c>
      <c r="D27" s="1"/>
      <c r="K27" s="7"/>
      <c r="L27" s="7">
        <f ca="1">(L23-K23)*100</f>
        <v>-533.46</v>
      </c>
      <c r="M27" s="7">
        <f ca="1">(M23-L23)*100</f>
        <v>170.68000000000012</v>
      </c>
      <c r="N27" s="7">
        <f ca="1">(N23-M23)*100</f>
        <v>877.24999999999989</v>
      </c>
      <c r="O27" s="7">
        <f ca="1">(O23-N23)*100</f>
        <v>480.86</v>
      </c>
      <c r="Q27" s="24" t="str">
        <v>WK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45">
      <c r="C28" s="4"/>
      <c r="D28" s="1"/>
      <c r="K28" s="7"/>
      <c r="L28" s="7"/>
      <c r="M28" s="7"/>
      <c r="N28" s="7"/>
      <c r="O28" s="7"/>
      <c r="Q28" s="24" t="str">
        <v>WK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45">
      <c r="C29" s="13"/>
      <c r="D29" s="14">
        <f t="shared" ref="D29:L29" si="6">EOMONTH(DATE(YEAR(D30),ROUNDUP(MONTH(D30)/3,0)*3,1),0)</f>
        <v>45016</v>
      </c>
      <c r="E29" s="14">
        <f t="shared" si="6"/>
        <v>45107</v>
      </c>
      <c r="F29" s="14">
        <f t="shared" si="6"/>
        <v>45199</v>
      </c>
      <c r="G29" s="14">
        <f t="shared" si="6"/>
        <v>45291</v>
      </c>
      <c r="H29" s="14">
        <f t="shared" si="6"/>
        <v>45382</v>
      </c>
      <c r="I29" s="14">
        <f t="shared" si="6"/>
        <v>45473</v>
      </c>
      <c r="J29" s="14">
        <f t="shared" si="6"/>
        <v>45565</v>
      </c>
      <c r="K29" s="14">
        <f t="shared" si="6"/>
        <v>45657</v>
      </c>
      <c r="L29" s="14">
        <f t="shared" si="6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WK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45">
      <c r="D30" s="2">
        <v>45016</v>
      </c>
      <c r="E30" s="2">
        <v>45107</v>
      </c>
      <c r="F30" s="2">
        <v>45199</v>
      </c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WK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45">
      <c r="A31" s="16" t="s">
        <v>21</v>
      </c>
      <c r="B31" s="16" t="s">
        <v>38</v>
      </c>
      <c r="C31" s="2" t="s">
        <v>39</v>
      </c>
      <c r="D31" s="38"/>
      <c r="E31" s="38">
        <v>5.9</v>
      </c>
      <c r="F31" s="38">
        <v>5.9</v>
      </c>
      <c r="G31" s="38">
        <v>6</v>
      </c>
      <c r="H31" s="38">
        <v>6.1</v>
      </c>
      <c r="I31" s="38">
        <v>6.1</v>
      </c>
      <c r="J31" s="38">
        <v>6.2</v>
      </c>
      <c r="K31" s="38">
        <v>6.3</v>
      </c>
      <c r="L31" s="38">
        <v>6.4</v>
      </c>
      <c r="M31" s="38">
        <v>6.5</v>
      </c>
      <c r="N31" s="38">
        <v>6.5</v>
      </c>
      <c r="O31" s="38">
        <v>6.6</v>
      </c>
      <c r="Q31" s="24" t="str">
        <v>WK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45">
      <c r="C32" s="4" t="s">
        <v>4</v>
      </c>
      <c r="D32" s="5"/>
      <c r="E32" s="4"/>
      <c r="F32" s="4"/>
      <c r="G32" s="12"/>
      <c r="H32" s="12"/>
      <c r="I32" s="12">
        <f t="shared" ref="I32:O32" si="7">+I31/E31-1</f>
        <v>3.3898305084745672E-2</v>
      </c>
      <c r="J32" s="12">
        <f t="shared" si="7"/>
        <v>5.0847457627118509E-2</v>
      </c>
      <c r="K32" s="12">
        <f t="shared" si="7"/>
        <v>5.0000000000000044E-2</v>
      </c>
      <c r="L32" s="12">
        <f t="shared" si="7"/>
        <v>4.9180327868852514E-2</v>
      </c>
      <c r="M32" s="12">
        <f t="shared" si="7"/>
        <v>6.5573770491803351E-2</v>
      </c>
      <c r="N32" s="12">
        <f t="shared" si="7"/>
        <v>4.8387096774193505E-2</v>
      </c>
      <c r="O32" s="12">
        <f t="shared" si="7"/>
        <v>4.7619047619047672E-2</v>
      </c>
      <c r="Q32" s="24" t="str">
        <v>WK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45">
      <c r="C33" s="4" t="s">
        <v>19</v>
      </c>
      <c r="D33" s="1"/>
      <c r="L33" s="7">
        <f>(L32-K32)*10000</f>
        <v>-8.1967213114753079</v>
      </c>
      <c r="M33" s="7">
        <f>(M32-L32)*10000</f>
        <v>163.93442622950838</v>
      </c>
      <c r="N33" s="7">
        <f>(N32-M32)*10000</f>
        <v>-171.86673717609847</v>
      </c>
      <c r="O33" s="7">
        <f>(O32-N32)*10000</f>
        <v>-7.680491551458335</v>
      </c>
      <c r="Q33" s="24" t="str">
        <v>WK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45">
      <c r="C34" s="4" t="s">
        <v>23</v>
      </c>
      <c r="D34" s="1"/>
      <c r="E34" s="6"/>
      <c r="F34" s="6"/>
      <c r="G34" s="6"/>
      <c r="H34" s="6"/>
      <c r="I34" s="6"/>
      <c r="J34" s="6"/>
      <c r="K34" s="6"/>
      <c r="L34" s="7"/>
      <c r="M34" s="7">
        <f>(M32-I32)*10000</f>
        <v>316.75465407057681</v>
      </c>
      <c r="N34" s="7">
        <f>(N32-J32)*10000</f>
        <v>-24.603608529250032</v>
      </c>
      <c r="O34" s="7">
        <f>(O32-K32)*10000</f>
        <v>-23.809523809523725</v>
      </c>
    </row>
    <row r="35" spans="1:25" x14ac:dyDescent="0.45">
      <c r="C35" s="4" t="s">
        <v>5</v>
      </c>
      <c r="D35" s="1"/>
      <c r="L35" s="12">
        <f>L31/K31-1</f>
        <v>1.5873015873016039E-2</v>
      </c>
      <c r="M35" s="12">
        <f>M31/L31-1</f>
        <v>1.5625E-2</v>
      </c>
      <c r="N35" s="12">
        <f>N31/M31-1</f>
        <v>0</v>
      </c>
      <c r="O35" s="12">
        <f>O31/N31-1</f>
        <v>1.538461538461533E-2</v>
      </c>
    </row>
    <row r="36" spans="1:25" x14ac:dyDescent="0.45">
      <c r="C36" s="4"/>
      <c r="D36" s="1"/>
      <c r="L36" s="7"/>
      <c r="M36" s="7"/>
      <c r="N36" s="7"/>
      <c r="O36" s="7"/>
    </row>
    <row r="37" spans="1:25" x14ac:dyDescent="0.45">
      <c r="C37" s="13"/>
      <c r="D37" s="14">
        <f t="shared" ref="D37:L37" si="8">EOMONTH(DATE(YEAR(D38),ROUNDUP(MONTH(D38)/3,0)*3,1),0)</f>
        <v>45016</v>
      </c>
      <c r="E37" s="14">
        <f t="shared" si="8"/>
        <v>45107</v>
      </c>
      <c r="F37" s="14">
        <f t="shared" si="8"/>
        <v>45199</v>
      </c>
      <c r="G37" s="14">
        <f t="shared" si="8"/>
        <v>45291</v>
      </c>
      <c r="H37" s="14">
        <f t="shared" si="8"/>
        <v>45382</v>
      </c>
      <c r="I37" s="14">
        <f t="shared" si="8"/>
        <v>45473</v>
      </c>
      <c r="J37" s="14">
        <f t="shared" si="8"/>
        <v>45565</v>
      </c>
      <c r="K37" s="14">
        <f t="shared" si="8"/>
        <v>45657</v>
      </c>
      <c r="L37" s="14">
        <f t="shared" si="8"/>
        <v>45747</v>
      </c>
      <c r="M37" s="14">
        <f>EOMONTH(DATE(YEAR(M38),ROUNDUP(MONTH(M38)/3,0)*3,1),0)</f>
        <v>45838</v>
      </c>
      <c r="N37" s="14">
        <f>EOMONTH(DATE(YEAR(N38),ROUNDUP(MONTH(N38)/3,0)*3,1),0)</f>
        <v>45930</v>
      </c>
      <c r="O37" s="14"/>
    </row>
    <row r="38" spans="1:25" x14ac:dyDescent="0.45">
      <c r="D38" s="2">
        <v>45016</v>
      </c>
      <c r="E38" s="2">
        <v>45107</v>
      </c>
      <c r="F38" s="2">
        <v>45199</v>
      </c>
      <c r="G38" s="2">
        <v>45291</v>
      </c>
      <c r="H38" s="2">
        <v>45382</v>
      </c>
      <c r="I38" s="2">
        <v>45473</v>
      </c>
      <c r="J38" s="2">
        <v>45565</v>
      </c>
      <c r="K38" s="2">
        <v>45657</v>
      </c>
      <c r="L38" s="2">
        <v>45747</v>
      </c>
      <c r="M38" s="2">
        <v>45838</v>
      </c>
      <c r="N38" s="2">
        <v>45930</v>
      </c>
      <c r="O38" s="2"/>
    </row>
    <row r="39" spans="1:25" x14ac:dyDescent="0.45">
      <c r="A39" s="16" t="s">
        <v>21</v>
      </c>
      <c r="B39" s="16" t="s">
        <v>93</v>
      </c>
      <c r="C39" s="2" t="s">
        <v>100</v>
      </c>
      <c r="D39" s="32"/>
      <c r="E39" s="34">
        <v>1.1100000000000001</v>
      </c>
      <c r="F39" s="34">
        <v>1.1200000000000001</v>
      </c>
      <c r="G39" s="34">
        <v>1.1000000000000001</v>
      </c>
      <c r="H39" s="34">
        <v>1.1100000000000001</v>
      </c>
      <c r="I39" s="34">
        <v>1.0900000000000001</v>
      </c>
      <c r="J39" s="39">
        <v>1.105</v>
      </c>
      <c r="K39" s="34">
        <v>1.1200000000000001</v>
      </c>
      <c r="L39" s="39">
        <v>1.101</v>
      </c>
      <c r="M39" s="39">
        <v>1.137</v>
      </c>
      <c r="N39" s="39">
        <v>1.1359999999999999</v>
      </c>
      <c r="O39" s="32"/>
    </row>
    <row r="40" spans="1:25" x14ac:dyDescent="0.45">
      <c r="C40" s="4" t="s">
        <v>4</v>
      </c>
      <c r="D40" s="5"/>
      <c r="E40" s="4"/>
      <c r="F40" s="4"/>
      <c r="G40" s="12"/>
      <c r="H40" s="7"/>
      <c r="I40" s="7">
        <f t="shared" ref="I40:N40" si="9">(I39-E39)*10000</f>
        <v>-200.00000000000017</v>
      </c>
      <c r="J40" s="7">
        <f t="shared" si="9"/>
        <v>-150.00000000000125</v>
      </c>
      <c r="K40" s="7">
        <f t="shared" si="9"/>
        <v>200.00000000000017</v>
      </c>
      <c r="L40" s="7">
        <f t="shared" si="9"/>
        <v>-90.000000000001194</v>
      </c>
      <c r="M40" s="7">
        <f t="shared" si="9"/>
        <v>469.99999999999932</v>
      </c>
      <c r="N40" s="7">
        <f t="shared" si="9"/>
        <v>309.99999999999915</v>
      </c>
      <c r="O40" s="7"/>
    </row>
    <row r="41" spans="1:25" x14ac:dyDescent="0.45">
      <c r="C41" s="4" t="s">
        <v>19</v>
      </c>
      <c r="D41" s="1"/>
      <c r="K41" s="7"/>
      <c r="L41" s="7"/>
      <c r="M41" s="7"/>
      <c r="N41" s="7"/>
      <c r="O41" s="7"/>
    </row>
    <row r="42" spans="1:25" x14ac:dyDescent="0.45">
      <c r="C42" s="4" t="s">
        <v>23</v>
      </c>
      <c r="D42" s="1"/>
      <c r="E42" s="6"/>
      <c r="F42" s="6"/>
      <c r="G42" s="6"/>
      <c r="H42" s="7"/>
      <c r="I42" s="7"/>
      <c r="J42" s="7"/>
      <c r="K42" s="7"/>
      <c r="L42" s="7"/>
      <c r="M42" s="7"/>
      <c r="N42" s="7"/>
      <c r="O42" s="7"/>
    </row>
    <row r="43" spans="1:25" x14ac:dyDescent="0.45">
      <c r="C43" s="4" t="s">
        <v>5</v>
      </c>
      <c r="D43" s="1"/>
      <c r="K43" s="7"/>
      <c r="L43" s="7">
        <f t="shared" ref="L43:N43" si="10">(L39-K39)*10000</f>
        <v>-190.00000000000128</v>
      </c>
      <c r="M43" s="7">
        <f t="shared" si="10"/>
        <v>360.00000000000034</v>
      </c>
      <c r="N43" s="7">
        <f t="shared" si="10"/>
        <v>-10.000000000001119</v>
      </c>
      <c r="O43" s="7"/>
    </row>
    <row r="44" spans="1:25" x14ac:dyDescent="0.45">
      <c r="C44" s="4"/>
      <c r="D44" s="1"/>
      <c r="G44" s="1"/>
    </row>
    <row r="45" spans="1:25" x14ac:dyDescent="0.45">
      <c r="C45" s="13"/>
      <c r="D45" s="14">
        <f t="shared" ref="D45:L45" si="11">EOMONTH(DATE(YEAR(D46),ROUNDUP(MONTH(D46)/3,0)*3,1),0)</f>
        <v>45016</v>
      </c>
      <c r="E45" s="14">
        <f t="shared" si="11"/>
        <v>45107</v>
      </c>
      <c r="F45" s="14">
        <f t="shared" si="11"/>
        <v>45199</v>
      </c>
      <c r="G45" s="14">
        <f t="shared" si="11"/>
        <v>45291</v>
      </c>
      <c r="H45" s="14">
        <f t="shared" si="11"/>
        <v>45382</v>
      </c>
      <c r="I45" s="14">
        <f t="shared" si="11"/>
        <v>45473</v>
      </c>
      <c r="J45" s="14">
        <f t="shared" si="11"/>
        <v>45565</v>
      </c>
      <c r="K45" s="14">
        <f t="shared" si="11"/>
        <v>45657</v>
      </c>
      <c r="L45" s="14">
        <f t="shared" si="11"/>
        <v>45747</v>
      </c>
      <c r="M45" s="14">
        <f>EOMONTH(DATE(YEAR(M46),ROUNDUP(MONTH(M46)/3,0)*3,1),0)</f>
        <v>45838</v>
      </c>
      <c r="N45" s="14">
        <f>EOMONTH(DATE(YEAR(N46),ROUNDUP(MONTH(N46)/3,0)*3,1),0)</f>
        <v>45930</v>
      </c>
      <c r="O45" s="14">
        <f>EOMONTH(DATE(YEAR(O46),ROUNDUP(MONTH(O46)/3,0)*3,1),0)</f>
        <v>46022</v>
      </c>
    </row>
    <row r="46" spans="1:25" x14ac:dyDescent="0.45">
      <c r="D46" s="2">
        <v>45016</v>
      </c>
      <c r="E46" s="2">
        <v>45107</v>
      </c>
      <c r="F46" s="2">
        <v>45199</v>
      </c>
      <c r="G46" s="2">
        <v>45291</v>
      </c>
      <c r="H46" s="2">
        <v>45382</v>
      </c>
      <c r="I46" s="2">
        <v>45473</v>
      </c>
      <c r="J46" s="2">
        <v>45565</v>
      </c>
      <c r="K46" s="2">
        <v>45657</v>
      </c>
      <c r="L46" s="2">
        <v>45747</v>
      </c>
      <c r="M46" s="2">
        <v>45838</v>
      </c>
      <c r="N46" s="2">
        <v>45930</v>
      </c>
      <c r="O46" s="2">
        <v>46022</v>
      </c>
    </row>
    <row r="47" spans="1:25" x14ac:dyDescent="0.45">
      <c r="A47" s="16" t="s">
        <v>21</v>
      </c>
      <c r="B47" s="16" t="s">
        <v>65</v>
      </c>
      <c r="C47" s="2" t="s">
        <v>101</v>
      </c>
      <c r="D47" s="32"/>
      <c r="E47" s="32">
        <v>454.7</v>
      </c>
      <c r="F47" s="32">
        <v>466.7</v>
      </c>
      <c r="G47" s="32">
        <v>511.1</v>
      </c>
      <c r="H47" s="32">
        <v>515</v>
      </c>
      <c r="I47" s="32">
        <v>543.70000000000005</v>
      </c>
      <c r="J47" s="32">
        <v>586</v>
      </c>
      <c r="K47" s="32">
        <v>627.1</v>
      </c>
      <c r="L47" s="32">
        <v>636.29999999999995</v>
      </c>
      <c r="M47" s="32">
        <v>668.3</v>
      </c>
      <c r="N47" s="32">
        <v>700.9</v>
      </c>
      <c r="O47" s="32">
        <v>757.4</v>
      </c>
    </row>
    <row r="48" spans="1:25" x14ac:dyDescent="0.45">
      <c r="C48" s="4" t="s">
        <v>4</v>
      </c>
      <c r="D48" s="5"/>
      <c r="E48" s="4"/>
      <c r="F48" s="4"/>
      <c r="G48" s="12"/>
      <c r="H48" s="12"/>
      <c r="I48" s="12">
        <f t="shared" ref="I48" si="12">+I47/E47-1</f>
        <v>0.19573345062678693</v>
      </c>
      <c r="J48" s="12">
        <f t="shared" ref="J48" si="13">+J47/F47-1</f>
        <v>0.25562459824298278</v>
      </c>
      <c r="K48" s="12">
        <f t="shared" ref="K48" si="14">+K47/G47-1</f>
        <v>0.22696145568381931</v>
      </c>
      <c r="L48" s="12">
        <f t="shared" ref="L48" si="15">+L47/H47-1</f>
        <v>0.23553398058252428</v>
      </c>
      <c r="M48" s="12">
        <f t="shared" ref="M48" si="16">+M47/I47-1</f>
        <v>0.22917049843663762</v>
      </c>
      <c r="N48" s="12">
        <f t="shared" ref="N48" si="17">+N47/J47-1</f>
        <v>0.19607508532423212</v>
      </c>
      <c r="O48" s="12">
        <f t="shared" ref="O48" si="18">+O47/K47-1</f>
        <v>0.2077818529740072</v>
      </c>
    </row>
    <row r="49" spans="1:15" x14ac:dyDescent="0.45">
      <c r="C49" s="4" t="s">
        <v>19</v>
      </c>
      <c r="D49" s="1"/>
      <c r="L49" s="7">
        <f>(L48-K48)*10000</f>
        <v>85.725248987049696</v>
      </c>
      <c r="M49" s="7">
        <f>(M48-L48)*10000</f>
        <v>-63.634821458866675</v>
      </c>
      <c r="N49" s="7">
        <f>(N48-M48)*10000</f>
        <v>-330.95413112405492</v>
      </c>
      <c r="O49" s="7">
        <f>(O48-N48)*10000</f>
        <v>117.06767649775074</v>
      </c>
    </row>
    <row r="50" spans="1:15" x14ac:dyDescent="0.45">
      <c r="C50" s="4" t="s">
        <v>23</v>
      </c>
      <c r="D50" s="1"/>
      <c r="E50" s="6"/>
      <c r="F50" s="6"/>
      <c r="G50" s="6"/>
      <c r="H50" s="6"/>
      <c r="I50" s="6"/>
      <c r="J50" s="6"/>
      <c r="K50" s="6"/>
      <c r="L50" s="7"/>
      <c r="M50" s="7">
        <f>(M48-I48)*10000</f>
        <v>334.37047809850685</v>
      </c>
      <c r="N50" s="7">
        <f>(N48-J48)*10000</f>
        <v>-595.49512918750656</v>
      </c>
      <c r="O50" s="7">
        <f>(O48-K48)*10000</f>
        <v>-191.79602709812116</v>
      </c>
    </row>
    <row r="51" spans="1:15" x14ac:dyDescent="0.45">
      <c r="C51" s="4" t="s">
        <v>5</v>
      </c>
      <c r="D51" s="1"/>
      <c r="L51" s="12">
        <f>L47/K47-1</f>
        <v>1.467070642640711E-2</v>
      </c>
      <c r="M51" s="12">
        <f>M47/L47-1</f>
        <v>5.029074336005035E-2</v>
      </c>
      <c r="N51" s="12">
        <f>N47/M47-1</f>
        <v>4.8780487804878092E-2</v>
      </c>
      <c r="O51" s="12">
        <f>O47/N47-1</f>
        <v>8.0610643458410625E-2</v>
      </c>
    </row>
    <row r="52" spans="1:15" x14ac:dyDescent="0.45">
      <c r="C52" s="4"/>
      <c r="D52" s="1"/>
      <c r="G52" s="1"/>
    </row>
    <row r="53" spans="1:15" x14ac:dyDescent="0.4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4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4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4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45">
      <c r="C57" s="4"/>
      <c r="D57" s="1"/>
      <c r="K57" s="7"/>
      <c r="L57" s="7"/>
      <c r="M57" s="7"/>
      <c r="N57" s="7"/>
      <c r="O57" s="7"/>
    </row>
    <row r="58" spans="1:15" x14ac:dyDescent="0.4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45">
      <c r="C59" s="4"/>
      <c r="D59" s="1"/>
      <c r="K59" s="7"/>
      <c r="L59" s="7"/>
      <c r="M59" s="7"/>
      <c r="N59" s="7"/>
      <c r="O59" s="7"/>
    </row>
    <row r="64" spans="1:15" x14ac:dyDescent="0.4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45">
      <c r="C65" s="4"/>
      <c r="D65" s="1"/>
      <c r="K65" s="7"/>
      <c r="L65" s="7"/>
      <c r="M65" s="7"/>
      <c r="N65" s="7"/>
      <c r="O65" s="7"/>
    </row>
    <row r="66" spans="3:15" x14ac:dyDescent="0.4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4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ED23E-E617-4CC7-BB83-A7B65E20EF38}">
  <dimension ref="A1:Y67"/>
  <sheetViews>
    <sheetView zoomScale="85" zoomScaleNormal="85" workbookViewId="0">
      <pane xSplit="3" topLeftCell="H1" activePane="topRight" state="frozen"/>
      <selection pane="topRight" activeCell="O12" sqref="O12"/>
    </sheetView>
  </sheetViews>
  <sheetFormatPr defaultRowHeight="14.25" x14ac:dyDescent="0.45"/>
  <cols>
    <col min="1" max="1" width="14.73046875" bestFit="1" customWidth="1"/>
    <col min="2" max="2" width="20" bestFit="1" customWidth="1"/>
    <col min="3" max="3" width="36.3984375" bestFit="1" customWidth="1"/>
    <col min="4" max="6" width="10.1328125" bestFit="1" customWidth="1"/>
    <col min="7" max="7" width="10.59765625" bestFit="1" customWidth="1"/>
    <col min="8" max="10" width="10.1328125" bestFit="1" customWidth="1"/>
    <col min="11" max="11" width="10.59765625" bestFit="1" customWidth="1"/>
    <col min="12" max="12" width="10.1328125" bestFit="1" customWidth="1"/>
    <col min="13" max="15" width="10.265625" bestFit="1" customWidth="1"/>
    <col min="16" max="16" width="9" customWidth="1"/>
    <col min="17" max="17" width="12.3984375" bestFit="1" customWidth="1"/>
    <col min="18" max="18" width="14.3984375" bestFit="1" customWidth="1"/>
    <col min="19" max="19" width="8.59765625" bestFit="1" customWidth="1"/>
    <col min="20" max="20" width="20.265625" bestFit="1" customWidth="1"/>
    <col min="21" max="21" width="7.3984375" bestFit="1" customWidth="1"/>
    <col min="22" max="22" width="10.73046875" bestFit="1" customWidth="1"/>
    <col min="23" max="23" width="9.1328125" bestFit="1" customWidth="1"/>
    <col min="24" max="24" width="10.3984375" bestFit="1" customWidth="1"/>
    <col min="25" max="25" width="9.1328125" bestFit="1" customWidth="1"/>
  </cols>
  <sheetData>
    <row r="1" spans="1:25" x14ac:dyDescent="0.4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45">
      <c r="A2" s="17" t="s">
        <v>1</v>
      </c>
      <c r="B2" s="31" t="s">
        <v>102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ZIP US EQUITY</v>
      </c>
      <c r="R2" s="24">
        <f ca="1"/>
        <v>45747</v>
      </c>
      <c r="S2" s="25" t="str">
        <f ca="1"/>
        <v>canonical</v>
      </c>
      <c r="T2" s="26" t="str">
        <f ca="1"/>
        <v>revenue</v>
      </c>
      <c r="U2" s="27" t="str">
        <f ca="1"/>
        <v>110.065</v>
      </c>
      <c r="V2" s="28" t="str">
        <f ca="1"/>
        <v>-0.0993044189852701</v>
      </c>
      <c r="W2" s="29" t="str">
        <f ca="1"/>
        <v>839.185390721251</v>
      </c>
      <c r="X2" s="28" t="str">
        <f ca="1"/>
        <v>2356.57948156864</v>
      </c>
      <c r="Y2" s="29" t="str">
        <f ca="1"/>
        <v>-0.00842342342342339</v>
      </c>
    </row>
    <row r="3" spans="1:25" x14ac:dyDescent="0.45">
      <c r="A3" s="18" t="s">
        <v>3</v>
      </c>
      <c r="B3" s="19">
        <f ca="1">+B4-365*3</f>
        <v>45001</v>
      </c>
      <c r="Q3" s="24" t="str">
        <f ca="1"/>
        <v>ZIP US EQUITY</v>
      </c>
      <c r="R3" s="24">
        <f ca="1"/>
        <v>45838</v>
      </c>
      <c r="S3" s="25" t="str">
        <f ca="1"/>
        <v>canonical</v>
      </c>
      <c r="T3" s="26" t="str">
        <f ca="1"/>
        <v>revenue</v>
      </c>
      <c r="U3" s="27" t="str">
        <f ca="1"/>
        <v>112.232</v>
      </c>
      <c r="V3" s="28" t="str">
        <f ca="1"/>
        <v>-0.0927081649151172</v>
      </c>
      <c r="W3" s="29" t="str">
        <f ca="1"/>
        <v>65.9625407015285</v>
      </c>
      <c r="X3" s="29" t="str">
        <f ca="1"/>
        <v>1814.4232123389</v>
      </c>
      <c r="Y3" s="29" t="str">
        <f ca="1"/>
        <v>0.0196883659655658</v>
      </c>
    </row>
    <row r="4" spans="1:25" x14ac:dyDescent="0.45">
      <c r="A4" s="20" t="s">
        <v>2</v>
      </c>
      <c r="B4" s="21">
        <f ca="1">TODAY()</f>
        <v>46096</v>
      </c>
      <c r="Q4" s="24" t="str">
        <f ca="1"/>
        <v>ZIP US EQUITY</v>
      </c>
      <c r="R4" s="24">
        <f ca="1"/>
        <v>45930</v>
      </c>
      <c r="S4" s="25" t="str">
        <f ca="1"/>
        <v>canonical</v>
      </c>
      <c r="T4" s="26" t="str">
        <f ca="1"/>
        <v>revenue</v>
      </c>
      <c r="U4" s="27" t="str">
        <f ca="1"/>
        <v>114.982</v>
      </c>
      <c r="V4" s="28" t="str">
        <f ca="1"/>
        <v>-0.0179529226879848</v>
      </c>
      <c r="W4" s="29" t="str">
        <f ca="1"/>
        <v>747.552422271325</v>
      </c>
      <c r="X4" s="29" t="str">
        <f ca="1"/>
        <v>2297.24260374407</v>
      </c>
      <c r="Y4" s="29" t="str">
        <f ca="1"/>
        <v>0.0245028155962648</v>
      </c>
    </row>
    <row r="5" spans="1:25" x14ac:dyDescent="0.45">
      <c r="C5" s="13" t="s">
        <v>12</v>
      </c>
      <c r="D5" s="14">
        <f t="shared" ref="D5:O5" ca="1" si="0">EOMONTH(DATE(YEAR(D6),ROUNDUP(MONTH(D6)/3,0)*3,1),0)</f>
        <v>45016</v>
      </c>
      <c r="E5" s="14">
        <f t="shared" ca="1" si="0"/>
        <v>45107</v>
      </c>
      <c r="F5" s="14">
        <f t="shared" ca="1" si="0"/>
        <v>45199</v>
      </c>
      <c r="G5" s="14">
        <f t="shared" ca="1" si="0"/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t="shared" ca="1" si="0"/>
        <v>45747</v>
      </c>
      <c r="M5" s="14">
        <f t="shared" ca="1" si="0"/>
        <v>45838</v>
      </c>
      <c r="N5" s="14">
        <f t="shared" ca="1" si="0"/>
        <v>45930</v>
      </c>
      <c r="O5" s="14">
        <f t="shared" ca="1" si="0"/>
        <v>46022</v>
      </c>
      <c r="Q5" s="24" t="str">
        <f ca="1"/>
        <v>ZIP US EQUITY</v>
      </c>
      <c r="R5" s="24">
        <f ca="1"/>
        <v>46022</v>
      </c>
      <c r="S5" s="25" t="str">
        <f ca="1"/>
        <v>canonical</v>
      </c>
      <c r="T5" s="26" t="str">
        <f ca="1"/>
        <v>revenue</v>
      </c>
      <c r="U5" s="27" t="str">
        <f ca="1"/>
        <v>111.7</v>
      </c>
      <c r="V5" s="28" t="str">
        <f ca="1"/>
        <v>0.00630630630630624</v>
      </c>
      <c r="W5" s="29" t="str">
        <f ca="1"/>
        <v>242.59228994291</v>
      </c>
      <c r="X5" s="29" t="str">
        <f ca="1"/>
        <v>1895.29264363701</v>
      </c>
      <c r="Y5" s="29" t="str">
        <f ca="1"/>
        <v>-0.0285435981284027</v>
      </c>
    </row>
    <row r="6" spans="1:25" x14ac:dyDescent="0.45">
      <c r="D6" s="15" cm="1">
        <f t="array" aca="1" ref="D6:O7" ca="1">+_xll.BDH($B$2,C7,$B$3,$B$4,"DIR=H")</f>
        <v>45016</v>
      </c>
      <c r="E6" s="1">
        <f ca="1"/>
        <v>45107</v>
      </c>
      <c r="F6" s="1">
        <f ca="1"/>
        <v>45199</v>
      </c>
      <c r="G6" s="1">
        <f ca="1"/>
        <v>45291</v>
      </c>
      <c r="H6" s="1">
        <f ca="1"/>
        <v>45382</v>
      </c>
      <c r="I6" s="1">
        <f ca="1"/>
        <v>45473</v>
      </c>
      <c r="J6" s="1">
        <f ca="1"/>
        <v>45565</v>
      </c>
      <c r="K6" s="1">
        <f ca="1"/>
        <v>45657</v>
      </c>
      <c r="L6" s="1">
        <f ca="1"/>
        <v>45747</v>
      </c>
      <c r="M6" s="1">
        <f ca="1"/>
        <v>45838</v>
      </c>
      <c r="N6" s="1">
        <f ca="1"/>
        <v>45930</v>
      </c>
      <c r="O6" s="1">
        <f ca="1"/>
        <v>46022</v>
      </c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ZIP US EQUITY</v>
      </c>
      <c r="R6" s="24">
        <f ca="1"/>
        <v>45747</v>
      </c>
      <c r="S6" s="25" t="str">
        <f ca="1"/>
        <v>canonical</v>
      </c>
      <c r="T6" s="26" t="str">
        <f ca="1"/>
        <v>gross_margin_gaap</v>
      </c>
      <c r="U6" s="30" t="str">
        <f ca="1"/>
        <v>89.4108</v>
      </c>
      <c r="V6" s="29" t="str">
        <f ca="1"/>
        <v>30.8299999999988</v>
      </c>
      <c r="W6" s="29" t="str">
        <f ca="1"/>
        <v/>
      </c>
      <c r="X6" s="29" t="str">
        <f ca="1"/>
        <v/>
      </c>
      <c r="Y6" s="29" t="str">
        <f ca="1"/>
        <v>-22.7100000000007</v>
      </c>
    </row>
    <row r="7" spans="1:25" x14ac:dyDescent="0.45">
      <c r="A7" s="16" t="s">
        <v>9</v>
      </c>
      <c r="B7" s="16" t="s">
        <v>8</v>
      </c>
      <c r="C7" s="9" t="s">
        <v>0</v>
      </c>
      <c r="D7" s="11">
        <f ca="1"/>
        <v>183.749</v>
      </c>
      <c r="E7" s="11">
        <f ca="1"/>
        <v>170.42099999999999</v>
      </c>
      <c r="F7" s="11">
        <f ca="1"/>
        <v>155.63</v>
      </c>
      <c r="G7" s="11">
        <f ca="1"/>
        <v>135.9</v>
      </c>
      <c r="H7" s="11">
        <f ca="1"/>
        <v>122.2</v>
      </c>
      <c r="I7" s="11">
        <f ca="1"/>
        <v>123.7</v>
      </c>
      <c r="J7" s="11">
        <f ca="1"/>
        <v>117.084</v>
      </c>
      <c r="K7" s="11">
        <f ca="1"/>
        <v>111</v>
      </c>
      <c r="L7" s="11">
        <f ca="1"/>
        <v>110.065</v>
      </c>
      <c r="M7" s="11">
        <f ca="1"/>
        <v>112.232</v>
      </c>
      <c r="N7" s="11">
        <f ca="1"/>
        <v>114.982</v>
      </c>
      <c r="O7" s="3">
        <f ca="1"/>
        <v>111.7</v>
      </c>
      <c r="P7" s="1"/>
      <c r="Q7" s="24" t="str">
        <f ca="1"/>
        <v>ZIP US EQUITY</v>
      </c>
      <c r="R7" s="24">
        <f ca="1"/>
        <v>45838</v>
      </c>
      <c r="S7" s="25" t="str">
        <f ca="1"/>
        <v>canonical</v>
      </c>
      <c r="T7" s="26" t="str">
        <f ca="1"/>
        <v>gross_margin_gaap</v>
      </c>
      <c r="U7" s="30" t="str">
        <f ca="1"/>
        <v>89.3408</v>
      </c>
      <c r="V7" s="29" t="str">
        <f ca="1"/>
        <v>-19.2399999999992</v>
      </c>
      <c r="W7" s="29" t="str">
        <f ca="1"/>
        <v/>
      </c>
      <c r="X7" s="29" t="str">
        <f ca="1"/>
        <v/>
      </c>
      <c r="Y7" s="29" t="str">
        <f ca="1"/>
        <v>-6.99999999999932</v>
      </c>
    </row>
    <row r="8" spans="1:25" x14ac:dyDescent="0.45">
      <c r="C8" s="4" t="s">
        <v>4</v>
      </c>
      <c r="D8" s="5"/>
      <c r="E8" s="4"/>
      <c r="F8" s="4"/>
      <c r="G8" s="12"/>
      <c r="H8" s="12">
        <f t="shared" ref="H8:O8" ca="1" si="1">+H7/D7-1</f>
        <v>-0.33496236714213412</v>
      </c>
      <c r="I8" s="12">
        <f t="shared" ca="1" si="1"/>
        <v>-0.27415048614900739</v>
      </c>
      <c r="J8" s="12">
        <f t="shared" ca="1" si="1"/>
        <v>-0.2476771830623915</v>
      </c>
      <c r="K8" s="12">
        <f t="shared" ca="1" si="1"/>
        <v>-0.18322295805739519</v>
      </c>
      <c r="L8" s="12">
        <f t="shared" ca="1" si="1"/>
        <v>-9.9304418985270093E-2</v>
      </c>
      <c r="M8" s="12">
        <f t="shared" ca="1" si="1"/>
        <v>-9.2708164915117242E-2</v>
      </c>
      <c r="N8" s="12">
        <f t="shared" ca="1" si="1"/>
        <v>-1.7952922687984763E-2</v>
      </c>
      <c r="O8" s="12">
        <f t="shared" ca="1" si="1"/>
        <v>6.3063063063062419E-3</v>
      </c>
      <c r="P8" s="3"/>
      <c r="Q8" s="24" t="str">
        <f ca="1"/>
        <v>ZIP US EQUITY</v>
      </c>
      <c r="R8" s="24">
        <f ca="1"/>
        <v>45930</v>
      </c>
      <c r="S8" s="25" t="str">
        <f ca="1"/>
        <v>canonical</v>
      </c>
      <c r="T8" s="26" t="str">
        <f ca="1"/>
        <v>gross_margin_gaap</v>
      </c>
      <c r="U8" s="30" t="str">
        <f ca="1"/>
        <v>89.1157</v>
      </c>
      <c r="V8" s="29" t="str">
        <f ca="1"/>
        <v>-30.8999999999997</v>
      </c>
      <c r="W8" s="29" t="str">
        <f ca="1"/>
        <v/>
      </c>
      <c r="X8" s="29" t="str">
        <f ca="1"/>
        <v/>
      </c>
      <c r="Y8" s="29" t="str">
        <f ca="1"/>
        <v>-22.5099999999998</v>
      </c>
    </row>
    <row r="9" spans="1:25" x14ac:dyDescent="0.45">
      <c r="C9" s="4" t="s">
        <v>19</v>
      </c>
      <c r="D9" s="1"/>
      <c r="L9" s="7">
        <f ca="1">(L8-K8)*10000</f>
        <v>839.185390721251</v>
      </c>
      <c r="M9" s="7">
        <f ca="1">(M8-L8)*10000</f>
        <v>65.962540701528511</v>
      </c>
      <c r="N9" s="7">
        <f ca="1">(N8-M8)*10000</f>
        <v>747.55242227132476</v>
      </c>
      <c r="O9" s="7">
        <f ca="1">(O8-N8)*10000</f>
        <v>242.59228994291004</v>
      </c>
      <c r="Q9" s="22" t="str">
        <f ca="1"/>
        <v>ZIP US EQUITY</v>
      </c>
      <c r="R9" s="24">
        <f ca="1"/>
        <v>46022</v>
      </c>
      <c r="S9" s="25" t="str">
        <f ca="1"/>
        <v>canonical</v>
      </c>
      <c r="T9" s="26" t="str">
        <f ca="1"/>
        <v>gross_margin_gaap</v>
      </c>
      <c r="U9" s="30" t="str">
        <f ca="1"/>
        <v>89.1299</v>
      </c>
      <c r="V9" s="29" t="str">
        <f ca="1"/>
        <v>-50.7999999999996</v>
      </c>
      <c r="W9" s="29" t="str">
        <f ca="1"/>
        <v/>
      </c>
      <c r="X9" s="29" t="str">
        <f ca="1"/>
        <v/>
      </c>
      <c r="Y9" s="29" t="str">
        <f ca="1"/>
        <v>1.42000000000024</v>
      </c>
    </row>
    <row r="10" spans="1:25" x14ac:dyDescent="0.4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2356.5794815686404</v>
      </c>
      <c r="M10" s="7">
        <f ca="1">(M8-I8)*10000</f>
        <v>1814.4232123389015</v>
      </c>
      <c r="N10" s="7">
        <f ca="1">(N8-J8)*10000</f>
        <v>2297.2426037440673</v>
      </c>
      <c r="O10" s="7">
        <f ca="1">(O8-K8)*10000</f>
        <v>1895.2926436370144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ZIP US EQUITY</v>
      </c>
      <c r="R10" s="24">
        <f ca="1"/>
        <v>45747</v>
      </c>
      <c r="S10" s="25" t="str">
        <f ca="1"/>
        <v>canonical</v>
      </c>
      <c r="T10" s="26" t="str">
        <f ca="1"/>
        <v>operating_margin_gaap</v>
      </c>
      <c r="U10" s="30" t="str">
        <f ca="1"/>
        <v>-10.6019</v>
      </c>
      <c r="V10" s="29" t="str">
        <f ca="1"/>
        <v>-986.07</v>
      </c>
      <c r="W10" s="29" t="str">
        <f ca="1"/>
        <v/>
      </c>
      <c r="X10" s="29" t="str">
        <f ca="1"/>
        <v/>
      </c>
      <c r="Y10" s="29" t="str">
        <f ca="1"/>
        <v>-698.45</v>
      </c>
    </row>
    <row r="11" spans="1:25" x14ac:dyDescent="0.45">
      <c r="C11" s="4" t="s">
        <v>5</v>
      </c>
      <c r="D11" s="1"/>
      <c r="L11" s="12">
        <f ca="1">L7/K7-1</f>
        <v>-8.4234234234233929E-3</v>
      </c>
      <c r="M11" s="12">
        <f ca="1">M7/L7-1</f>
        <v>1.9688365965565779E-2</v>
      </c>
      <c r="N11" s="12">
        <f ca="1">N7/M7-1</f>
        <v>2.4502815596264771E-2</v>
      </c>
      <c r="O11" s="12">
        <f ca="1">O7/N7-1</f>
        <v>-2.8543598128402681E-2</v>
      </c>
      <c r="Q11" s="24" t="str">
        <f ca="1"/>
        <v>ZIP US EQUITY</v>
      </c>
      <c r="R11" s="24">
        <f ca="1"/>
        <v>45838</v>
      </c>
      <c r="S11" s="25" t="str">
        <f ca="1"/>
        <v>canonical</v>
      </c>
      <c r="T11" s="26" t="str">
        <f ca="1"/>
        <v>operating_margin_gaap</v>
      </c>
      <c r="U11" s="30" t="str">
        <f ca="1"/>
        <v>-5.9359</v>
      </c>
      <c r="V11" s="29" t="str">
        <f ca="1"/>
        <v>-1355.61</v>
      </c>
      <c r="W11" s="29" t="str">
        <f ca="1"/>
        <v/>
      </c>
      <c r="X11" s="29" t="str">
        <f ca="1"/>
        <v/>
      </c>
      <c r="Y11" s="29" t="str">
        <f ca="1"/>
        <v>466.6</v>
      </c>
    </row>
    <row r="12" spans="1:25" x14ac:dyDescent="0.45">
      <c r="Q12" s="24" t="str">
        <f ca="1"/>
        <v>ZIP US EQUITY</v>
      </c>
      <c r="R12" s="24">
        <f ca="1"/>
        <v>45930</v>
      </c>
      <c r="S12" s="25" t="str">
        <f ca="1"/>
        <v>canonical</v>
      </c>
      <c r="T12" s="26" t="str">
        <f ca="1"/>
        <v>operating_margin_gaap</v>
      </c>
      <c r="U12" s="30" t="str">
        <f ca="1"/>
        <v>-4.372</v>
      </c>
      <c r="V12" s="29" t="str">
        <f ca="1"/>
        <v>-160.56</v>
      </c>
      <c r="W12" s="29" t="str">
        <f ca="1"/>
        <v/>
      </c>
      <c r="X12" s="29" t="str">
        <f ca="1"/>
        <v/>
      </c>
      <c r="Y12" s="29" t="str">
        <f ca="1"/>
        <v>156.39</v>
      </c>
    </row>
    <row r="13" spans="1:25" x14ac:dyDescent="0.45">
      <c r="C13" s="13" t="s">
        <v>12</v>
      </c>
      <c r="D13" s="14">
        <f t="shared" ref="D13:O13" ca="1" si="2">EOMONTH(DATE(YEAR(D14),ROUNDUP(MONTH(D14)/3,0)*3,1),0)</f>
        <v>45016</v>
      </c>
      <c r="E13" s="14">
        <f t="shared" ca="1" si="2"/>
        <v>45107</v>
      </c>
      <c r="F13" s="14">
        <f t="shared" ca="1" si="2"/>
        <v>45199</v>
      </c>
      <c r="G13" s="14">
        <f t="shared" ca="1" si="2"/>
        <v>45291</v>
      </c>
      <c r="H13" s="14">
        <f t="shared" ca="1" si="2"/>
        <v>45382</v>
      </c>
      <c r="I13" s="14">
        <f t="shared" ca="1" si="2"/>
        <v>45473</v>
      </c>
      <c r="J13" s="14">
        <f t="shared" ca="1" si="2"/>
        <v>45565</v>
      </c>
      <c r="K13" s="14">
        <f t="shared" ca="1" si="2"/>
        <v>45657</v>
      </c>
      <c r="L13" s="14">
        <f t="shared" ca="1" si="2"/>
        <v>45747</v>
      </c>
      <c r="M13" s="14">
        <f t="shared" ca="1" si="2"/>
        <v>45838</v>
      </c>
      <c r="N13" s="14">
        <f t="shared" ca="1" si="2"/>
        <v>45930</v>
      </c>
      <c r="O13" s="14">
        <f t="shared" ca="1" si="2"/>
        <v>46022</v>
      </c>
      <c r="Q13" s="24" t="str">
        <f ca="1"/>
        <v>ZIP US EQUITY</v>
      </c>
      <c r="R13" s="24">
        <f ca="1"/>
        <v>46022</v>
      </c>
      <c r="S13" s="25" t="str">
        <f ca="1"/>
        <v>canonical</v>
      </c>
      <c r="T13" s="26" t="str">
        <f ca="1"/>
        <v>operating_margin_gaap</v>
      </c>
      <c r="U13" s="30" t="str">
        <f ca="1"/>
        <v>3.5819</v>
      </c>
      <c r="V13" s="29" t="str">
        <f ca="1"/>
        <v>719.93</v>
      </c>
      <c r="W13" s="29" t="str">
        <f ca="1"/>
        <v/>
      </c>
      <c r="X13" s="29" t="str">
        <f ca="1"/>
        <v/>
      </c>
      <c r="Y13" s="29" t="str">
        <f ca="1"/>
        <v>795.39</v>
      </c>
    </row>
    <row r="14" spans="1:25" x14ac:dyDescent="0.45">
      <c r="D14" s="1" cm="1">
        <f t="array" aca="1" ref="D14:O15" ca="1">+_xll.BDH($B$2,C15,$B$3,$B$4,"DIR=H")</f>
        <v>45016</v>
      </c>
      <c r="E14" s="1">
        <f ca="1"/>
        <v>45107</v>
      </c>
      <c r="F14" s="1">
        <f ca="1"/>
        <v>45199</v>
      </c>
      <c r="G14" s="1">
        <f ca="1"/>
        <v>45291</v>
      </c>
      <c r="H14" s="1">
        <f ca="1"/>
        <v>45382</v>
      </c>
      <c r="I14" s="1">
        <f ca="1"/>
        <v>45473</v>
      </c>
      <c r="J14" s="1">
        <f ca="1"/>
        <v>45565</v>
      </c>
      <c r="K14" s="1">
        <f ca="1"/>
        <v>45657</v>
      </c>
      <c r="L14" s="1">
        <f ca="1"/>
        <v>45747</v>
      </c>
      <c r="M14" s="1">
        <f ca="1"/>
        <v>45838</v>
      </c>
      <c r="N14" s="1">
        <f ca="1"/>
        <v>45930</v>
      </c>
      <c r="O14" s="1">
        <f ca="1"/>
        <v>46022</v>
      </c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ZIP US EQUITY</v>
      </c>
      <c r="R14" s="24">
        <v>0</v>
      </c>
      <c r="S14" s="25">
        <v>0</v>
      </c>
      <c r="T14" s="26">
        <v>0</v>
      </c>
      <c r="U14" s="30" t="str">
        <v/>
      </c>
      <c r="V14" s="29" t="str">
        <v/>
      </c>
      <c r="W14" s="29" t="str">
        <v/>
      </c>
      <c r="X14" s="29" t="str">
        <v/>
      </c>
      <c r="Y14" s="29" t="str">
        <v/>
      </c>
    </row>
    <row r="15" spans="1:25" x14ac:dyDescent="0.45">
      <c r="A15" s="16" t="s">
        <v>9</v>
      </c>
      <c r="B15" s="16" t="s">
        <v>14</v>
      </c>
      <c r="C15" s="9" t="s">
        <v>6</v>
      </c>
      <c r="D15" s="3">
        <f ca="1"/>
        <v>88.777100000000004</v>
      </c>
      <c r="E15" s="3">
        <f ca="1"/>
        <v>90.801599999999993</v>
      </c>
      <c r="F15" s="3">
        <f ca="1"/>
        <v>90.661799999999999</v>
      </c>
      <c r="G15" s="3">
        <f ca="1"/>
        <v>90.084000000000003</v>
      </c>
      <c r="H15" s="3">
        <f ca="1"/>
        <v>89.102500000000006</v>
      </c>
      <c r="I15" s="3">
        <f ca="1"/>
        <v>89.533199999999994</v>
      </c>
      <c r="J15" s="3">
        <f ca="1"/>
        <v>89.424700000000001</v>
      </c>
      <c r="K15" s="3">
        <f ca="1"/>
        <v>89.637900000000002</v>
      </c>
      <c r="L15" s="3">
        <f ca="1"/>
        <v>89.410799999999995</v>
      </c>
      <c r="M15" s="3">
        <f ca="1"/>
        <v>89.340800000000002</v>
      </c>
      <c r="N15" s="3">
        <f ca="1"/>
        <v>89.115700000000004</v>
      </c>
      <c r="O15">
        <f ca="1"/>
        <v>89.129900000000006</v>
      </c>
      <c r="Q15" s="24" t="str">
        <v>ZIP US EQUITY</v>
      </c>
      <c r="R15" s="24">
        <v>0</v>
      </c>
      <c r="S15" s="25">
        <v>0</v>
      </c>
      <c r="T15" s="26">
        <v>0</v>
      </c>
      <c r="U15" s="30" t="str">
        <v/>
      </c>
      <c r="V15" s="29" t="str">
        <v/>
      </c>
      <c r="W15" s="29" t="str">
        <v/>
      </c>
      <c r="X15" s="29" t="str">
        <v/>
      </c>
      <c r="Y15" s="29" t="str">
        <v/>
      </c>
    </row>
    <row r="16" spans="1:25" x14ac:dyDescent="0.45">
      <c r="C16" s="4" t="s">
        <v>4</v>
      </c>
      <c r="D16" s="5"/>
      <c r="E16" s="4"/>
      <c r="F16" s="4"/>
      <c r="G16" s="4"/>
      <c r="H16" s="7">
        <f t="shared" ref="H16:O16" ca="1" si="3">(H15-D15)*100</f>
        <v>32.540000000000191</v>
      </c>
      <c r="I16" s="7">
        <f t="shared" ca="1" si="3"/>
        <v>-126.83999999999997</v>
      </c>
      <c r="J16" s="7">
        <f t="shared" ca="1" si="3"/>
        <v>-123.70999999999981</v>
      </c>
      <c r="K16" s="7">
        <f t="shared" ca="1" si="3"/>
        <v>-44.610000000000127</v>
      </c>
      <c r="L16" s="7">
        <f t="shared" ca="1" si="3"/>
        <v>30.829999999998847</v>
      </c>
      <c r="M16" s="7">
        <f t="shared" ca="1" si="3"/>
        <v>-19.239999999999213</v>
      </c>
      <c r="N16" s="7">
        <f t="shared" ca="1" si="3"/>
        <v>-30.89999999999975</v>
      </c>
      <c r="O16" s="7">
        <f t="shared" ca="1" si="3"/>
        <v>-50.799999999999557</v>
      </c>
      <c r="Q16" s="24" t="str">
        <v>ZIP US EQUITY</v>
      </c>
      <c r="R16" s="24">
        <v>0</v>
      </c>
      <c r="S16" s="25">
        <v>0</v>
      </c>
      <c r="T16" s="26">
        <v>0</v>
      </c>
      <c r="U16" s="30" t="str">
        <v/>
      </c>
      <c r="V16" s="29" t="str">
        <v/>
      </c>
      <c r="W16" s="29" t="str">
        <v/>
      </c>
      <c r="X16" s="29" t="str">
        <v/>
      </c>
      <c r="Y16" s="29" t="str">
        <v/>
      </c>
    </row>
    <row r="17" spans="1:25" x14ac:dyDescent="0.45">
      <c r="C17" s="4" t="s">
        <v>19</v>
      </c>
      <c r="D17" s="1"/>
      <c r="K17" s="7"/>
      <c r="L17" s="7"/>
      <c r="M17" s="7"/>
      <c r="N17" s="7"/>
      <c r="O17" s="7"/>
      <c r="Q17" s="24" t="str">
        <v>ZIP US EQUITY</v>
      </c>
      <c r="R17" s="24">
        <v>0</v>
      </c>
      <c r="S17" s="25">
        <v>0</v>
      </c>
      <c r="T17" s="26">
        <v>0</v>
      </c>
      <c r="U17" s="30" t="str">
        <v/>
      </c>
      <c r="V17" s="29" t="str">
        <v/>
      </c>
      <c r="W17" s="29" t="str">
        <v/>
      </c>
      <c r="X17" s="29" t="str">
        <v/>
      </c>
      <c r="Y17" s="29" t="str">
        <v/>
      </c>
    </row>
    <row r="18" spans="1:25" x14ac:dyDescent="0.4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ZIP US EQUITY</v>
      </c>
      <c r="R18" s="24">
        <v>0</v>
      </c>
      <c r="S18" s="25">
        <v>0</v>
      </c>
      <c r="T18" s="26">
        <v>0</v>
      </c>
      <c r="U18" s="30" t="str">
        <v/>
      </c>
      <c r="V18" s="29" t="str">
        <v/>
      </c>
      <c r="W18" s="29" t="str">
        <v/>
      </c>
      <c r="X18" s="29" t="str">
        <v/>
      </c>
      <c r="Y18" s="29" t="str">
        <v/>
      </c>
    </row>
    <row r="19" spans="1:25" x14ac:dyDescent="0.45">
      <c r="C19" s="4" t="s">
        <v>5</v>
      </c>
      <c r="D19" s="1"/>
      <c r="K19" s="7"/>
      <c r="L19" s="7">
        <f ca="1">(L15-K15)*100</f>
        <v>-22.710000000000719</v>
      </c>
      <c r="M19" s="7">
        <f ca="1">(M15-L15)*100</f>
        <v>-6.9999999999993179</v>
      </c>
      <c r="N19" s="7">
        <f ca="1">(N15-M15)*100</f>
        <v>-22.509999999999764</v>
      </c>
      <c r="O19" s="7">
        <f ca="1">(O15-N15)*100</f>
        <v>1.4200000000002433</v>
      </c>
      <c r="Q19" s="24" t="str">
        <v>ZIP US EQUITY</v>
      </c>
      <c r="R19" s="24">
        <v>0</v>
      </c>
      <c r="S19" s="25">
        <v>0</v>
      </c>
      <c r="T19" s="26">
        <v>0</v>
      </c>
      <c r="U19" s="30" t="str">
        <v/>
      </c>
      <c r="V19" s="29" t="str">
        <v/>
      </c>
      <c r="W19" s="29" t="str">
        <v/>
      </c>
      <c r="X19" s="29" t="str">
        <v/>
      </c>
      <c r="Y19" s="29" t="str">
        <v/>
      </c>
    </row>
    <row r="20" spans="1:25" x14ac:dyDescent="0.45">
      <c r="Q20" s="24" t="str">
        <v>ZIP US EQUITY</v>
      </c>
      <c r="R20" s="24">
        <v>0</v>
      </c>
      <c r="S20" s="25">
        <v>0</v>
      </c>
      <c r="T20" s="26">
        <v>0</v>
      </c>
      <c r="U20" s="30" t="str">
        <v/>
      </c>
      <c r="V20" s="29" t="str">
        <v/>
      </c>
      <c r="W20" s="29" t="str">
        <v/>
      </c>
      <c r="X20" s="29" t="str">
        <v/>
      </c>
      <c r="Y20" s="29" t="str">
        <v/>
      </c>
    </row>
    <row r="21" spans="1:25" x14ac:dyDescent="0.45">
      <c r="C21" s="13" t="s">
        <v>12</v>
      </c>
      <c r="D21" s="14">
        <f t="shared" ref="D21:O21" ca="1" si="4">EOMONTH(DATE(YEAR(D22),ROUNDUP(MONTH(D22)/3,0)*3,1),0)</f>
        <v>45016</v>
      </c>
      <c r="E21" s="14">
        <f t="shared" ca="1" si="4"/>
        <v>45107</v>
      </c>
      <c r="F21" s="14">
        <f t="shared" ca="1" si="4"/>
        <v>45199</v>
      </c>
      <c r="G21" s="14">
        <f t="shared" ca="1" si="4"/>
        <v>45291</v>
      </c>
      <c r="H21" s="14">
        <f t="shared" ca="1" si="4"/>
        <v>45382</v>
      </c>
      <c r="I21" s="14">
        <f t="shared" ca="1" si="4"/>
        <v>45473</v>
      </c>
      <c r="J21" s="14">
        <f t="shared" ca="1" si="4"/>
        <v>45565</v>
      </c>
      <c r="K21" s="14">
        <f t="shared" ca="1" si="4"/>
        <v>45657</v>
      </c>
      <c r="L21" s="14">
        <f t="shared" ca="1" si="4"/>
        <v>45747</v>
      </c>
      <c r="M21" s="14">
        <f t="shared" ca="1" si="4"/>
        <v>45838</v>
      </c>
      <c r="N21" s="14">
        <f t="shared" ca="1" si="4"/>
        <v>45930</v>
      </c>
      <c r="O21" s="14">
        <f t="shared" ca="1" si="4"/>
        <v>46022</v>
      </c>
      <c r="Q21" s="24" t="str">
        <v>ZIP US EQUITY</v>
      </c>
      <c r="R21" s="24">
        <v>0</v>
      </c>
      <c r="S21" s="25">
        <v>0</v>
      </c>
      <c r="T21" s="26">
        <v>0</v>
      </c>
      <c r="U21" s="30" t="str">
        <v/>
      </c>
      <c r="V21" s="29" t="str">
        <v/>
      </c>
      <c r="W21" s="29" t="str">
        <v/>
      </c>
      <c r="X21" s="29" t="str">
        <v/>
      </c>
      <c r="Y21" s="29" t="str">
        <v/>
      </c>
    </row>
    <row r="22" spans="1:25" x14ac:dyDescent="0.45">
      <c r="D22" s="1" cm="1">
        <f t="array" aca="1" ref="D22:O23" ca="1">+_xll.BDH($B$2,C23,$B$3,$B$4,"DIR=H")</f>
        <v>45016</v>
      </c>
      <c r="E22" s="1">
        <f ca="1"/>
        <v>45107</v>
      </c>
      <c r="F22" s="1">
        <f ca="1"/>
        <v>45199</v>
      </c>
      <c r="G22" s="1">
        <f ca="1"/>
        <v>45291</v>
      </c>
      <c r="H22" s="1">
        <f ca="1"/>
        <v>45382</v>
      </c>
      <c r="I22" s="1">
        <f ca="1"/>
        <v>45473</v>
      </c>
      <c r="J22" s="1">
        <f ca="1"/>
        <v>45565</v>
      </c>
      <c r="K22" s="1">
        <f ca="1"/>
        <v>45657</v>
      </c>
      <c r="L22" s="1">
        <f ca="1"/>
        <v>45747</v>
      </c>
      <c r="M22" s="1">
        <f ca="1"/>
        <v>45838</v>
      </c>
      <c r="N22" s="1">
        <f ca="1"/>
        <v>45930</v>
      </c>
      <c r="O22" s="1">
        <f ca="1"/>
        <v>46022</v>
      </c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ZIP US EQUITY</v>
      </c>
      <c r="R22" s="24">
        <v>0</v>
      </c>
      <c r="S22" s="25">
        <v>0</v>
      </c>
      <c r="T22" s="26">
        <v>0</v>
      </c>
      <c r="U22" s="27" t="str">
        <v/>
      </c>
      <c r="V22" s="28" t="str">
        <v/>
      </c>
      <c r="W22" s="29" t="str">
        <v/>
      </c>
      <c r="X22" s="28" t="str">
        <v/>
      </c>
      <c r="Y22" s="29" t="str">
        <v/>
      </c>
    </row>
    <row r="23" spans="1:25" x14ac:dyDescent="0.45">
      <c r="A23" s="16" t="s">
        <v>9</v>
      </c>
      <c r="B23" s="16" t="s">
        <v>15</v>
      </c>
      <c r="C23" s="9" t="s">
        <v>7</v>
      </c>
      <c r="D23" s="3">
        <f ca="1"/>
        <v>5.9646999999999997</v>
      </c>
      <c r="E23" s="3">
        <f ca="1"/>
        <v>13.216699999999999</v>
      </c>
      <c r="F23" s="3">
        <f ca="1"/>
        <v>20.9895</v>
      </c>
      <c r="G23" s="3">
        <f ca="1"/>
        <v>9.7754999999999992</v>
      </c>
      <c r="H23" s="3">
        <f ca="1"/>
        <v>-0.74119999999999997</v>
      </c>
      <c r="I23" s="3">
        <f ca="1"/>
        <v>7.6201999999999996</v>
      </c>
      <c r="J23" s="3">
        <f ca="1"/>
        <v>-2.7664</v>
      </c>
      <c r="K23" s="3">
        <f ca="1"/>
        <v>-3.6173999999999999</v>
      </c>
      <c r="L23" s="3">
        <f ca="1"/>
        <v>-10.601900000000001</v>
      </c>
      <c r="M23" s="3">
        <f ca="1"/>
        <v>-5.9359000000000002</v>
      </c>
      <c r="N23" s="3">
        <f ca="1"/>
        <v>-4.3719999999999999</v>
      </c>
      <c r="O23">
        <f ca="1"/>
        <v>3.5819000000000001</v>
      </c>
      <c r="Q23" s="24" t="str">
        <v>ZIP US EQUITY</v>
      </c>
      <c r="R23" s="24">
        <v>0</v>
      </c>
      <c r="S23" s="25">
        <v>0</v>
      </c>
      <c r="T23" s="26">
        <v>0</v>
      </c>
      <c r="U23" s="27" t="str">
        <v/>
      </c>
      <c r="V23" s="28" t="str">
        <v/>
      </c>
      <c r="W23" s="29" t="str">
        <v/>
      </c>
      <c r="X23" s="28" t="str">
        <v/>
      </c>
      <c r="Y23" s="29" t="str">
        <v/>
      </c>
    </row>
    <row r="24" spans="1:25" x14ac:dyDescent="0.45">
      <c r="C24" s="4" t="s">
        <v>4</v>
      </c>
      <c r="D24" s="5"/>
      <c r="E24" s="4"/>
      <c r="F24" s="4"/>
      <c r="G24" s="4"/>
      <c r="H24" s="7">
        <f t="shared" ref="H24:O24" ca="1" si="5">(H23-D23)*100</f>
        <v>-670.58999999999992</v>
      </c>
      <c r="I24" s="7">
        <f t="shared" ca="1" si="5"/>
        <v>-559.65</v>
      </c>
      <c r="J24" s="7">
        <f t="shared" ca="1" si="5"/>
        <v>-2375.59</v>
      </c>
      <c r="K24" s="7">
        <f t="shared" ca="1" si="5"/>
        <v>-1339.29</v>
      </c>
      <c r="L24" s="7">
        <f t="shared" ca="1" si="5"/>
        <v>-986.07000000000016</v>
      </c>
      <c r="M24" s="7">
        <f t="shared" ca="1" si="5"/>
        <v>-1355.6100000000001</v>
      </c>
      <c r="N24" s="7">
        <f t="shared" ca="1" si="5"/>
        <v>-160.56</v>
      </c>
      <c r="O24" s="7">
        <f t="shared" ca="1" si="5"/>
        <v>719.93</v>
      </c>
      <c r="Q24" s="24" t="str">
        <v>ZIP US EQUITY</v>
      </c>
      <c r="R24" s="24">
        <v>0</v>
      </c>
      <c r="S24" s="25">
        <v>0</v>
      </c>
      <c r="T24" s="26">
        <v>0</v>
      </c>
      <c r="U24" s="27" t="str">
        <v/>
      </c>
      <c r="V24" s="28" t="str">
        <v/>
      </c>
      <c r="W24" s="29" t="str">
        <v/>
      </c>
      <c r="X24" s="28" t="str">
        <v/>
      </c>
      <c r="Y24" s="29" t="str">
        <v/>
      </c>
    </row>
    <row r="25" spans="1:25" x14ac:dyDescent="0.45">
      <c r="C25" s="4" t="s">
        <v>19</v>
      </c>
      <c r="D25" s="1"/>
      <c r="K25" s="7"/>
      <c r="L25" s="7"/>
      <c r="M25" s="7"/>
      <c r="N25" s="7"/>
      <c r="O25" s="7"/>
      <c r="Q25" s="24" t="str">
        <v>ZIP US EQUITY</v>
      </c>
      <c r="R25" s="24">
        <v>0</v>
      </c>
      <c r="S25" s="25">
        <v>0</v>
      </c>
      <c r="T25" s="26">
        <v>0</v>
      </c>
      <c r="U25" s="27" t="str">
        <v/>
      </c>
      <c r="V25" s="28" t="str">
        <v/>
      </c>
      <c r="W25" s="29" t="str">
        <v/>
      </c>
      <c r="X25" s="28" t="str">
        <v/>
      </c>
      <c r="Y25" s="29" t="str">
        <v/>
      </c>
    </row>
    <row r="26" spans="1:25" x14ac:dyDescent="0.4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ZIP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45">
      <c r="C27" s="4" t="s">
        <v>5</v>
      </c>
      <c r="D27" s="1"/>
      <c r="K27" s="7"/>
      <c r="L27" s="7">
        <f ca="1">(L23-K23)*100</f>
        <v>-698.45</v>
      </c>
      <c r="M27" s="7">
        <f ca="1">(M23-L23)*100</f>
        <v>466.6</v>
      </c>
      <c r="N27" s="7">
        <f ca="1">(N23-M23)*100</f>
        <v>156.39000000000004</v>
      </c>
      <c r="O27" s="7">
        <f ca="1">(O23-N23)*100</f>
        <v>795.39</v>
      </c>
      <c r="Q27" s="24" t="str">
        <v>ZIP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45">
      <c r="C28" s="4"/>
      <c r="D28" s="1"/>
      <c r="K28" s="7"/>
      <c r="L28" s="7"/>
      <c r="M28" s="7"/>
      <c r="N28" s="7"/>
      <c r="O28" s="7"/>
      <c r="Q28" s="24" t="str">
        <v>ZIP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45">
      <c r="C29" s="13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Q29" s="24" t="str">
        <v>ZIP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45"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ZIP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45">
      <c r="A31" s="16"/>
      <c r="B31" s="16"/>
      <c r="C31" s="2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Q31" s="24" t="str">
        <v>ZIP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45">
      <c r="C32" s="4"/>
      <c r="D32" s="5"/>
      <c r="E32" s="4"/>
      <c r="F32" s="4"/>
      <c r="G32" s="12"/>
      <c r="H32" s="12"/>
      <c r="I32" s="12"/>
      <c r="J32" s="12"/>
      <c r="K32" s="12"/>
      <c r="L32" s="12"/>
      <c r="M32" s="12"/>
      <c r="N32" s="12"/>
      <c r="O32" s="12"/>
      <c r="Q32" s="24" t="str">
        <v>ZIP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45">
      <c r="C33" s="4"/>
      <c r="D33" s="1"/>
      <c r="L33" s="7"/>
      <c r="M33" s="7"/>
      <c r="N33" s="7"/>
      <c r="O33" s="7"/>
      <c r="Q33" s="24" t="str">
        <v>ZIP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45">
      <c r="C34" s="4"/>
      <c r="D34" s="1"/>
      <c r="E34" s="6"/>
      <c r="F34" s="6"/>
      <c r="G34" s="6"/>
      <c r="H34" s="6"/>
      <c r="I34" s="6"/>
      <c r="J34" s="6"/>
      <c r="K34" s="6"/>
      <c r="L34" s="7"/>
      <c r="M34" s="7"/>
      <c r="N34" s="7"/>
      <c r="O34" s="7"/>
    </row>
    <row r="35" spans="1:25" x14ac:dyDescent="0.45">
      <c r="C35" s="4"/>
      <c r="D35" s="1"/>
      <c r="L35" s="12"/>
      <c r="M35" s="12"/>
      <c r="N35" s="12"/>
      <c r="O35" s="12"/>
    </row>
    <row r="36" spans="1:25" x14ac:dyDescent="0.45">
      <c r="C36" s="4"/>
      <c r="D36" s="1"/>
      <c r="L36" s="7"/>
      <c r="M36" s="7"/>
      <c r="N36" s="7"/>
      <c r="O36" s="7"/>
    </row>
    <row r="37" spans="1:25" x14ac:dyDescent="0.45">
      <c r="C37" s="13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25" x14ac:dyDescent="0.45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25" x14ac:dyDescent="0.45">
      <c r="A39" s="16"/>
      <c r="B39" s="16"/>
      <c r="C39" s="2"/>
      <c r="D39" s="32"/>
      <c r="E39" s="34"/>
      <c r="F39" s="34"/>
      <c r="G39" s="34"/>
      <c r="H39" s="34"/>
      <c r="I39" s="34"/>
      <c r="J39" s="39"/>
      <c r="K39" s="34"/>
      <c r="L39" s="39"/>
      <c r="M39" s="39"/>
      <c r="N39" s="39"/>
      <c r="O39" s="32"/>
    </row>
    <row r="40" spans="1:25" x14ac:dyDescent="0.45">
      <c r="C40" s="4"/>
      <c r="D40" s="5"/>
      <c r="E40" s="4"/>
      <c r="F40" s="4"/>
      <c r="G40" s="12"/>
      <c r="H40" s="12"/>
      <c r="I40" s="12"/>
      <c r="J40" s="12"/>
      <c r="K40" s="12"/>
      <c r="L40" s="12"/>
      <c r="M40" s="12"/>
      <c r="N40" s="12"/>
      <c r="O40" s="12"/>
    </row>
    <row r="41" spans="1:25" x14ac:dyDescent="0.45">
      <c r="C41" s="4"/>
      <c r="D41" s="1"/>
      <c r="L41" s="7"/>
      <c r="M41" s="7"/>
      <c r="N41" s="7"/>
      <c r="O41" s="7"/>
    </row>
    <row r="42" spans="1:25" x14ac:dyDescent="0.45">
      <c r="C42" s="4"/>
      <c r="D42" s="1"/>
      <c r="E42" s="6"/>
      <c r="F42" s="6"/>
      <c r="G42" s="6"/>
      <c r="H42" s="6"/>
      <c r="I42" s="6"/>
      <c r="J42" s="6"/>
      <c r="K42" s="6"/>
      <c r="L42" s="7"/>
      <c r="M42" s="7"/>
      <c r="N42" s="7"/>
      <c r="O42" s="7"/>
    </row>
    <row r="43" spans="1:25" x14ac:dyDescent="0.45">
      <c r="C43" s="4"/>
      <c r="D43" s="1"/>
      <c r="L43" s="12"/>
      <c r="M43" s="12"/>
      <c r="N43" s="12"/>
      <c r="O43" s="12"/>
    </row>
    <row r="44" spans="1:25" x14ac:dyDescent="0.45">
      <c r="C44" s="4"/>
      <c r="D44" s="1"/>
      <c r="G44" s="1"/>
    </row>
    <row r="45" spans="1:25" x14ac:dyDescent="0.45"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spans="1:25" x14ac:dyDescent="0.45"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25" x14ac:dyDescent="0.45">
      <c r="A47" s="16"/>
      <c r="B47" s="16"/>
      <c r="C47" s="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</row>
    <row r="48" spans="1:25" x14ac:dyDescent="0.45">
      <c r="C48" s="4"/>
      <c r="D48" s="5"/>
      <c r="E48" s="4"/>
      <c r="F48" s="4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45">
      <c r="C49" s="4"/>
      <c r="D49" s="1"/>
      <c r="L49" s="7"/>
      <c r="M49" s="7"/>
      <c r="N49" s="7"/>
      <c r="O49" s="7"/>
    </row>
    <row r="50" spans="1:15" x14ac:dyDescent="0.45">
      <c r="C50" s="4"/>
      <c r="D50" s="1"/>
      <c r="E50" s="6"/>
      <c r="F50" s="6"/>
      <c r="G50" s="6"/>
      <c r="H50" s="6"/>
      <c r="I50" s="6"/>
      <c r="J50" s="6"/>
      <c r="K50" s="6"/>
      <c r="L50" s="7"/>
      <c r="M50" s="7"/>
      <c r="N50" s="7"/>
      <c r="O50" s="7"/>
    </row>
    <row r="51" spans="1:15" x14ac:dyDescent="0.45">
      <c r="C51" s="4"/>
      <c r="D51" s="1"/>
      <c r="L51" s="12"/>
      <c r="M51" s="12"/>
      <c r="N51" s="12"/>
      <c r="O51" s="12"/>
    </row>
    <row r="52" spans="1:15" x14ac:dyDescent="0.45">
      <c r="C52" s="4"/>
      <c r="D52" s="1"/>
      <c r="G52" s="1"/>
    </row>
    <row r="53" spans="1:15" x14ac:dyDescent="0.4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4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4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4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45">
      <c r="C57" s="4"/>
      <c r="D57" s="1"/>
      <c r="K57" s="7"/>
      <c r="L57" s="7"/>
      <c r="M57" s="7"/>
      <c r="N57" s="7"/>
      <c r="O57" s="7"/>
    </row>
    <row r="58" spans="1:15" x14ac:dyDescent="0.4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45">
      <c r="C59" s="4"/>
      <c r="D59" s="1"/>
      <c r="K59" s="7"/>
      <c r="L59" s="7"/>
      <c r="M59" s="7"/>
      <c r="N59" s="7"/>
      <c r="O59" s="7"/>
    </row>
    <row r="64" spans="1:15" x14ac:dyDescent="0.4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45">
      <c r="C65" s="4"/>
      <c r="D65" s="1"/>
      <c r="K65" s="7"/>
      <c r="L65" s="7"/>
      <c r="M65" s="7"/>
      <c r="N65" s="7"/>
      <c r="O65" s="7"/>
    </row>
    <row r="66" spans="3:15" x14ac:dyDescent="0.4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4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AMPL</vt:lpstr>
      <vt:lpstr>AVPT</vt:lpstr>
      <vt:lpstr>BILL</vt:lpstr>
      <vt:lpstr>DOCU</vt:lpstr>
      <vt:lpstr>FIVN</vt:lpstr>
      <vt:lpstr>FRSH</vt:lpstr>
      <vt:lpstr>GDDY</vt:lpstr>
      <vt:lpstr>INTA</vt:lpstr>
      <vt:lpstr>INTU</vt:lpstr>
      <vt:lpstr>LAW</vt:lpstr>
      <vt:lpstr>OTEX</vt:lpstr>
      <vt:lpstr>PAY</vt:lpstr>
      <vt:lpstr>QLYS</vt:lpstr>
      <vt:lpstr>RPD</vt:lpstr>
      <vt:lpstr>SPSC</vt:lpstr>
      <vt:lpstr>TENB</vt:lpstr>
      <vt:lpstr>TYL</vt:lpstr>
      <vt:lpstr>VRNS</vt:lpstr>
      <vt:lpstr>WIX</vt:lpstr>
      <vt:lpstr>WK</vt:lpstr>
      <vt:lpstr>ZIP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Yuuji Anderson</dc:creator>
  <cp:lastModifiedBy>Yuuji Anderson</cp:lastModifiedBy>
  <dcterms:created xsi:type="dcterms:W3CDTF">2026-02-26T16:05:26Z</dcterms:created>
  <dcterms:modified xsi:type="dcterms:W3CDTF">2026-03-15T16:00:54Z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