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AGENTICS\RPD\source\"/>
    </mc:Choice>
  </mc:AlternateContent>
  <xr:revisionPtr revIDLastSave="0" documentId="8_{DA0E3FF8-36E6-4D8B-A4B7-85553F46A93F}" xr6:coauthVersionLast="47" xr6:coauthVersionMax="47" xr10:uidLastSave="{00000000-0000-0000-0000-000000000000}"/>
  <bookViews>
    <workbookView xWindow="21600" yWindow="-16200" windowWidth="19410" windowHeight="15585" firstSheet="1" activeTab="7" xr2:uid="{00000000-000D-0000-FFFF-FFFF00000000}"/>
  </bookViews>
  <sheets>
    <sheet name="__FDSCACHE__" sheetId="22" state="veryHidden" r:id="rId1"/>
    <sheet name="BM Upload" sheetId="6" r:id="rId2"/>
    <sheet name="Variance" sheetId="17" r:id="rId3"/>
    <sheet name="BS" sheetId="19" r:id="rId4"/>
    <sheet name="CF" sheetId="21" r:id="rId5"/>
    <sheet name="IS" sheetId="24" r:id="rId6"/>
    <sheet name="Billings &amp; Recs" sheetId="20" r:id="rId7"/>
    <sheet name="Metrics" sheetId="27" r:id="rId8"/>
    <sheet name="Geos" sheetId="14" r:id="rId9"/>
    <sheet name="Preview" sheetId="30" r:id="rId10"/>
    <sheet name="ARPU" sheetId="28" state="hidden" r:id="rId11"/>
    <sheet name="OLD Data" sheetId="23" state="hidden" r:id="rId12"/>
    <sheet name="S-1 Exhibits" sheetId="25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__eps95" localSheetId="1">#REF!</definedName>
    <definedName name="___eps95" localSheetId="3">#REF!</definedName>
    <definedName name="___eps95" localSheetId="4">#REF!</definedName>
    <definedName name="___eps95" localSheetId="5">#REF!</definedName>
    <definedName name="___eps95" localSheetId="7">#REF!</definedName>
    <definedName name="___eps95" localSheetId="11">#REF!</definedName>
    <definedName name="___eps95" localSheetId="2">#REF!</definedName>
    <definedName name="___eps95">#REF!</definedName>
    <definedName name="___eps96" localSheetId="1">#REF!</definedName>
    <definedName name="___eps96" localSheetId="3">#REF!</definedName>
    <definedName name="___eps96" localSheetId="4">#REF!</definedName>
    <definedName name="___eps96" localSheetId="5">#REF!</definedName>
    <definedName name="___eps96" localSheetId="7">#REF!</definedName>
    <definedName name="___eps96" localSheetId="11">#REF!</definedName>
    <definedName name="___eps96" localSheetId="2">#REF!</definedName>
    <definedName name="___eps96">#REF!</definedName>
    <definedName name="___eps97" localSheetId="1">#REF!</definedName>
    <definedName name="___eps97" localSheetId="3">#REF!</definedName>
    <definedName name="___eps97" localSheetId="4">#REF!</definedName>
    <definedName name="___eps97" localSheetId="5">#REF!</definedName>
    <definedName name="___eps97" localSheetId="7">#REF!</definedName>
    <definedName name="___eps97" localSheetId="11">#REF!</definedName>
    <definedName name="___eps97" localSheetId="2">#REF!</definedName>
    <definedName name="___eps97">#REF!</definedName>
    <definedName name="___eps98" localSheetId="4">#REF!</definedName>
    <definedName name="___eps98" localSheetId="5">#REF!</definedName>
    <definedName name="___eps98" localSheetId="7">#REF!</definedName>
    <definedName name="___eps98" localSheetId="11">#REF!</definedName>
    <definedName name="___eps98">#REF!</definedName>
    <definedName name="___fcc97" localSheetId="4">#REF!</definedName>
    <definedName name="___fcc97" localSheetId="5">#REF!</definedName>
    <definedName name="___fcc97" localSheetId="7">#REF!</definedName>
    <definedName name="___fcc97" localSheetId="11">#REF!</definedName>
    <definedName name="___fcc97">#REF!</definedName>
    <definedName name="___grm98" localSheetId="4">#REF!</definedName>
    <definedName name="___grm98" localSheetId="5">#REF!</definedName>
    <definedName name="___grm98" localSheetId="7">#REF!</definedName>
    <definedName name="___grm98" localSheetId="11">#REF!</definedName>
    <definedName name="___grm98">#REF!</definedName>
    <definedName name="___grm99" localSheetId="4">#REF!</definedName>
    <definedName name="___grm99" localSheetId="5">#REF!</definedName>
    <definedName name="___grm99" localSheetId="7">#REF!</definedName>
    <definedName name="___grm99" localSheetId="11">#REF!</definedName>
    <definedName name="___grm99">#REF!</definedName>
    <definedName name="___net96" localSheetId="4">#REF!</definedName>
    <definedName name="___net96" localSheetId="5">#REF!</definedName>
    <definedName name="___net96" localSheetId="7">#REF!</definedName>
    <definedName name="___net96" localSheetId="11">#REF!</definedName>
    <definedName name="___net96">#REF!</definedName>
    <definedName name="___net97" localSheetId="4">#REF!</definedName>
    <definedName name="___net97" localSheetId="5">#REF!</definedName>
    <definedName name="___net97" localSheetId="7">#REF!</definedName>
    <definedName name="___net97" localSheetId="11">#REF!</definedName>
    <definedName name="___net97">#REF!</definedName>
    <definedName name="___net98" localSheetId="4">#REF!</definedName>
    <definedName name="___net98" localSheetId="5">#REF!</definedName>
    <definedName name="___net98" localSheetId="7">#REF!</definedName>
    <definedName name="___net98" localSheetId="11">#REF!</definedName>
    <definedName name="___net98">#REF!</definedName>
    <definedName name="___net99" localSheetId="4">#REF!</definedName>
    <definedName name="___net99" localSheetId="5">#REF!</definedName>
    <definedName name="___net99" localSheetId="7">#REF!</definedName>
    <definedName name="___net99" localSheetId="11">#REF!</definedName>
    <definedName name="___net99">#REF!</definedName>
    <definedName name="___opm98" localSheetId="4">#REF!</definedName>
    <definedName name="___opm98" localSheetId="5">#REF!</definedName>
    <definedName name="___opm98" localSheetId="7">#REF!</definedName>
    <definedName name="___opm98" localSheetId="11">#REF!</definedName>
    <definedName name="___opm98">#REF!</definedName>
    <definedName name="___opm99" localSheetId="4">#REF!</definedName>
    <definedName name="___opm99" localSheetId="5">#REF!</definedName>
    <definedName name="___opm99" localSheetId="7">#REF!</definedName>
    <definedName name="___opm99" localSheetId="11">#REF!</definedName>
    <definedName name="___opm99">#REF!</definedName>
    <definedName name="___tax96" localSheetId="4">#REF!</definedName>
    <definedName name="___tax96" localSheetId="5">#REF!</definedName>
    <definedName name="___tax96" localSheetId="7">#REF!</definedName>
    <definedName name="___tax96" localSheetId="11">#REF!</definedName>
    <definedName name="___tax96">#REF!</definedName>
    <definedName name="___tax97" localSheetId="4">#REF!</definedName>
    <definedName name="___tax97" localSheetId="5">#REF!</definedName>
    <definedName name="___tax97" localSheetId="7">#REF!</definedName>
    <definedName name="___tax97" localSheetId="11">#REF!</definedName>
    <definedName name="___tax97">#REF!</definedName>
    <definedName name="___tax98" localSheetId="4">#REF!</definedName>
    <definedName name="___tax98" localSheetId="5">#REF!</definedName>
    <definedName name="___tax98" localSheetId="7">#REF!</definedName>
    <definedName name="___tax98" localSheetId="11">#REF!</definedName>
    <definedName name="___tax98">#REF!</definedName>
    <definedName name="___tax99" localSheetId="4">#REF!</definedName>
    <definedName name="___tax99" localSheetId="5">#REF!</definedName>
    <definedName name="___tax99" localSheetId="7">#REF!</definedName>
    <definedName name="___tax99" localSheetId="11">#REF!</definedName>
    <definedName name="___tax99">#REF!</definedName>
    <definedName name="__eps01" localSheetId="4">#REF!</definedName>
    <definedName name="__eps01" localSheetId="5">#REF!</definedName>
    <definedName name="__eps01" localSheetId="7">#REF!</definedName>
    <definedName name="__eps01" localSheetId="11">#REF!</definedName>
    <definedName name="__eps01">#REF!</definedName>
    <definedName name="__eps95" localSheetId="4">#REF!</definedName>
    <definedName name="__eps95" localSheetId="5">#REF!</definedName>
    <definedName name="__eps95" localSheetId="7">#REF!</definedName>
    <definedName name="__eps95" localSheetId="11">#REF!</definedName>
    <definedName name="__eps95">#REF!</definedName>
    <definedName name="__eps96" localSheetId="4">#REF!</definedName>
    <definedName name="__eps96" localSheetId="5">#REF!</definedName>
    <definedName name="__eps96" localSheetId="7">#REF!</definedName>
    <definedName name="__eps96" localSheetId="11">#REF!</definedName>
    <definedName name="__eps96">#REF!</definedName>
    <definedName name="__eps97" localSheetId="4">#REF!</definedName>
    <definedName name="__eps97" localSheetId="5">#REF!</definedName>
    <definedName name="__eps97" localSheetId="7">#REF!</definedName>
    <definedName name="__eps97" localSheetId="11">#REF!</definedName>
    <definedName name="__eps97">#REF!</definedName>
    <definedName name="__eps98" localSheetId="4">#REF!</definedName>
    <definedName name="__eps98" localSheetId="5">#REF!</definedName>
    <definedName name="__eps98" localSheetId="7">#REF!</definedName>
    <definedName name="__eps98" localSheetId="11">#REF!</definedName>
    <definedName name="__eps98">#REF!</definedName>
    <definedName name="__eps99" localSheetId="4">#REF!</definedName>
    <definedName name="__eps99" localSheetId="5">#REF!</definedName>
    <definedName name="__eps99" localSheetId="7">#REF!</definedName>
    <definedName name="__eps99" localSheetId="11">#REF!</definedName>
    <definedName name="__eps99">#REF!</definedName>
    <definedName name="__fcc97" localSheetId="4">#REF!</definedName>
    <definedName name="__fcc97" localSheetId="5">#REF!</definedName>
    <definedName name="__fcc97" localSheetId="7">#REF!</definedName>
    <definedName name="__fcc97" localSheetId="11">#REF!</definedName>
    <definedName name="__fcc97">#REF!</definedName>
    <definedName name="__fcc98" localSheetId="4">#REF!</definedName>
    <definedName name="__fcc98" localSheetId="5">#REF!</definedName>
    <definedName name="__fcc98" localSheetId="7">#REF!</definedName>
    <definedName name="__fcc98" localSheetId="11">#REF!</definedName>
    <definedName name="__fcc98">#REF!</definedName>
    <definedName name="__fcc99" localSheetId="4">#REF!</definedName>
    <definedName name="__fcc99" localSheetId="5">#REF!</definedName>
    <definedName name="__fcc99" localSheetId="7">#REF!</definedName>
    <definedName name="__fcc99" localSheetId="11">#REF!</definedName>
    <definedName name="__fcc99">#REF!</definedName>
    <definedName name="__grm97" localSheetId="4">#REF!</definedName>
    <definedName name="__grm97" localSheetId="5">#REF!</definedName>
    <definedName name="__grm97" localSheetId="7">#REF!</definedName>
    <definedName name="__grm97" localSheetId="11">#REF!</definedName>
    <definedName name="__grm97">#REF!</definedName>
    <definedName name="__grm98" localSheetId="4">#REF!</definedName>
    <definedName name="__grm98" localSheetId="5">#REF!</definedName>
    <definedName name="__grm98" localSheetId="7">#REF!</definedName>
    <definedName name="__grm98" localSheetId="11">#REF!</definedName>
    <definedName name="__grm98">#REF!</definedName>
    <definedName name="__grm99" localSheetId="4">#REF!</definedName>
    <definedName name="__grm99" localSheetId="5">#REF!</definedName>
    <definedName name="__grm99" localSheetId="7">#REF!</definedName>
    <definedName name="__grm99" localSheetId="11">#REF!</definedName>
    <definedName name="__grm99">#REF!</definedName>
    <definedName name="__net96" localSheetId="4">#REF!</definedName>
    <definedName name="__net96" localSheetId="5">#REF!</definedName>
    <definedName name="__net96" localSheetId="7">#REF!</definedName>
    <definedName name="__net96" localSheetId="11">#REF!</definedName>
    <definedName name="__net96">#REF!</definedName>
    <definedName name="__net97" localSheetId="4">#REF!</definedName>
    <definedName name="__net97" localSheetId="5">#REF!</definedName>
    <definedName name="__net97" localSheetId="7">#REF!</definedName>
    <definedName name="__net97" localSheetId="11">#REF!</definedName>
    <definedName name="__net97">#REF!</definedName>
    <definedName name="__net98" localSheetId="4">#REF!</definedName>
    <definedName name="__net98" localSheetId="5">#REF!</definedName>
    <definedName name="__net98" localSheetId="7">#REF!</definedName>
    <definedName name="__net98" localSheetId="11">#REF!</definedName>
    <definedName name="__net98">#REF!</definedName>
    <definedName name="__net99" localSheetId="4">#REF!</definedName>
    <definedName name="__net99" localSheetId="5">#REF!</definedName>
    <definedName name="__net99" localSheetId="7">#REF!</definedName>
    <definedName name="__net99" localSheetId="11">#REF!</definedName>
    <definedName name="__net99">#REF!</definedName>
    <definedName name="__opm97" localSheetId="4">#REF!</definedName>
    <definedName name="__opm97" localSheetId="5">#REF!</definedName>
    <definedName name="__opm97" localSheetId="7">#REF!</definedName>
    <definedName name="__opm97" localSheetId="11">#REF!</definedName>
    <definedName name="__opm97">#REF!</definedName>
    <definedName name="__opm98" localSheetId="4">#REF!</definedName>
    <definedName name="__opm98" localSheetId="5">#REF!</definedName>
    <definedName name="__opm98" localSheetId="7">#REF!</definedName>
    <definedName name="__opm98" localSheetId="11">#REF!</definedName>
    <definedName name="__opm98">#REF!</definedName>
    <definedName name="__opm99" localSheetId="4">#REF!</definedName>
    <definedName name="__opm99" localSheetId="5">#REF!</definedName>
    <definedName name="__opm99" localSheetId="7">#REF!</definedName>
    <definedName name="__opm99" localSheetId="11">#REF!</definedName>
    <definedName name="__opm99">#REF!</definedName>
    <definedName name="__rev97" localSheetId="4">#REF!</definedName>
    <definedName name="__rev97" localSheetId="5">#REF!</definedName>
    <definedName name="__rev97" localSheetId="7">#REF!</definedName>
    <definedName name="__rev97" localSheetId="11">#REF!</definedName>
    <definedName name="__rev97">#REF!</definedName>
    <definedName name="__rev98" localSheetId="4">#REF!</definedName>
    <definedName name="__rev98" localSheetId="5">#REF!</definedName>
    <definedName name="__rev98" localSheetId="7">#REF!</definedName>
    <definedName name="__rev98" localSheetId="11">#REF!</definedName>
    <definedName name="__rev98">#REF!</definedName>
    <definedName name="__rev99" localSheetId="4">#REF!</definedName>
    <definedName name="__rev99" localSheetId="5">#REF!</definedName>
    <definedName name="__rev99" localSheetId="7">#REF!</definedName>
    <definedName name="__rev99" localSheetId="11">#REF!</definedName>
    <definedName name="__rev99">#REF!</definedName>
    <definedName name="__tax96" localSheetId="4">#REF!</definedName>
    <definedName name="__tax96" localSheetId="5">#REF!</definedName>
    <definedName name="__tax96" localSheetId="7">#REF!</definedName>
    <definedName name="__tax96" localSheetId="11">#REF!</definedName>
    <definedName name="__tax96">#REF!</definedName>
    <definedName name="__tax97" localSheetId="4">#REF!</definedName>
    <definedName name="__tax97" localSheetId="5">#REF!</definedName>
    <definedName name="__tax97" localSheetId="7">#REF!</definedName>
    <definedName name="__tax97" localSheetId="11">#REF!</definedName>
    <definedName name="__tax97">#REF!</definedName>
    <definedName name="__tax98" localSheetId="4">#REF!</definedName>
    <definedName name="__tax98" localSheetId="5">#REF!</definedName>
    <definedName name="__tax98" localSheetId="7">#REF!</definedName>
    <definedName name="__tax98" localSheetId="11">#REF!</definedName>
    <definedName name="__tax98">#REF!</definedName>
    <definedName name="__tax99" localSheetId="4">#REF!</definedName>
    <definedName name="__tax99" localSheetId="5">#REF!</definedName>
    <definedName name="__tax99" localSheetId="7">#REF!</definedName>
    <definedName name="__tax99" localSheetId="11">#REF!</definedName>
    <definedName name="__tax99">#REF!</definedName>
    <definedName name="_bdm.FastTrackBookmark.6_13_2025_2_09_23_PM.edm" hidden="1">Metrics!$BL$58</definedName>
    <definedName name="_bdm.FastTrackBookmark.8_7_2025_4_22_01_PM.edm" hidden="1">Metrics!$BH$7</definedName>
    <definedName name="_eps01" localSheetId="4">#REF!</definedName>
    <definedName name="_eps01" localSheetId="5">#REF!</definedName>
    <definedName name="_eps01" localSheetId="7">#REF!</definedName>
    <definedName name="_eps01" localSheetId="11">#REF!</definedName>
    <definedName name="_eps01">#REF!</definedName>
    <definedName name="_eps95" localSheetId="1">[1]IS!$AJ$47</definedName>
    <definedName name="_eps95" localSheetId="4">#REF!</definedName>
    <definedName name="_eps95" localSheetId="5">#REF!</definedName>
    <definedName name="_eps95" localSheetId="7">#REF!</definedName>
    <definedName name="_eps95" localSheetId="11">#REF!</definedName>
    <definedName name="_eps95">#REF!</definedName>
    <definedName name="_eps96" localSheetId="1">[1]IS!$AO$47</definedName>
    <definedName name="_eps96" localSheetId="4">#REF!</definedName>
    <definedName name="_eps96" localSheetId="5">#REF!</definedName>
    <definedName name="_eps96" localSheetId="7">#REF!</definedName>
    <definedName name="_eps96" localSheetId="11">#REF!</definedName>
    <definedName name="_eps96">#REF!</definedName>
    <definedName name="_eps97" localSheetId="1">[1]IS!$AT$47</definedName>
    <definedName name="_eps97" localSheetId="4">#REF!</definedName>
    <definedName name="_eps97" localSheetId="5">#REF!</definedName>
    <definedName name="_eps97" localSheetId="7">#REF!</definedName>
    <definedName name="_eps97" localSheetId="11">#REF!</definedName>
    <definedName name="_eps97">#REF!</definedName>
    <definedName name="_eps98" localSheetId="1">[1]IS!$AY$47</definedName>
    <definedName name="_eps98" localSheetId="4">#REF!</definedName>
    <definedName name="_eps98" localSheetId="5">#REF!</definedName>
    <definedName name="_eps98" localSheetId="7">#REF!</definedName>
    <definedName name="_eps98" localSheetId="11">#REF!</definedName>
    <definedName name="_eps98">#REF!</definedName>
    <definedName name="_eps99" localSheetId="1">[1]IS!$BD$47</definedName>
    <definedName name="_eps99" localSheetId="4">#REF!</definedName>
    <definedName name="_eps99" localSheetId="5">#REF!</definedName>
    <definedName name="_eps99" localSheetId="7">#REF!</definedName>
    <definedName name="_eps99" localSheetId="11">#REF!</definedName>
    <definedName name="_eps99">#REF!</definedName>
    <definedName name="_fcc97" localSheetId="1">#REF!</definedName>
    <definedName name="_fcc97" localSheetId="4">#REF!</definedName>
    <definedName name="_fcc97" localSheetId="5">#REF!</definedName>
    <definedName name="_fcc97" localSheetId="7">#REF!</definedName>
    <definedName name="_fcc97" localSheetId="11">#REF!</definedName>
    <definedName name="_fcc97">#REF!</definedName>
    <definedName name="_fcc98" localSheetId="4">#REF!</definedName>
    <definedName name="_fcc98" localSheetId="5">#REF!</definedName>
    <definedName name="_fcc98" localSheetId="7">#REF!</definedName>
    <definedName name="_fcc98" localSheetId="11">#REF!</definedName>
    <definedName name="_fcc98">#REF!</definedName>
    <definedName name="_fcc99" localSheetId="4">#REF!</definedName>
    <definedName name="_fcc99" localSheetId="5">#REF!</definedName>
    <definedName name="_fcc99" localSheetId="7">#REF!</definedName>
    <definedName name="_fcc99" localSheetId="11">#REF!</definedName>
    <definedName name="_fcc99">#REF!</definedName>
    <definedName name="_grm97" localSheetId="4">#REF!</definedName>
    <definedName name="_grm97" localSheetId="5">#REF!</definedName>
    <definedName name="_grm97" localSheetId="7">#REF!</definedName>
    <definedName name="_grm97" localSheetId="11">#REF!</definedName>
    <definedName name="_grm97">#REF!</definedName>
    <definedName name="_grm98" localSheetId="1">[1]IS!$AY$12</definedName>
    <definedName name="_grm98" localSheetId="4">#REF!</definedName>
    <definedName name="_grm98" localSheetId="5">#REF!</definedName>
    <definedName name="_grm98" localSheetId="7">#REF!</definedName>
    <definedName name="_grm98" localSheetId="11">#REF!</definedName>
    <definedName name="_grm98">#REF!</definedName>
    <definedName name="_grm99" localSheetId="1">[1]IS!$BD$12</definedName>
    <definedName name="_grm99" localSheetId="4">#REF!</definedName>
    <definedName name="_grm99" localSheetId="5">#REF!</definedName>
    <definedName name="_grm99" localSheetId="7">#REF!</definedName>
    <definedName name="_grm99" localSheetId="11">#REF!</definedName>
    <definedName name="_grm99">#REF!</definedName>
    <definedName name="_Key1" localSheetId="1" hidden="1">#REF!</definedName>
    <definedName name="_Key1" localSheetId="4" hidden="1">#REF!</definedName>
    <definedName name="_Key1" localSheetId="5" hidden="1">#REF!</definedName>
    <definedName name="_Key1" localSheetId="7" hidden="1">#REF!</definedName>
    <definedName name="_Key1" localSheetId="11" hidden="1">#REF!</definedName>
    <definedName name="_Key1" hidden="1">#REF!</definedName>
    <definedName name="_net96" localSheetId="1">[1]IS!$AO$39</definedName>
    <definedName name="_net96" localSheetId="4">#REF!</definedName>
    <definedName name="_net96" localSheetId="5">#REF!</definedName>
    <definedName name="_net96" localSheetId="7">#REF!</definedName>
    <definedName name="_net96" localSheetId="11">#REF!</definedName>
    <definedName name="_net96">#REF!</definedName>
    <definedName name="_net97" localSheetId="1">[1]IS!$AT$39</definedName>
    <definedName name="_net97" localSheetId="4">#REF!</definedName>
    <definedName name="_net97" localSheetId="5">#REF!</definedName>
    <definedName name="_net97" localSheetId="7">#REF!</definedName>
    <definedName name="_net97" localSheetId="11">#REF!</definedName>
    <definedName name="_net97">#REF!</definedName>
    <definedName name="_net98" localSheetId="1">[1]IS!$AY$39</definedName>
    <definedName name="_net98" localSheetId="4">#REF!</definedName>
    <definedName name="_net98" localSheetId="5">#REF!</definedName>
    <definedName name="_net98" localSheetId="7">#REF!</definedName>
    <definedName name="_net98" localSheetId="11">#REF!</definedName>
    <definedName name="_net98">#REF!</definedName>
    <definedName name="_net99" localSheetId="1">[1]IS!$BD$39</definedName>
    <definedName name="_net99" localSheetId="4">#REF!</definedName>
    <definedName name="_net99" localSheetId="5">#REF!</definedName>
    <definedName name="_net99" localSheetId="7">#REF!</definedName>
    <definedName name="_net99" localSheetId="11">#REF!</definedName>
    <definedName name="_net99">#REF!</definedName>
    <definedName name="_opm97" localSheetId="1">#REF!</definedName>
    <definedName name="_opm97" localSheetId="4">#REF!</definedName>
    <definedName name="_opm97" localSheetId="5">#REF!</definedName>
    <definedName name="_opm97" localSheetId="7">#REF!</definedName>
    <definedName name="_opm97" localSheetId="11">#REF!</definedName>
    <definedName name="_opm97">#REF!</definedName>
    <definedName name="_opm98" localSheetId="1">[1]IS!$AY$21</definedName>
    <definedName name="_opm98" localSheetId="4">#REF!</definedName>
    <definedName name="_opm98" localSheetId="5">#REF!</definedName>
    <definedName name="_opm98" localSheetId="7">#REF!</definedName>
    <definedName name="_opm98" localSheetId="11">#REF!</definedName>
    <definedName name="_opm98">#REF!</definedName>
    <definedName name="_opm99" localSheetId="1">[1]IS!$BD$21</definedName>
    <definedName name="_opm99" localSheetId="4">#REF!</definedName>
    <definedName name="_opm99" localSheetId="5">#REF!</definedName>
    <definedName name="_opm99" localSheetId="7">#REF!</definedName>
    <definedName name="_opm99" localSheetId="11">#REF!</definedName>
    <definedName name="_opm99">#REF!</definedName>
    <definedName name="_Order1" hidden="1">0</definedName>
    <definedName name="_rev97" localSheetId="1">#REF!</definedName>
    <definedName name="_rev97" localSheetId="4">#REF!</definedName>
    <definedName name="_rev97" localSheetId="5">#REF!</definedName>
    <definedName name="_rev97" localSheetId="7">#REF!</definedName>
    <definedName name="_rev97" localSheetId="11">#REF!</definedName>
    <definedName name="_rev97">#REF!</definedName>
    <definedName name="_rev98" localSheetId="4">#REF!</definedName>
    <definedName name="_rev98" localSheetId="5">#REF!</definedName>
    <definedName name="_rev98" localSheetId="7">#REF!</definedName>
    <definedName name="_rev98" localSheetId="11">#REF!</definedName>
    <definedName name="_rev98">#REF!</definedName>
    <definedName name="_rev99" localSheetId="4">#REF!</definedName>
    <definedName name="_rev99" localSheetId="5">#REF!</definedName>
    <definedName name="_rev99" localSheetId="7">#REF!</definedName>
    <definedName name="_rev99" localSheetId="11">#REF!</definedName>
    <definedName name="_rev99">#REF!</definedName>
    <definedName name="_Sort" localSheetId="4" hidden="1">#REF!</definedName>
    <definedName name="_Sort" localSheetId="5" hidden="1">#REF!</definedName>
    <definedName name="_Sort" localSheetId="7" hidden="1">#REF!</definedName>
    <definedName name="_Sort" localSheetId="11" hidden="1">#REF!</definedName>
    <definedName name="_Sort" hidden="1">#REF!</definedName>
    <definedName name="_Table2_Out" localSheetId="1" hidden="1">#REF!</definedName>
    <definedName name="_Table2_Out" localSheetId="4" hidden="1">#REF!</definedName>
    <definedName name="_Table2_Out" localSheetId="5" hidden="1">#REF!</definedName>
    <definedName name="_Table2_Out" localSheetId="7" hidden="1">#REF!</definedName>
    <definedName name="_Table2_Out" localSheetId="11" hidden="1">#REF!</definedName>
    <definedName name="_Table2_Out" hidden="1">#REF!</definedName>
    <definedName name="_tax96" localSheetId="1">[1]IS!$AO$31</definedName>
    <definedName name="_tax96" localSheetId="4">#REF!</definedName>
    <definedName name="_tax96" localSheetId="5">#REF!</definedName>
    <definedName name="_tax96" localSheetId="7">#REF!</definedName>
    <definedName name="_tax96" localSheetId="11">#REF!</definedName>
    <definedName name="_tax96">#REF!</definedName>
    <definedName name="_tax97" localSheetId="1">[1]IS!$AT$31</definedName>
    <definedName name="_tax97" localSheetId="4">#REF!</definedName>
    <definedName name="_tax97" localSheetId="5">#REF!</definedName>
    <definedName name="_tax97" localSheetId="7">#REF!</definedName>
    <definedName name="_tax97" localSheetId="11">#REF!</definedName>
    <definedName name="_tax97">#REF!</definedName>
    <definedName name="_tax98" localSheetId="1">[1]IS!$AY$31</definedName>
    <definedName name="_tax98" localSheetId="4">#REF!</definedName>
    <definedName name="_tax98" localSheetId="5">#REF!</definedName>
    <definedName name="_tax98" localSheetId="7">#REF!</definedName>
    <definedName name="_tax98" localSheetId="11">#REF!</definedName>
    <definedName name="_tax98">#REF!</definedName>
    <definedName name="_tax99" localSheetId="1">[1]IS!$BD$31</definedName>
    <definedName name="_tax99" localSheetId="4">#REF!</definedName>
    <definedName name="_tax99" localSheetId="5">#REF!</definedName>
    <definedName name="_tax99" localSheetId="7">#REF!</definedName>
    <definedName name="_tax99" localSheetId="11">#REF!</definedName>
    <definedName name="_tax99">#REF!</definedName>
    <definedName name="alex" localSheetId="1">#REF!</definedName>
    <definedName name="alex" localSheetId="4">#REF!</definedName>
    <definedName name="alex" localSheetId="5">#REF!</definedName>
    <definedName name="alex" localSheetId="7">#REF!</definedName>
    <definedName name="alex" localSheetId="11">#REF!</definedName>
    <definedName name="alex">#REF!</definedName>
    <definedName name="alex1" localSheetId="4">#REF!</definedName>
    <definedName name="alex1" localSheetId="5">#REF!</definedName>
    <definedName name="alex1" localSheetId="7">#REF!</definedName>
    <definedName name="alex1" localSheetId="11">#REF!</definedName>
    <definedName name="alex1">#REF!</definedName>
    <definedName name="alex2" localSheetId="4">#REF!</definedName>
    <definedName name="alex2" localSheetId="5">#REF!</definedName>
    <definedName name="alex2" localSheetId="7">#REF!</definedName>
    <definedName name="alex2" localSheetId="11">#REF!</definedName>
    <definedName name="alex2">#REF!</definedName>
    <definedName name="Balance_Sheet" localSheetId="4">#REF!</definedName>
    <definedName name="Balance_Sheet" localSheetId="5">#REF!</definedName>
    <definedName name="Balance_Sheet" localSheetId="7">#REF!</definedName>
    <definedName name="Balance_Sheet" localSheetId="11">#REF!</definedName>
    <definedName name="Balance_Sheet">#REF!</definedName>
    <definedName name="BaseYear">[2]Controls!$C$13</definedName>
    <definedName name="bv" localSheetId="1">[1]BS!$BB$42</definedName>
    <definedName name="bv" localSheetId="4">#REF!</definedName>
    <definedName name="bv" localSheetId="5">#REF!</definedName>
    <definedName name="bv" localSheetId="7">#REF!</definedName>
    <definedName name="bv" localSheetId="11">#REF!</definedName>
    <definedName name="bv">#REF!</definedName>
    <definedName name="c_date" localSheetId="1">'[2]Print Controls'!#REF!</definedName>
    <definedName name="c_date" localSheetId="4">'[2]Print Controls'!#REF!</definedName>
    <definedName name="c_date" localSheetId="5">'[2]Print Controls'!#REF!</definedName>
    <definedName name="c_date" localSheetId="7">'[2]Print Controls'!#REF!</definedName>
    <definedName name="c_date" localSheetId="11">'[2]Print Controls'!#REF!</definedName>
    <definedName name="c_date" localSheetId="2">'[2]Print Controls'!#REF!</definedName>
    <definedName name="c_date">'[2]Print Controls'!#REF!</definedName>
    <definedName name="cash" localSheetId="1">[1]BS!$BB$7</definedName>
    <definedName name="cash" localSheetId="4">#REF!</definedName>
    <definedName name="cash" localSheetId="5">#REF!</definedName>
    <definedName name="cash" localSheetId="7">#REF!</definedName>
    <definedName name="cash" localSheetId="11">#REF!</definedName>
    <definedName name="cash">#REF!</definedName>
    <definedName name="Cashflow_Statement" localSheetId="1">#REF!</definedName>
    <definedName name="Cashflow_Statement" localSheetId="4">#REF!</definedName>
    <definedName name="Cashflow_Statement" localSheetId="5">#REF!</definedName>
    <definedName name="Cashflow_Statement" localSheetId="7">#REF!</definedName>
    <definedName name="Cashflow_Statement" localSheetId="11">#REF!</definedName>
    <definedName name="Cashflow_Statement">#REF!</definedName>
    <definedName name="cashps" localSheetId="1">[1]BS!$BB$43</definedName>
    <definedName name="cashps" localSheetId="4">#REF!</definedName>
    <definedName name="cashps" localSheetId="5">#REF!</definedName>
    <definedName name="cashps" localSheetId="7">#REF!</definedName>
    <definedName name="cashps" localSheetId="11">#REF!</definedName>
    <definedName name="cashps">#REF!</definedName>
    <definedName name="Close">OFFSET([3]Cover!$AO$8,,,COUNTA([3]Cover!$AO$8:$AO$62),1)</definedName>
    <definedName name="Company">[2]Controls!$C$6</definedName>
    <definedName name="currenta" localSheetId="1">[1]BS!$BB$12</definedName>
    <definedName name="currenta" localSheetId="4">#REF!</definedName>
    <definedName name="currenta" localSheetId="5">#REF!</definedName>
    <definedName name="currenta" localSheetId="7">#REF!</definedName>
    <definedName name="currenta" localSheetId="11">#REF!</definedName>
    <definedName name="currenta">#REF!</definedName>
    <definedName name="currentl" localSheetId="1">[1]BS!$BB$29</definedName>
    <definedName name="currentl" localSheetId="4">#REF!</definedName>
    <definedName name="currentl" localSheetId="5">#REF!</definedName>
    <definedName name="currentl" localSheetId="7">#REF!</definedName>
    <definedName name="currentl" localSheetId="11">#REF!</definedName>
    <definedName name="currentl">#REF!</definedName>
    <definedName name="date" localSheetId="1">#REF!</definedName>
    <definedName name="Date">OFFSET([3]Cover!$AL$8,,,COUNTA([3]Cover!$AL$8:$AL$300),1)</definedName>
    <definedName name="DateHeader">[2]Controls!$D$17</definedName>
    <definedName name="debt" localSheetId="1">[1]BS!$BB$44</definedName>
    <definedName name="debt" localSheetId="4">#REF!</definedName>
    <definedName name="debt" localSheetId="5">#REF!</definedName>
    <definedName name="debt" localSheetId="7">#REF!</definedName>
    <definedName name="debt" localSheetId="11">#REF!</definedName>
    <definedName name="debt">#REF!</definedName>
    <definedName name="debttc" localSheetId="1">[1]BS!$BB$46</definedName>
    <definedName name="debttc" localSheetId="4">#REF!</definedName>
    <definedName name="debttc" localSheetId="5">#REF!</definedName>
    <definedName name="debttc" localSheetId="7">#REF!</definedName>
    <definedName name="debttc" localSheetId="11">#REF!</definedName>
    <definedName name="debttc">#REF!</definedName>
    <definedName name="dividend" localSheetId="1">[4]IS!$AN$36</definedName>
    <definedName name="dividend" localSheetId="4">#REF!</definedName>
    <definedName name="dividend" localSheetId="5">#REF!</definedName>
    <definedName name="dividend" localSheetId="7">#REF!</definedName>
    <definedName name="dividend" localSheetId="11">#REF!</definedName>
    <definedName name="dividend">#REF!</definedName>
    <definedName name="DollarHeader">[2]Controls!$D$12</definedName>
    <definedName name="Dollars_In_Millions__Except_Per_Share_Data" localSheetId="1">#REF!</definedName>
    <definedName name="Dollars_In_Millions__Except_Per_Share_Data" localSheetId="4">#REF!</definedName>
    <definedName name="Dollars_In_Millions__Except_Per_Share_Data" localSheetId="5">#REF!</definedName>
    <definedName name="Dollars_In_Millions__Except_Per_Share_Data" localSheetId="7">#REF!</definedName>
    <definedName name="Dollars_In_Millions__Except_Per_Share_Data" localSheetId="11">#REF!</definedName>
    <definedName name="Dollars_In_Millions__Except_Per_Share_Data" localSheetId="2">#REF!</definedName>
    <definedName name="Dollars_In_Millions__Except_Per_Share_Data">#REF!</definedName>
    <definedName name="dso" localSheetId="1">[1]BS!$BB$50</definedName>
    <definedName name="dso" localSheetId="4">#REF!</definedName>
    <definedName name="dso" localSheetId="5">#REF!</definedName>
    <definedName name="dso" localSheetId="7">#REF!</definedName>
    <definedName name="dso" localSheetId="11">#REF!</definedName>
    <definedName name="dso">#REF!</definedName>
    <definedName name="ebitda00" localSheetId="1">[1]CF!$BI$16</definedName>
    <definedName name="ebitda00" localSheetId="4">#REF!</definedName>
    <definedName name="ebitda00" localSheetId="5">#REF!</definedName>
    <definedName name="ebitda00" localSheetId="7">#REF!</definedName>
    <definedName name="ebitda00" localSheetId="11">#REF!</definedName>
    <definedName name="ebitda00">#REF!</definedName>
    <definedName name="ebitda96" localSheetId="1">[1]CF!$AO$16</definedName>
    <definedName name="ebitda96" localSheetId="4">#REF!</definedName>
    <definedName name="ebitda96" localSheetId="5">#REF!</definedName>
    <definedName name="ebitda96" localSheetId="7">#REF!</definedName>
    <definedName name="ebitda96" localSheetId="11">#REF!</definedName>
    <definedName name="ebitda96">#REF!</definedName>
    <definedName name="ebitda97" localSheetId="1">[1]CF!$AT$16</definedName>
    <definedName name="ebitda97" localSheetId="4">#REF!</definedName>
    <definedName name="ebitda97" localSheetId="5">#REF!</definedName>
    <definedName name="ebitda97" localSheetId="7">#REF!</definedName>
    <definedName name="ebitda97" localSheetId="11">#REF!</definedName>
    <definedName name="ebitda97">#REF!</definedName>
    <definedName name="ebitda98" localSheetId="1">[1]CF!$AY$16</definedName>
    <definedName name="ebitda98" localSheetId="4">#REF!</definedName>
    <definedName name="ebitda98" localSheetId="5">#REF!</definedName>
    <definedName name="ebitda98" localSheetId="7">#REF!</definedName>
    <definedName name="ebitda98" localSheetId="11">#REF!</definedName>
    <definedName name="ebitda98">#REF!</definedName>
    <definedName name="ebitda99" localSheetId="1">[1]CF!$BD$16</definedName>
    <definedName name="ebitda99" localSheetId="4">#REF!</definedName>
    <definedName name="ebitda99" localSheetId="5">#REF!</definedName>
    <definedName name="ebitda99" localSheetId="7">#REF!</definedName>
    <definedName name="ebitda99" localSheetId="11">#REF!</definedName>
    <definedName name="ebitda99">#REF!</definedName>
    <definedName name="ebitdaps00" localSheetId="1">[1]CF!$BI$17</definedName>
    <definedName name="ebitdaps00" localSheetId="4">#REF!</definedName>
    <definedName name="ebitdaps00" localSheetId="5">#REF!</definedName>
    <definedName name="ebitdaps00" localSheetId="7">#REF!</definedName>
    <definedName name="ebitdaps00" localSheetId="11">#REF!</definedName>
    <definedName name="ebitdaps00">#REF!</definedName>
    <definedName name="ebitdaps97" localSheetId="1">#REF!</definedName>
    <definedName name="ebitdaps97" localSheetId="4">#REF!</definedName>
    <definedName name="ebitdaps97" localSheetId="5">#REF!</definedName>
    <definedName name="ebitdaps97" localSheetId="7">#REF!</definedName>
    <definedName name="ebitdaps97" localSheetId="11">#REF!</definedName>
    <definedName name="ebitdaps97">#REF!</definedName>
    <definedName name="ebitdaps98" localSheetId="1">[1]CF!$AY$17</definedName>
    <definedName name="ebitdaps98" localSheetId="4">#REF!</definedName>
    <definedName name="ebitdaps98" localSheetId="5">#REF!</definedName>
    <definedName name="ebitdaps98" localSheetId="7">#REF!</definedName>
    <definedName name="ebitdaps98" localSheetId="11">#REF!</definedName>
    <definedName name="ebitdaps98">#REF!</definedName>
    <definedName name="ebitdaps99" localSheetId="1">[1]CF!$BD$17</definedName>
    <definedName name="ebitdaps99" localSheetId="4">#REF!</definedName>
    <definedName name="ebitdaps99" localSheetId="5">#REF!</definedName>
    <definedName name="ebitdaps99" localSheetId="7">#REF!</definedName>
    <definedName name="ebitdaps99" localSheetId="11">#REF!</definedName>
    <definedName name="ebitdaps99">#REF!</definedName>
    <definedName name="eps00" localSheetId="1">[1]IS!$BI$47</definedName>
    <definedName name="eps00" localSheetId="4">#REF!</definedName>
    <definedName name="eps00" localSheetId="5">#REF!</definedName>
    <definedName name="eps00" localSheetId="7">#REF!</definedName>
    <definedName name="eps00" localSheetId="11">#REF!</definedName>
    <definedName name="eps00">#REF!</definedName>
    <definedName name="epsffq" localSheetId="1">[1]IS!$BC$79</definedName>
    <definedName name="epsffq" localSheetId="4">#REF!</definedName>
    <definedName name="epsffq" localSheetId="5">#REF!</definedName>
    <definedName name="epsffq" localSheetId="7">#REF!</definedName>
    <definedName name="epsffq" localSheetId="11">#REF!</definedName>
    <definedName name="epsffq">#REF!</definedName>
    <definedName name="epsffqch" localSheetId="1">[1]IS!$BA$80</definedName>
    <definedName name="epsffqch" localSheetId="4">#REF!</definedName>
    <definedName name="epsffqch" localSheetId="5">#REF!</definedName>
    <definedName name="epsffqch" localSheetId="7">#REF!</definedName>
    <definedName name="epsffqch" localSheetId="11">#REF!</definedName>
    <definedName name="epsffqch">#REF!</definedName>
    <definedName name="epsffqgr" localSheetId="1">[1]IS!$BC$80</definedName>
    <definedName name="epsffqgr" localSheetId="4">#REF!</definedName>
    <definedName name="epsffqgr" localSheetId="5">#REF!</definedName>
    <definedName name="epsffqgr" localSheetId="7">#REF!</definedName>
    <definedName name="epsffqgr" localSheetId="11">#REF!</definedName>
    <definedName name="epsffqgr">#REF!</definedName>
    <definedName name="equity" localSheetId="1">[1]BS!$BB$37</definedName>
    <definedName name="equity" localSheetId="4">#REF!</definedName>
    <definedName name="equity" localSheetId="5">#REF!</definedName>
    <definedName name="equity" localSheetId="7">#REF!</definedName>
    <definedName name="equity" localSheetId="11">#REF!</definedName>
    <definedName name="equity">#REF!</definedName>
    <definedName name="fcc00" localSheetId="1">#REF!</definedName>
    <definedName name="fcc00" localSheetId="4">#REF!</definedName>
    <definedName name="fcc00" localSheetId="5">#REF!</definedName>
    <definedName name="fcc00" localSheetId="7">#REF!</definedName>
    <definedName name="fcc00" localSheetId="11">#REF!</definedName>
    <definedName name="fcc00">#REF!</definedName>
    <definedName name="fcfps00" localSheetId="1">[1]CF!$BI$31</definedName>
    <definedName name="fcfps00" localSheetId="4">#REF!</definedName>
    <definedName name="fcfps00" localSheetId="5">#REF!</definedName>
    <definedName name="fcfps00" localSheetId="7">#REF!</definedName>
    <definedName name="fcfps00" localSheetId="11">#REF!</definedName>
    <definedName name="fcfps00">#REF!</definedName>
    <definedName name="fcfps96" localSheetId="1">[1]CF!$AO$31</definedName>
    <definedName name="fcfps96" localSheetId="4">#REF!</definedName>
    <definedName name="fcfps96" localSheetId="5">#REF!</definedName>
    <definedName name="fcfps96" localSheetId="7">#REF!</definedName>
    <definedName name="fcfps96" localSheetId="11">#REF!</definedName>
    <definedName name="fcfps96">#REF!</definedName>
    <definedName name="fcfps97" localSheetId="1">[1]CF!$AT$31</definedName>
    <definedName name="fcfps97" localSheetId="4">#REF!</definedName>
    <definedName name="fcfps97" localSheetId="5">#REF!</definedName>
    <definedName name="fcfps97" localSheetId="7">#REF!</definedName>
    <definedName name="fcfps97" localSheetId="11">#REF!</definedName>
    <definedName name="fcfps97">#REF!</definedName>
    <definedName name="fcfps98" localSheetId="1">[1]CF!$AY$31</definedName>
    <definedName name="fcfps98" localSheetId="4">#REF!</definedName>
    <definedName name="fcfps98" localSheetId="5">#REF!</definedName>
    <definedName name="fcfps98" localSheetId="7">#REF!</definedName>
    <definedName name="fcfps98" localSheetId="11">#REF!</definedName>
    <definedName name="fcfps98">#REF!</definedName>
    <definedName name="fcfps99" localSheetId="1">[1]CF!$BD$31</definedName>
    <definedName name="fcfps99" localSheetId="4">#REF!</definedName>
    <definedName name="fcfps99" localSheetId="5">#REF!</definedName>
    <definedName name="fcfps99" localSheetId="7">#REF!</definedName>
    <definedName name="fcfps99" localSheetId="11">#REF!</definedName>
    <definedName name="fcfps99">#REF!</definedName>
    <definedName name="fixed" localSheetId="1">[1]BS!$BB$16</definedName>
    <definedName name="fixed" localSheetId="4">#REF!</definedName>
    <definedName name="fixed" localSheetId="5">#REF!</definedName>
    <definedName name="fixed" localSheetId="7">#REF!</definedName>
    <definedName name="fixed" localSheetId="11">#REF!</definedName>
    <definedName name="fixed">#REF!</definedName>
    <definedName name="frcfnetinc" localSheetId="1">[1]CF!$AX$84</definedName>
    <definedName name="frcfnetinc" localSheetId="4">#REF!</definedName>
    <definedName name="frcfnetinc" localSheetId="5">#REF!</definedName>
    <definedName name="frcfnetinc" localSheetId="7">#REF!</definedName>
    <definedName name="frcfnetinc" localSheetId="11">#REF!</definedName>
    <definedName name="frcfnetinc">#REF!</definedName>
    <definedName name="fwdebitda" localSheetId="1">[1]CF!$BC$72</definedName>
    <definedName name="fwdebitda" localSheetId="4">#REF!</definedName>
    <definedName name="fwdebitda" localSheetId="5">#REF!</definedName>
    <definedName name="fwdebitda" localSheetId="7">#REF!</definedName>
    <definedName name="fwdebitda" localSheetId="11">#REF!</definedName>
    <definedName name="fwdebitda">#REF!</definedName>
    <definedName name="fwdebitdagr" localSheetId="1">[1]CF!$BC$74</definedName>
    <definedName name="fwdebitdagr" localSheetId="4">#REF!</definedName>
    <definedName name="fwdebitdagr" localSheetId="5">#REF!</definedName>
    <definedName name="fwdebitdagr" localSheetId="7">#REF!</definedName>
    <definedName name="fwdebitdagr" localSheetId="11">#REF!</definedName>
    <definedName name="fwdebitdagr">#REF!</definedName>
    <definedName name="fwdebitdaps" localSheetId="1">[1]CF!$BC$73</definedName>
    <definedName name="fwdebitdaps" localSheetId="4">#REF!</definedName>
    <definedName name="fwdebitdaps" localSheetId="5">#REF!</definedName>
    <definedName name="fwdebitdaps" localSheetId="7">#REF!</definedName>
    <definedName name="fwdebitdaps" localSheetId="11">#REF!</definedName>
    <definedName name="fwdebitdaps">#REF!</definedName>
    <definedName name="fwdfrcf" localSheetId="1">[1]CF!$BC$84</definedName>
    <definedName name="fwdfrcf" localSheetId="4">#REF!</definedName>
    <definedName name="fwdfrcf" localSheetId="5">#REF!</definedName>
    <definedName name="fwdfrcf" localSheetId="7">#REF!</definedName>
    <definedName name="fwdfrcf" localSheetId="11">#REF!</definedName>
    <definedName name="fwdfrcf">#REF!</definedName>
    <definedName name="fwdfrcfch" localSheetId="1">[1]CF!$BC$88</definedName>
    <definedName name="fwdfrcfch" localSheetId="4">#REF!</definedName>
    <definedName name="fwdfrcfch" localSheetId="5">#REF!</definedName>
    <definedName name="fwdfrcfch" localSheetId="7">#REF!</definedName>
    <definedName name="fwdfrcfch" localSheetId="11">#REF!</definedName>
    <definedName name="fwdfrcfch">#REF!</definedName>
    <definedName name="fwdfrcfmktcap" localSheetId="1">[1]CF!$BC$86</definedName>
    <definedName name="fwdfrcfmktcap" localSheetId="4">#REF!</definedName>
    <definedName name="fwdfrcfmktcap" localSheetId="5">#REF!</definedName>
    <definedName name="fwdfrcfmktcap" localSheetId="7">#REF!</definedName>
    <definedName name="fwdfrcfmktcap" localSheetId="11">#REF!</definedName>
    <definedName name="fwdfrcfmktcap">#REF!</definedName>
    <definedName name="fwdfrcfpct" localSheetId="1">[1]CF!$BC$87</definedName>
    <definedName name="fwdfrcfpct" localSheetId="4">#REF!</definedName>
    <definedName name="fwdfrcfpct" localSheetId="5">#REF!</definedName>
    <definedName name="fwdfrcfpct" localSheetId="7">#REF!</definedName>
    <definedName name="fwdfrcfpct" localSheetId="11">#REF!</definedName>
    <definedName name="fwdfrcfpct">#REF!</definedName>
    <definedName name="fwdfrcfps" localSheetId="1">[1]CF!$BC$85</definedName>
    <definedName name="fwdfrcfps" localSheetId="4">#REF!</definedName>
    <definedName name="fwdfrcfps" localSheetId="5">#REF!</definedName>
    <definedName name="fwdfrcfps" localSheetId="7">#REF!</definedName>
    <definedName name="fwdfrcfps" localSheetId="11">#REF!</definedName>
    <definedName name="fwdfrcfps">#REF!</definedName>
    <definedName name="grm00" localSheetId="1">[1]IS!$BI$12</definedName>
    <definedName name="grm00" localSheetId="4">#REF!</definedName>
    <definedName name="grm00" localSheetId="5">#REF!</definedName>
    <definedName name="grm00" localSheetId="7">#REF!</definedName>
    <definedName name="grm00" localSheetId="11">#REF!</definedName>
    <definedName name="grm00">#REF!</definedName>
    <definedName name="High">OFFSET([3]Cover!$AM$8,,,COUNTA([3]Cover!$AM$8:$AM$62),1)</definedName>
    <definedName name="Income_Statement" localSheetId="1">#REF!</definedName>
    <definedName name="Income_Statement" localSheetId="3">#REF!</definedName>
    <definedName name="Income_Statement" localSheetId="4">#REF!</definedName>
    <definedName name="Income_Statement" localSheetId="5">#REF!</definedName>
    <definedName name="Income_Statement" localSheetId="7">#REF!</definedName>
    <definedName name="Income_Statement" localSheetId="11">#REF!</definedName>
    <definedName name="Income_Statement" localSheetId="2">#REF!</definedName>
    <definedName name="Income_Statement">#REF!</definedName>
    <definedName name="Index_COMP">OFFSET([3]Cover!$AU$8,,,COUNTA([3]Cover!$AU$8:$AU$300),1)</definedName>
    <definedName name="Index_Composite">OFFSET([3]Cover!$AS$8,,,COUNTA([3]Cover!$AS$8:$AS$300),1)</definedName>
    <definedName name="Index_Price">OFFSET([3]Cover!$AR$8,,,COUNTA([3]Cover!$AR$8:$AR$300),1)</definedName>
    <definedName name="Index_SP500">OFFSET([3]Cover!$AT$8,,,COUNTA([3]Cover!$AT$8:$AT$300),1)</definedName>
    <definedName name="intl" localSheetId="1">[1]Seg!$P$141</definedName>
    <definedName name="intl" localSheetId="4">#REF!</definedName>
    <definedName name="intl" localSheetId="5">#REF!</definedName>
    <definedName name="intl" localSheetId="7">#REF!</definedName>
    <definedName name="intl" localSheetId="11">#REF!</definedName>
    <definedName name="intl">#REF!</definedName>
    <definedName name="lastq" localSheetId="1">[1]IS!$BB$47</definedName>
    <definedName name="lastq" localSheetId="4">#REF!</definedName>
    <definedName name="lastq" localSheetId="5">#REF!</definedName>
    <definedName name="lastq" localSheetId="7">#REF!</definedName>
    <definedName name="lastq" localSheetId="11">#REF!</definedName>
    <definedName name="lastq">#REF!</definedName>
    <definedName name="lastqy" localSheetId="1">[1]IS!$AW$47</definedName>
    <definedName name="lastqy" localSheetId="4">#REF!</definedName>
    <definedName name="lastqy" localSheetId="5">#REF!</definedName>
    <definedName name="lastqy" localSheetId="7">#REF!</definedName>
    <definedName name="lastqy" localSheetId="11">#REF!</definedName>
    <definedName name="lastqy">#REF!</definedName>
    <definedName name="Low">OFFSET([3]Cover!$AN$8,,,COUNTA([3]Cover!$AN$8:$AN$62),1)</definedName>
    <definedName name="ltdebt" localSheetId="1">[1]BS!$BB$31</definedName>
    <definedName name="ltdebt" localSheetId="4">#REF!</definedName>
    <definedName name="ltdebt" localSheetId="5">#REF!</definedName>
    <definedName name="ltdebt" localSheetId="7">#REF!</definedName>
    <definedName name="ltdebt" localSheetId="11">#REF!</definedName>
    <definedName name="ltdebt">#REF!</definedName>
    <definedName name="ltmax" localSheetId="1">[1]BS!$BB$54</definedName>
    <definedName name="ltmax" localSheetId="4">#REF!</definedName>
    <definedName name="ltmax" localSheetId="5">#REF!</definedName>
    <definedName name="ltmax" localSheetId="7">#REF!</definedName>
    <definedName name="ltmax" localSheetId="11">#REF!</definedName>
    <definedName name="ltmax">#REF!</definedName>
    <definedName name="ltmcapexdepr" localSheetId="1">[1]CF!$BB$78</definedName>
    <definedName name="ltmcapexdepr" localSheetId="4">#REF!</definedName>
    <definedName name="ltmcapexdepr" localSheetId="5">#REF!</definedName>
    <definedName name="ltmcapexdepr" localSheetId="7">#REF!</definedName>
    <definedName name="ltmcapexdepr" localSheetId="11">#REF!</definedName>
    <definedName name="ltmcapexdepr">#REF!</definedName>
    <definedName name="ltmcapexopcf" localSheetId="1">[1]CF!$BB$77</definedName>
    <definedName name="ltmcapexopcf" localSheetId="4">#REF!</definedName>
    <definedName name="ltmcapexopcf" localSheetId="5">#REF!</definedName>
    <definedName name="ltmcapexopcf" localSheetId="7">#REF!</definedName>
    <definedName name="ltmcapexopcf" localSheetId="11">#REF!</definedName>
    <definedName name="ltmcapexopcf">#REF!</definedName>
    <definedName name="ltmcapexpct" localSheetId="1">[1]CF!$BB$76</definedName>
    <definedName name="ltmcapexpct" localSheetId="4">#REF!</definedName>
    <definedName name="ltmcapexpct" localSheetId="5">#REF!</definedName>
    <definedName name="ltmcapexpct" localSheetId="7">#REF!</definedName>
    <definedName name="ltmcapexpct" localSheetId="11">#REF!</definedName>
    <definedName name="ltmcapexpct">#REF!</definedName>
    <definedName name="ltmebitda" localSheetId="1">[1]CF!$BB$68</definedName>
    <definedName name="ltmebitda" localSheetId="4">#REF!</definedName>
    <definedName name="ltmebitda" localSheetId="5">#REF!</definedName>
    <definedName name="ltmebitda" localSheetId="7">#REF!</definedName>
    <definedName name="ltmebitda" localSheetId="11">#REF!</definedName>
    <definedName name="ltmebitda">#REF!</definedName>
    <definedName name="ltmebitdagr" localSheetId="1">[1]CF!$BB$69</definedName>
    <definedName name="ltmebitdagr" localSheetId="4">#REF!</definedName>
    <definedName name="ltmebitdagr" localSheetId="5">#REF!</definedName>
    <definedName name="ltmebitdagr" localSheetId="7">#REF!</definedName>
    <definedName name="ltmebitdagr" localSheetId="11">#REF!</definedName>
    <definedName name="ltmebitdagr">#REF!</definedName>
    <definedName name="ltmebitdam" localSheetId="1">[1]IS!$BB$75</definedName>
    <definedName name="ltmebitdam" localSheetId="4">#REF!</definedName>
    <definedName name="ltmebitdam" localSheetId="5">#REF!</definedName>
    <definedName name="ltmebitdam" localSheetId="7">#REF!</definedName>
    <definedName name="ltmebitdam" localSheetId="11">#REF!</definedName>
    <definedName name="ltmebitdam">#REF!</definedName>
    <definedName name="ltmebitdaps" localSheetId="1">[1]CF!$BB$70</definedName>
    <definedName name="ltmebitdaps" localSheetId="4">#REF!</definedName>
    <definedName name="ltmebitdaps" localSheetId="5">#REF!</definedName>
    <definedName name="ltmebitdaps" localSheetId="7">#REF!</definedName>
    <definedName name="ltmebitdaps" localSheetId="11">#REF!</definedName>
    <definedName name="ltmebitdaps">#REF!</definedName>
    <definedName name="ltmeps" localSheetId="1">[1]IS!$BB$76</definedName>
    <definedName name="ltmeps" localSheetId="4">#REF!</definedName>
    <definedName name="ltmeps" localSheetId="5">#REF!</definedName>
    <definedName name="ltmeps" localSheetId="7">#REF!</definedName>
    <definedName name="ltmeps" localSheetId="11">#REF!</definedName>
    <definedName name="ltmeps">#REF!</definedName>
    <definedName name="ltmepsgr" localSheetId="1">[1]IS!$BB$77</definedName>
    <definedName name="ltmepsgr" localSheetId="4">#REF!</definedName>
    <definedName name="ltmepsgr" localSheetId="5">#REF!</definedName>
    <definedName name="ltmepsgr" localSheetId="7">#REF!</definedName>
    <definedName name="ltmepsgr" localSheetId="11">#REF!</definedName>
    <definedName name="ltmepsgr">#REF!</definedName>
    <definedName name="ltmfax" localSheetId="1">[1]BS!$BB$55</definedName>
    <definedName name="ltmfax" localSheetId="4">#REF!</definedName>
    <definedName name="ltmfax" localSheetId="5">#REF!</definedName>
    <definedName name="ltmfax" localSheetId="7">#REF!</definedName>
    <definedName name="ltmfax" localSheetId="11">#REF!</definedName>
    <definedName name="ltmfax">#REF!</definedName>
    <definedName name="ltmfrcf" localSheetId="1">[1]CF!$BB$80</definedName>
    <definedName name="ltmfrcf" localSheetId="4">#REF!</definedName>
    <definedName name="ltmfrcf" localSheetId="5">#REF!</definedName>
    <definedName name="ltmfrcf" localSheetId="7">#REF!</definedName>
    <definedName name="ltmfrcf" localSheetId="11">#REF!</definedName>
    <definedName name="ltmfrcf">#REF!</definedName>
    <definedName name="ltmfrcfgr" localSheetId="1">[1]CF!$BB$82</definedName>
    <definedName name="ltmfrcfgr" localSheetId="4">#REF!</definedName>
    <definedName name="ltmfrcfgr" localSheetId="5">#REF!</definedName>
    <definedName name="ltmfrcfgr" localSheetId="7">#REF!</definedName>
    <definedName name="ltmfrcfgr" localSheetId="11">#REF!</definedName>
    <definedName name="ltmfrcfgr">#REF!</definedName>
    <definedName name="ltmfrcfps" localSheetId="1">[1]CF!$BB$81</definedName>
    <definedName name="ltmfrcfps" localSheetId="4">#REF!</definedName>
    <definedName name="ltmfrcfps" localSheetId="5">#REF!</definedName>
    <definedName name="ltmfrcfps" localSheetId="7">#REF!</definedName>
    <definedName name="ltmfrcfps" localSheetId="11">#REF!</definedName>
    <definedName name="ltmfrcfps">#REF!</definedName>
    <definedName name="ltmgm" localSheetId="1">[1]IS!$BB$72</definedName>
    <definedName name="ltmgm" localSheetId="4">#REF!</definedName>
    <definedName name="ltmgm" localSheetId="5">#REF!</definedName>
    <definedName name="ltmgm" localSheetId="7">#REF!</definedName>
    <definedName name="ltmgm" localSheetId="11">#REF!</definedName>
    <definedName name="ltmgm">#REF!</definedName>
    <definedName name="ltminvx" localSheetId="1">[1]BS!$BB$52</definedName>
    <definedName name="ltminvx" localSheetId="4">#REF!</definedName>
    <definedName name="ltminvx" localSheetId="5">#REF!</definedName>
    <definedName name="ltminvx" localSheetId="7">#REF!</definedName>
    <definedName name="ltminvx" localSheetId="11">#REF!</definedName>
    <definedName name="ltminvx">#REF!</definedName>
    <definedName name="ltmom" localSheetId="1">[1]IS!$BB$73</definedName>
    <definedName name="ltmom" localSheetId="4">#REF!</definedName>
    <definedName name="ltmom" localSheetId="5">#REF!</definedName>
    <definedName name="ltmom" localSheetId="7">#REF!</definedName>
    <definedName name="ltmom" localSheetId="11">#REF!</definedName>
    <definedName name="ltmom">#REF!</definedName>
    <definedName name="ltmomch" localSheetId="1">[1]IS!$BB$74</definedName>
    <definedName name="ltmomch" localSheetId="4">#REF!</definedName>
    <definedName name="ltmomch" localSheetId="5">#REF!</definedName>
    <definedName name="ltmomch" localSheetId="7">#REF!</definedName>
    <definedName name="ltmomch" localSheetId="11">#REF!</definedName>
    <definedName name="ltmomch">#REF!</definedName>
    <definedName name="ltmrev" localSheetId="1">[1]IS!$BB$70</definedName>
    <definedName name="ltmrev" localSheetId="4">#REF!</definedName>
    <definedName name="ltmrev" localSheetId="5">#REF!</definedName>
    <definedName name="ltmrev" localSheetId="7">#REF!</definedName>
    <definedName name="ltmrev" localSheetId="11">#REF!</definedName>
    <definedName name="ltmrev">#REF!</definedName>
    <definedName name="ltmrevgr" localSheetId="1">[1]IS!$BB$71</definedName>
    <definedName name="ltmrevgr" localSheetId="4">#REF!</definedName>
    <definedName name="ltmrevgr" localSheetId="5">#REF!</definedName>
    <definedName name="ltmrevgr" localSheetId="7">#REF!</definedName>
    <definedName name="ltmrevgr" localSheetId="11">#REF!</definedName>
    <definedName name="ltmrevgr">#REF!</definedName>
    <definedName name="ltmrndpct" localSheetId="1">[1]IS!$BB$81</definedName>
    <definedName name="ltmrndpct" localSheetId="4">#REF!</definedName>
    <definedName name="ltmrndpct" localSheetId="5">#REF!</definedName>
    <definedName name="ltmrndpct" localSheetId="7">#REF!</definedName>
    <definedName name="ltmrndpct" localSheetId="11">#REF!</definedName>
    <definedName name="ltmrndpct">#REF!</definedName>
    <definedName name="ltmroa" localSheetId="1">[1]BS!$BB$53</definedName>
    <definedName name="ltmroa" localSheetId="4">#REF!</definedName>
    <definedName name="ltmroa" localSheetId="5">#REF!</definedName>
    <definedName name="ltmroa" localSheetId="7">#REF!</definedName>
    <definedName name="ltmroa" localSheetId="11">#REF!</definedName>
    <definedName name="ltmroa">#REF!</definedName>
    <definedName name="ltmroe" localSheetId="1">[1]BS!$BB$57</definedName>
    <definedName name="ltmroe" localSheetId="4">#REF!</definedName>
    <definedName name="ltmroe" localSheetId="5">#REF!</definedName>
    <definedName name="ltmroe" localSheetId="7">#REF!</definedName>
    <definedName name="ltmroe" localSheetId="11">#REF!</definedName>
    <definedName name="ltmroe">#REF!</definedName>
    <definedName name="ltmspe" localSheetId="1">[1]IS!$AY$62</definedName>
    <definedName name="ltmspe" localSheetId="4">#REF!</definedName>
    <definedName name="ltmspe" localSheetId="5">#REF!</definedName>
    <definedName name="ltmspe" localSheetId="7">#REF!</definedName>
    <definedName name="ltmspe" localSheetId="11">#REF!</definedName>
    <definedName name="ltmspe">#REF!</definedName>
    <definedName name="ltmspegr" localSheetId="1">[1]IS!$AY$63</definedName>
    <definedName name="ltmspegr" localSheetId="4">#REF!</definedName>
    <definedName name="ltmspegr" localSheetId="5">#REF!</definedName>
    <definedName name="ltmspegr" localSheetId="7">#REF!</definedName>
    <definedName name="ltmspegr" localSheetId="11">#REF!</definedName>
    <definedName name="ltmspegr">#REF!</definedName>
    <definedName name="ltmspsqft" localSheetId="1">[1]IS!$AY$67</definedName>
    <definedName name="ltmspsqft" localSheetId="4">#REF!</definedName>
    <definedName name="ltmspsqft" localSheetId="5">#REF!</definedName>
    <definedName name="ltmspsqft" localSheetId="7">#REF!</definedName>
    <definedName name="ltmspsqft" localSheetId="11">#REF!</definedName>
    <definedName name="ltmspsqft">#REF!</definedName>
    <definedName name="ltmspsqftgr" localSheetId="1">[1]IS!$AY$68</definedName>
    <definedName name="ltmspsqftgr" localSheetId="4">#REF!</definedName>
    <definedName name="ltmspsqftgr" localSheetId="5">#REF!</definedName>
    <definedName name="ltmspsqftgr" localSheetId="7">#REF!</definedName>
    <definedName name="ltmspsqftgr" localSheetId="11">#REF!</definedName>
    <definedName name="ltmspsqftgr">#REF!</definedName>
    <definedName name="ltmwcx" localSheetId="1">[1]BS!$BB$56</definedName>
    <definedName name="ltmwcx" localSheetId="4">#REF!</definedName>
    <definedName name="ltmwcx" localSheetId="5">#REF!</definedName>
    <definedName name="ltmwcx" localSheetId="7">#REF!</definedName>
    <definedName name="ltmwcx" localSheetId="11">#REF!</definedName>
    <definedName name="ltmwcx">#REF!</definedName>
    <definedName name="MARGIN" localSheetId="1">IF(ISBLANK(#REF!),"          NM",#REF!/#REF!)</definedName>
    <definedName name="MARGIN" localSheetId="3">IF(ISBLANK(#REF!),"          NM",#REF!/#REF!)</definedName>
    <definedName name="MARGIN" localSheetId="4">IF(ISBLANK(#REF!),"          NM",#REF!/#REF!)</definedName>
    <definedName name="MARGIN" localSheetId="5">IF(ISBLANK(#REF!),"          NM",#REF!/#REF!)</definedName>
    <definedName name="MARGIN" localSheetId="7">IF(ISBLANK(#REF!),"          NM",#REF!/#REF!)</definedName>
    <definedName name="MARGIN" localSheetId="11">IF(ISBLANK(#REF!),"          NM",#REF!/#REF!)</definedName>
    <definedName name="MARGIN" localSheetId="2">IF(ISBLANK(#REF!),"          NM",#REF!/#REF!)</definedName>
    <definedName name="MARGIN">IF(ISBLANK(#REF!),"          NM",#REF!/#REF!)</definedName>
    <definedName name="mgmtown" localSheetId="1">[1]IS!$AY$64</definedName>
    <definedName name="mgmtown" localSheetId="4">#REF!</definedName>
    <definedName name="mgmtown" localSheetId="5">#REF!</definedName>
    <definedName name="mgmtown" localSheetId="7">#REF!</definedName>
    <definedName name="mgmtown" localSheetId="11">#REF!</definedName>
    <definedName name="mgmtown">#REF!</definedName>
    <definedName name="mktcap" localSheetId="1">'[1]New Template'!$R$49</definedName>
    <definedName name="mktcap" localSheetId="4">#REF!</definedName>
    <definedName name="mktcap" localSheetId="5">#REF!</definedName>
    <definedName name="mktcap" localSheetId="7">#REF!</definedName>
    <definedName name="mktcap" localSheetId="11">#REF!</definedName>
    <definedName name="mktcap">#REF!</definedName>
    <definedName name="MonitorCol">1</definedName>
    <definedName name="MonitorRow">1</definedName>
    <definedName name="net00" localSheetId="1">[1]IS!$BI$39</definedName>
    <definedName name="net00" localSheetId="4">#REF!</definedName>
    <definedName name="net00" localSheetId="5">#REF!</definedName>
    <definedName name="net00" localSheetId="7">#REF!</definedName>
    <definedName name="net00" localSheetId="11">#REF!</definedName>
    <definedName name="net00">#REF!</definedName>
    <definedName name="nextq" localSheetId="1">[1]IS!$BC$47</definedName>
    <definedName name="nextq" localSheetId="4">#REF!</definedName>
    <definedName name="nextq" localSheetId="5">#REF!</definedName>
    <definedName name="nextq" localSheetId="7">#REF!</definedName>
    <definedName name="nextq" localSheetId="11">#REF!</definedName>
    <definedName name="nextq">#REF!</definedName>
    <definedName name="nextqy" localSheetId="1">[1]IS!$AX$47</definedName>
    <definedName name="nextqy" localSheetId="4">#REF!</definedName>
    <definedName name="nextqy" localSheetId="5">#REF!</definedName>
    <definedName name="nextqy" localSheetId="7">#REF!</definedName>
    <definedName name="nextqy" localSheetId="11">#REF!</definedName>
    <definedName name="nextqy">#REF!</definedName>
    <definedName name="opcagr" localSheetId="1">[1]IS!$AY$78</definedName>
    <definedName name="opcagr" localSheetId="4">#REF!</definedName>
    <definedName name="opcagr" localSheetId="5">#REF!</definedName>
    <definedName name="opcagr" localSheetId="7">#REF!</definedName>
    <definedName name="opcagr" localSheetId="11">#REF!</definedName>
    <definedName name="opcagr">#REF!</definedName>
    <definedName name="opcfnetinc" localSheetId="1">[1]CF!$BB$79</definedName>
    <definedName name="opcfnetinc" localSheetId="4">#REF!</definedName>
    <definedName name="opcfnetinc" localSheetId="5">#REF!</definedName>
    <definedName name="opcfnetinc" localSheetId="7">#REF!</definedName>
    <definedName name="opcfnetinc" localSheetId="11">#REF!</definedName>
    <definedName name="opcfnetinc">#REF!</definedName>
    <definedName name="opm00" localSheetId="1">[1]IS!$BI$21</definedName>
    <definedName name="opm00" localSheetId="4">#REF!</definedName>
    <definedName name="opm00" localSheetId="5">#REF!</definedName>
    <definedName name="opm00" localSheetId="7">#REF!</definedName>
    <definedName name="opm00" localSheetId="11">#REF!</definedName>
    <definedName name="opm00">#REF!</definedName>
    <definedName name="p_Depr" localSheetId="1">#REF!</definedName>
    <definedName name="p_Depr" localSheetId="4">#REF!</definedName>
    <definedName name="p_Depr" localSheetId="5">#REF!</definedName>
    <definedName name="p_Depr" localSheetId="7">#REF!</definedName>
    <definedName name="p_Depr" localSheetId="11">#REF!</definedName>
    <definedName name="p_Depr">#REF!</definedName>
    <definedName name="percent_of_revenue" localSheetId="1">IF(ISBLANK(#REF!),"          NM",#REF!/#REF!)</definedName>
    <definedName name="percent_of_revenue" localSheetId="3">IF(ISBLANK(#REF!),"          NM",#REF!/#REF!)</definedName>
    <definedName name="percent_of_revenue" localSheetId="4">IF(ISBLANK(#REF!),"          NM",#REF!/#REF!)</definedName>
    <definedName name="percent_of_revenue" localSheetId="5">IF(ISBLANK(#REF!),"          NM",#REF!/#REF!)</definedName>
    <definedName name="percent_of_revenue" localSheetId="7">IF(ISBLANK(#REF!),"          NM",#REF!/#REF!)</definedName>
    <definedName name="percent_of_revenue" localSheetId="11">IF(ISBLANK(#REF!),"          NM",#REF!/#REF!)</definedName>
    <definedName name="percent_of_revenue" localSheetId="2">IF(ISBLANK(#REF!),"          NM",#REF!/#REF!)</definedName>
    <definedName name="percent_of_revenue">IF(ISBLANK(#REF!),"          NM",#REF!/#REF!)</definedName>
    <definedName name="Pr_BalSh" localSheetId="4">#REF!</definedName>
    <definedName name="Pr_BalSh" localSheetId="5">#REF!</definedName>
    <definedName name="Pr_BalSh" localSheetId="7">#REF!</definedName>
    <definedName name="Pr_BalSh" localSheetId="11">#REF!</definedName>
    <definedName name="Pr_BalSh">#REF!</definedName>
    <definedName name="Pr_CapEx" localSheetId="4">#REF!</definedName>
    <definedName name="Pr_CapEx" localSheetId="5">#REF!</definedName>
    <definedName name="Pr_CapEx" localSheetId="7">#REF!</definedName>
    <definedName name="Pr_CapEx" localSheetId="11">#REF!</definedName>
    <definedName name="Pr_CapEx">#REF!</definedName>
    <definedName name="Pr_Consolidated" localSheetId="4">#REF!</definedName>
    <definedName name="Pr_Consolidated" localSheetId="5">#REF!</definedName>
    <definedName name="Pr_Consolidated" localSheetId="7">#REF!</definedName>
    <definedName name="Pr_Consolidated" localSheetId="11">#REF!</definedName>
    <definedName name="Pr_Consolidated">#REF!</definedName>
    <definedName name="Pr_Cover" localSheetId="4">#REF!</definedName>
    <definedName name="Pr_Cover" localSheetId="5">#REF!</definedName>
    <definedName name="Pr_Cover" localSheetId="7">#REF!</definedName>
    <definedName name="Pr_Cover" localSheetId="11">#REF!</definedName>
    <definedName name="Pr_Cover">#REF!</definedName>
    <definedName name="Pr_Equipment" localSheetId="1">#REF!</definedName>
    <definedName name="Pr_Equipment" localSheetId="4">#REF!</definedName>
    <definedName name="Pr_Equipment" localSheetId="5">#REF!</definedName>
    <definedName name="Pr_Equipment" localSheetId="7">#REF!</definedName>
    <definedName name="Pr_Equipment" localSheetId="11">#REF!</definedName>
    <definedName name="Pr_Equipment">#REF!</definedName>
    <definedName name="Pr_Expenses" localSheetId="4">#REF!</definedName>
    <definedName name="Pr_Expenses" localSheetId="5">#REF!</definedName>
    <definedName name="Pr_Expenses" localSheetId="7">#REF!</definedName>
    <definedName name="Pr_Expenses" localSheetId="11">#REF!</definedName>
    <definedName name="Pr_Expenses">#REF!</definedName>
    <definedName name="Pr_IncStmt" localSheetId="4">#REF!</definedName>
    <definedName name="Pr_IncStmt" localSheetId="5">#REF!</definedName>
    <definedName name="Pr_IncStmt" localSheetId="7">#REF!</definedName>
    <definedName name="Pr_IncStmt" localSheetId="11">#REF!</definedName>
    <definedName name="Pr_IncStmt">#REF!</definedName>
    <definedName name="Pr_SubProfPg1" localSheetId="1">#REF!</definedName>
    <definedName name="Pr_SubProfPg1" localSheetId="4">#REF!</definedName>
    <definedName name="Pr_SubProfPg1" localSheetId="5">#REF!</definedName>
    <definedName name="Pr_SubProfPg1" localSheetId="7">#REF!</definedName>
    <definedName name="Pr_SubProfPg1" localSheetId="11">#REF!</definedName>
    <definedName name="Pr_SubProfPg1">#REF!</definedName>
    <definedName name="Pr_SubProfPg2" localSheetId="1">#REF!</definedName>
    <definedName name="Pr_SubProfPg2" localSheetId="4">#REF!</definedName>
    <definedName name="Pr_SubProfPg2" localSheetId="5">#REF!</definedName>
    <definedName name="Pr_SubProfPg2" localSheetId="7">#REF!</definedName>
    <definedName name="Pr_SubProfPg2" localSheetId="11">#REF!</definedName>
    <definedName name="Pr_SubProfPg2">#REF!</definedName>
    <definedName name="Pr_SubProfPg3" localSheetId="4">#REF!</definedName>
    <definedName name="Pr_SubProfPg3" localSheetId="5">#REF!</definedName>
    <definedName name="Pr_SubProfPg3" localSheetId="7">#REF!</definedName>
    <definedName name="Pr_SubProfPg3" localSheetId="11">#REF!</definedName>
    <definedName name="Pr_SubProfPg3">#REF!</definedName>
    <definedName name="Pr_Subs" localSheetId="4">#REF!</definedName>
    <definedName name="Pr_Subs" localSheetId="5">#REF!</definedName>
    <definedName name="Pr_Subs" localSheetId="7">#REF!</definedName>
    <definedName name="Pr_Subs" localSheetId="11">#REF!</definedName>
    <definedName name="Pr_Subs">#REF!</definedName>
    <definedName name="price" localSheetId="1">'[1]New Template'!$H$6</definedName>
    <definedName name="price" localSheetId="4">#REF!</definedName>
    <definedName name="price" localSheetId="5">#REF!</definedName>
    <definedName name="price" localSheetId="7">#REF!</definedName>
    <definedName name="price" localSheetId="11">#REF!</definedName>
    <definedName name="price">#REF!</definedName>
    <definedName name="_xlnm.Print_Area" localSheetId="6">'Billings &amp; Recs'!$B$2:$BP$42</definedName>
    <definedName name="_xlnm.Print_Area" localSheetId="3">BS!$B$2:$BU$61</definedName>
    <definedName name="_xlnm.Print_Area" localSheetId="4">CF!$B$2:$BU$81</definedName>
    <definedName name="_xlnm.Print_Area" localSheetId="8">Geos!$B$3:$BH$33</definedName>
    <definedName name="_xlnm.Print_Area" localSheetId="5">IS!$B$19:$BU$133</definedName>
    <definedName name="_xlnm.Print_Area" localSheetId="7">Metrics!$B$2:$BK$24,Metrics!$B$26:$BK$55</definedName>
    <definedName name="_xlnm.Print_Area" localSheetId="11">'OLD Data'!$B$2:$C$27</definedName>
    <definedName name="_xlnm.Print_Area" localSheetId="9">Preview!$D$14:$H$35</definedName>
    <definedName name="_xlnm.Print_Area" localSheetId="2">Variance!$B$2:$Q$102</definedName>
    <definedName name="Print_Area_MI" localSheetId="1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7">#REF!</definedName>
    <definedName name="Print_Area_MI" localSheetId="11">#REF!</definedName>
    <definedName name="Print_Area_MI" localSheetId="2">#REF!</definedName>
    <definedName name="Print_Area_MI">#REF!</definedName>
    <definedName name="print_bs" localSheetId="1">#REF!</definedName>
    <definedName name="print_bs" localSheetId="4">#REF!</definedName>
    <definedName name="print_bs" localSheetId="5">#REF!</definedName>
    <definedName name="print_bs" localSheetId="7">#REF!</definedName>
    <definedName name="print_bs" localSheetId="11">#REF!</definedName>
    <definedName name="print_bs">#REF!</definedName>
    <definedName name="print_cf" localSheetId="1">#REF!</definedName>
    <definedName name="print_cf" localSheetId="4">#REF!</definedName>
    <definedName name="print_cf" localSheetId="5">#REF!</definedName>
    <definedName name="print_cf" localSheetId="7">#REF!</definedName>
    <definedName name="print_cf" localSheetId="11">#REF!</definedName>
    <definedName name="print_cf">#REF!</definedName>
    <definedName name="print_pl" localSheetId="4">#REF!</definedName>
    <definedName name="print_pl" localSheetId="5">#REF!</definedName>
    <definedName name="print_pl" localSheetId="7">#REF!</definedName>
    <definedName name="print_pl" localSheetId="11">#REF!</definedName>
    <definedName name="print_pl">#REF!</definedName>
    <definedName name="print_value" localSheetId="4">#REF!</definedName>
    <definedName name="print_value" localSheetId="5">#REF!</definedName>
    <definedName name="print_value" localSheetId="7">#REF!</definedName>
    <definedName name="print_value" localSheetId="11">#REF!</definedName>
    <definedName name="print_value">#REF!</definedName>
    <definedName name="proj" localSheetId="1">'[2]Print Controls'!#REF!</definedName>
    <definedName name="proj" localSheetId="4">'[2]Print Controls'!#REF!</definedName>
    <definedName name="proj" localSheetId="5">'[2]Print Controls'!#REF!</definedName>
    <definedName name="proj" localSheetId="7">'[2]Print Controls'!#REF!</definedName>
    <definedName name="proj" localSheetId="11">'[2]Print Controls'!#REF!</definedName>
    <definedName name="proj">'[2]Print Controls'!#REF!</definedName>
    <definedName name="QOQ" localSheetId="1">IF(ISBLANK(#REF!), IF(#REF!&lt;=0,"         NM",(#REF!/#REF!)-1),IF(#REF!&lt;=0,"         NM",(#REF!/#REF!)-1))</definedName>
    <definedName name="QOQ" localSheetId="3">IF(ISBLANK(#REF!), IF(#REF!&lt;=0,"         NM",(#REF!/#REF!)-1),IF(#REF!&lt;=0,"         NM",(#REF!/#REF!)-1))</definedName>
    <definedName name="QOQ" localSheetId="4">IF(ISBLANK(#REF!), IF(#REF!&lt;=0,"         NM",(#REF!/#REF!)-1),IF(#REF!&lt;=0,"         NM",(#REF!/#REF!)-1))</definedName>
    <definedName name="QOQ" localSheetId="5">IF(ISBLANK(#REF!), IF(#REF!&lt;=0,"         NM",(#REF!/#REF!)-1),IF(#REF!&lt;=0,"         NM",(#REF!/#REF!)-1))</definedName>
    <definedName name="QOQ" localSheetId="7">IF(ISBLANK(#REF!), IF(#REF!&lt;=0,"         NM",(#REF!/#REF!)-1),IF(#REF!&lt;=0,"         NM",(#REF!/#REF!)-1))</definedName>
    <definedName name="QOQ" localSheetId="11">IF(ISBLANK(#REF!), IF(#REF!&lt;=0,"         NM",(#REF!/#REF!)-1),IF(#REF!&lt;=0,"         NM",(#REF!/#REF!)-1))</definedName>
    <definedName name="QOQ">IF(ISBLANK(#REF!), IF(#REF!&lt;=0,"         NM",(#REF!/#REF!)-1),IF(#REF!&lt;=0,"         NM",(#REF!/#REF!)-1))</definedName>
    <definedName name="QOQM" localSheetId="1">IF(ISBLANK(#REF!),IF(#REF!=0,"NM",(#REF!/#REF!)-1),IF(#REF!=0,"NM",(#REF!/#REF!)-1))</definedName>
    <definedName name="QOQM" localSheetId="4">IF(ISBLANK(#REF!),IF(#REF!=0,"NM",(#REF!/#REF!)-1),IF(#REF!=0,"NM",(#REF!/#REF!)-1))</definedName>
    <definedName name="QOQM" localSheetId="5">IF(ISBLANK(#REF!),IF(#REF!=0,"NM",(#REF!/#REF!)-1),IF(#REF!=0,"NM",(#REF!/#REF!)-1))</definedName>
    <definedName name="QOQM" localSheetId="7">IF(ISBLANK(#REF!),IF(#REF!=0,"NM",(#REF!/#REF!)-1),IF(#REF!=0,"NM",(#REF!/#REF!)-1))</definedName>
    <definedName name="QOQM" localSheetId="11">IF(ISBLANK(#REF!),IF(#REF!=0,"NM",(#REF!/#REF!)-1),IF(#REF!=0,"NM",(#REF!/#REF!)-1))</definedName>
    <definedName name="QOQM">IF(ISBLANK(#REF!),IF(#REF!=0,"NM",(#REF!/#REF!)-1),IF(#REF!=0,"NM",(#REF!/#REF!)-1))</definedName>
    <definedName name="rating" localSheetId="1">'[1]New Template'!$B$6</definedName>
    <definedName name="rating" localSheetId="4">#REF!</definedName>
    <definedName name="rating" localSheetId="5">#REF!</definedName>
    <definedName name="rating" localSheetId="7">#REF!</definedName>
    <definedName name="rating" localSheetId="11">#REF!</definedName>
    <definedName name="rating">#REF!</definedName>
    <definedName name="ret" localSheetId="1">#REF!</definedName>
    <definedName name="ret" localSheetId="4">#REF!</definedName>
    <definedName name="ret" localSheetId="5">#REF!</definedName>
    <definedName name="ret" localSheetId="7">#REF!</definedName>
    <definedName name="ret" localSheetId="11">#REF!</definedName>
    <definedName name="ret">#REF!</definedName>
    <definedName name="rev00" localSheetId="4">#REF!</definedName>
    <definedName name="rev00" localSheetId="5">#REF!</definedName>
    <definedName name="rev00" localSheetId="7">#REF!</definedName>
    <definedName name="rev00" localSheetId="11">#REF!</definedName>
    <definedName name="rev00">#REF!</definedName>
    <definedName name="revchg00" localSheetId="4">#REF!</definedName>
    <definedName name="revchg00" localSheetId="5">#REF!</definedName>
    <definedName name="revchg00" localSheetId="7">#REF!</definedName>
    <definedName name="revchg00" localSheetId="11">#REF!</definedName>
    <definedName name="revchg00">#REF!</definedName>
    <definedName name="revchg97" localSheetId="4">#REF!</definedName>
    <definedName name="revchg97" localSheetId="5">#REF!</definedName>
    <definedName name="revchg97" localSheetId="7">#REF!</definedName>
    <definedName name="revchg97" localSheetId="11">#REF!</definedName>
    <definedName name="revchg97">#REF!</definedName>
    <definedName name="revchg98" localSheetId="4">#REF!</definedName>
    <definedName name="revchg98" localSheetId="5">#REF!</definedName>
    <definedName name="revchg98" localSheetId="7">#REF!</definedName>
    <definedName name="revchg98" localSheetId="11">#REF!</definedName>
    <definedName name="revchg98">#REF!</definedName>
    <definedName name="revchg99" localSheetId="4">#REF!</definedName>
    <definedName name="revchg99" localSheetId="5">#REF!</definedName>
    <definedName name="revchg99" localSheetId="7">#REF!</definedName>
    <definedName name="revchg99" localSheetId="11">#REF!</definedName>
    <definedName name="revchg99">#REF!</definedName>
    <definedName name="risk" localSheetId="4">#REF!</definedName>
    <definedName name="risk" localSheetId="5">#REF!</definedName>
    <definedName name="risk" localSheetId="7">#REF!</definedName>
    <definedName name="risk" localSheetId="11">#REF!</definedName>
    <definedName name="risk">#REF!</definedName>
    <definedName name="RPREF" localSheetId="1">#REF!</definedName>
    <definedName name="RPREF" localSheetId="4">#REF!</definedName>
    <definedName name="RPREF" localSheetId="5">#REF!</definedName>
    <definedName name="RPREF" localSheetId="7">#REF!</definedName>
    <definedName name="RPREF" localSheetId="11">#REF!</definedName>
    <definedName name="RPREF">#REF!</definedName>
    <definedName name="RSUB" localSheetId="1">#REF!</definedName>
    <definedName name="RSUB" localSheetId="4">#REF!</definedName>
    <definedName name="RSUB" localSheetId="5">#REF!</definedName>
    <definedName name="RSUB" localSheetId="7">#REF!</definedName>
    <definedName name="RSUB" localSheetId="11">#REF!</definedName>
    <definedName name="RSUB">#REF!</definedName>
    <definedName name="sales00" localSheetId="1">[1]IS!$BI$7</definedName>
    <definedName name="sales00" localSheetId="4">#REF!</definedName>
    <definedName name="sales00" localSheetId="5">#REF!</definedName>
    <definedName name="sales00" localSheetId="7">#REF!</definedName>
    <definedName name="sales00" localSheetId="11">#REF!</definedName>
    <definedName name="sales00">#REF!</definedName>
    <definedName name="sales96" localSheetId="1">[1]IS!$AO$7</definedName>
    <definedName name="sales96" localSheetId="4">#REF!</definedName>
    <definedName name="sales96" localSheetId="5">#REF!</definedName>
    <definedName name="sales96" localSheetId="7">#REF!</definedName>
    <definedName name="sales96" localSheetId="11">#REF!</definedName>
    <definedName name="sales96">#REF!</definedName>
    <definedName name="sales97" localSheetId="1">[1]IS!$AT$7</definedName>
    <definedName name="sales97" localSheetId="4">#REF!</definedName>
    <definedName name="sales97" localSheetId="5">#REF!</definedName>
    <definedName name="sales97" localSheetId="7">#REF!</definedName>
    <definedName name="sales97" localSheetId="11">#REF!</definedName>
    <definedName name="sales97">#REF!</definedName>
    <definedName name="sales98" localSheetId="1">[1]IS!$AY$7</definedName>
    <definedName name="sales98" localSheetId="4">#REF!</definedName>
    <definedName name="sales98" localSheetId="5">#REF!</definedName>
    <definedName name="sales98" localSheetId="7">#REF!</definedName>
    <definedName name="sales98" localSheetId="11">#REF!</definedName>
    <definedName name="sales98">#REF!</definedName>
    <definedName name="sales99" localSheetId="1">[1]IS!$BD$7</definedName>
    <definedName name="sales99" localSheetId="4">#REF!</definedName>
    <definedName name="sales99" localSheetId="5">#REF!</definedName>
    <definedName name="sales99" localSheetId="7">#REF!</definedName>
    <definedName name="sales99" localSheetId="11">#REF!</definedName>
    <definedName name="sales99">#REF!</definedName>
    <definedName name="salesg" localSheetId="1">#REF!</definedName>
    <definedName name="salesg" localSheetId="4">#REF!</definedName>
    <definedName name="salesg" localSheetId="5">#REF!</definedName>
    <definedName name="salesg" localSheetId="7">#REF!</definedName>
    <definedName name="salesg" localSheetId="11">#REF!</definedName>
    <definedName name="salesg">#REF!</definedName>
    <definedName name="salesg00" localSheetId="4">#REF!</definedName>
    <definedName name="salesg00" localSheetId="5">#REF!</definedName>
    <definedName name="salesg00" localSheetId="7">#REF!</definedName>
    <definedName name="salesg00" localSheetId="11">#REF!</definedName>
    <definedName name="salesg00">#REF!</definedName>
    <definedName name="salesg98" localSheetId="4">#REF!</definedName>
    <definedName name="salesg98" localSheetId="5">#REF!</definedName>
    <definedName name="salesg98" localSheetId="7">#REF!</definedName>
    <definedName name="salesg98" localSheetId="11">#REF!</definedName>
    <definedName name="salesg98">#REF!</definedName>
    <definedName name="salesg99" localSheetId="4">#REF!</definedName>
    <definedName name="salesg99" localSheetId="5">#REF!</definedName>
    <definedName name="salesg99" localSheetId="7">#REF!</definedName>
    <definedName name="salesg99" localSheetId="11">#REF!</definedName>
    <definedName name="salesg99">#REF!</definedName>
    <definedName name="shares" localSheetId="1">[1]IS!$BB$46</definedName>
    <definedName name="shares" localSheetId="4">#REF!</definedName>
    <definedName name="shares" localSheetId="5">#REF!</definedName>
    <definedName name="shares" localSheetId="7">#REF!</definedName>
    <definedName name="shares" localSheetId="11">#REF!</definedName>
    <definedName name="shares">#REF!</definedName>
    <definedName name="system_incomestatement">[1]IS!$A$1:$BI$158</definedName>
    <definedName name="tar" localSheetId="1">'[2]Print Controls'!#REF!</definedName>
    <definedName name="tar" localSheetId="4">'[2]Print Controls'!#REF!</definedName>
    <definedName name="tar" localSheetId="5">'[2]Print Controls'!#REF!</definedName>
    <definedName name="tar" localSheetId="7">'[2]Print Controls'!#REF!</definedName>
    <definedName name="tar" localSheetId="11">'[2]Print Controls'!#REF!</definedName>
    <definedName name="tar" localSheetId="2">'[2]Print Controls'!#REF!</definedName>
    <definedName name="tar">'[2]Print Controls'!#REF!</definedName>
    <definedName name="target" localSheetId="1">#REF!</definedName>
    <definedName name="target" localSheetId="3">#REF!</definedName>
    <definedName name="target" localSheetId="4">#REF!</definedName>
    <definedName name="target" localSheetId="5">#REF!</definedName>
    <definedName name="target" localSheetId="7">#REF!</definedName>
    <definedName name="target" localSheetId="11">#REF!</definedName>
    <definedName name="target" localSheetId="2">#REF!</definedName>
    <definedName name="target">#REF!</definedName>
    <definedName name="targmult" localSheetId="1">'[1]New Template'!$F$60</definedName>
    <definedName name="targmult" localSheetId="4">#REF!</definedName>
    <definedName name="targmult" localSheetId="5">#REF!</definedName>
    <definedName name="targmult" localSheetId="7">#REF!</definedName>
    <definedName name="targmult" localSheetId="11">#REF!</definedName>
    <definedName name="targmult">#REF!</definedName>
    <definedName name="tax00" localSheetId="1">[1]IS!$BI$31</definedName>
    <definedName name="tax00" localSheetId="4">#REF!</definedName>
    <definedName name="tax00" localSheetId="5">#REF!</definedName>
    <definedName name="tax00" localSheetId="7">#REF!</definedName>
    <definedName name="tax00" localSheetId="11">#REF!</definedName>
    <definedName name="tax00">#REF!</definedName>
    <definedName name="tech" localSheetId="1">#REF!</definedName>
    <definedName name="tech" localSheetId="4">#REF!</definedName>
    <definedName name="tech" localSheetId="5">#REF!</definedName>
    <definedName name="tech" localSheetId="7">#REF!</definedName>
    <definedName name="tech" localSheetId="11">#REF!</definedName>
    <definedName name="tech">#REF!</definedName>
    <definedName name="totala" localSheetId="1">[1]BS!$BB$21</definedName>
    <definedName name="totala" localSheetId="4">#REF!</definedName>
    <definedName name="totala" localSheetId="5">#REF!</definedName>
    <definedName name="totala" localSheetId="7">#REF!</definedName>
    <definedName name="totala" localSheetId="11">#REF!</definedName>
    <definedName name="totala">#REF!</definedName>
    <definedName name="totall" localSheetId="1">[1]BS!$BB$39</definedName>
    <definedName name="totall" localSheetId="4">#REF!</definedName>
    <definedName name="totall" localSheetId="5">#REF!</definedName>
    <definedName name="totall" localSheetId="7">#REF!</definedName>
    <definedName name="totall" localSheetId="11">#REF!</definedName>
    <definedName name="totall">#REF!</definedName>
    <definedName name="trc_CFPSGROWTH5YR" localSheetId="1">#REF!</definedName>
    <definedName name="trc_CFPSGROWTH5YR" localSheetId="4">#REF!</definedName>
    <definedName name="trc_CFPSGROWTH5YR" localSheetId="5">#REF!</definedName>
    <definedName name="trc_CFPSGROWTH5YR" localSheetId="7">#REF!</definedName>
    <definedName name="trc_CFPSGROWTH5YR" localSheetId="11">#REF!</definedName>
    <definedName name="trc_CFPSGROWTH5YR">#REF!</definedName>
    <definedName name="trc_CFPSGRWPRV5YR" localSheetId="4">#REF!</definedName>
    <definedName name="trc_CFPSGRWPRV5YR" localSheetId="5">#REF!</definedName>
    <definedName name="trc_CFPSGRWPRV5YR" localSheetId="7">#REF!</definedName>
    <definedName name="trc_CFPSGRWPRV5YR" localSheetId="11">#REF!</definedName>
    <definedName name="trc_CFPSGRWPRV5YR">#REF!</definedName>
    <definedName name="trc_CurFY" localSheetId="4">#REF!</definedName>
    <definedName name="trc_CurFY" localSheetId="5">#REF!</definedName>
    <definedName name="trc_CurFY" localSheetId="7">#REF!</definedName>
    <definedName name="trc_CurFY" localSheetId="11">#REF!</definedName>
    <definedName name="trc_CurFY">#REF!</definedName>
    <definedName name="trc_DIVGROWTH5YR" localSheetId="4">#REF!</definedName>
    <definedName name="trc_DIVGROWTH5YR" localSheetId="5">#REF!</definedName>
    <definedName name="trc_DIVGROWTH5YR" localSheetId="7">#REF!</definedName>
    <definedName name="trc_DIVGROWTH5YR" localSheetId="11">#REF!</definedName>
    <definedName name="trc_DIVGROWTH5YR">#REF!</definedName>
    <definedName name="trc_DIVGRWPRV5YR" localSheetId="4">#REF!</definedName>
    <definedName name="trc_DIVGRWPRV5YR" localSheetId="5">#REF!</definedName>
    <definedName name="trc_DIVGRWPRV5YR" localSheetId="7">#REF!</definedName>
    <definedName name="trc_DIVGRWPRV5YR" localSheetId="11">#REF!</definedName>
    <definedName name="trc_DIVGRWPRV5YR">#REF!</definedName>
    <definedName name="trc_DocID" localSheetId="4">#REF!</definedName>
    <definedName name="trc_DocID" localSheetId="5">#REF!</definedName>
    <definedName name="trc_DocID" localSheetId="7">#REF!</definedName>
    <definedName name="trc_DocID" localSheetId="11">#REF!</definedName>
    <definedName name="trc_DocID">#REF!</definedName>
    <definedName name="trc_EBITDAGROWTH5YR" localSheetId="4">#REF!</definedName>
    <definedName name="trc_EBITDAGROWTH5YR" localSheetId="5">#REF!</definedName>
    <definedName name="trc_EBITDAGROWTH5YR" localSheetId="7">#REF!</definedName>
    <definedName name="trc_EBITDAGROWTH5YR" localSheetId="11">#REF!</definedName>
    <definedName name="trc_EBITDAGROWTH5YR">#REF!</definedName>
    <definedName name="trc_EBITDAGRWPRV5YR" localSheetId="4">#REF!</definedName>
    <definedName name="trc_EBITDAGRWPRV5YR" localSheetId="5">#REF!</definedName>
    <definedName name="trc_EBITDAGRWPRV5YR" localSheetId="7">#REF!</definedName>
    <definedName name="trc_EBITDAGRWPRV5YR" localSheetId="11">#REF!</definedName>
    <definedName name="trc_EBITDAGRWPRV5YR">#REF!</definedName>
    <definedName name="trc_EBITNXT5" localSheetId="4">#REF!</definedName>
    <definedName name="trc_EBITNXT5" localSheetId="5">#REF!</definedName>
    <definedName name="trc_EBITNXT5" localSheetId="7">#REF!</definedName>
    <definedName name="trc_EBITNXT5" localSheetId="11">#REF!</definedName>
    <definedName name="trc_EBITNXT5">#REF!</definedName>
    <definedName name="trc_EBITPRV5" localSheetId="4">#REF!</definedName>
    <definedName name="trc_EBITPRV5" localSheetId="5">#REF!</definedName>
    <definedName name="trc_EBITPRV5" localSheetId="7">#REF!</definedName>
    <definedName name="trc_EBITPRV5" localSheetId="11">#REF!</definedName>
    <definedName name="trc_EBITPRV5">#REF!</definedName>
    <definedName name="trc_EPSGRWPRV5YR" localSheetId="4">#REF!</definedName>
    <definedName name="trc_EPSGRWPRV5YR" localSheetId="5">#REF!</definedName>
    <definedName name="trc_EPSGRWPRV5YR" localSheetId="7">#REF!</definedName>
    <definedName name="trc_EPSGRWPRV5YR" localSheetId="11">#REF!</definedName>
    <definedName name="trc_EPSGRWPRV5YR">#REF!</definedName>
    <definedName name="trc_Flavor" localSheetId="4">#REF!</definedName>
    <definedName name="trc_Flavor" localSheetId="5">#REF!</definedName>
    <definedName name="trc_Flavor" localSheetId="7">#REF!</definedName>
    <definedName name="trc_Flavor" localSheetId="11">#REF!</definedName>
    <definedName name="trc_Flavor">#REF!</definedName>
    <definedName name="trc_NETGROWTH5YR" localSheetId="4">#REF!</definedName>
    <definedName name="trc_NETGROWTH5YR" localSheetId="5">#REF!</definedName>
    <definedName name="trc_NETGROWTH5YR" localSheetId="7">#REF!</definedName>
    <definedName name="trc_NETGROWTH5YR" localSheetId="11">#REF!</definedName>
    <definedName name="trc_NETGROWTH5YR">#REF!</definedName>
    <definedName name="trc_NETGRWPRV5YR" localSheetId="4">#REF!</definedName>
    <definedName name="trc_NETGRWPRV5YR" localSheetId="5">#REF!</definedName>
    <definedName name="trc_NETGRWPRV5YR" localSheetId="7">#REF!</definedName>
    <definedName name="trc_NETGRWPRV5YR" localSheetId="11">#REF!</definedName>
    <definedName name="trc_NETGRWPRV5YR">#REF!</definedName>
    <definedName name="trc_QDType" localSheetId="4">#REF!</definedName>
    <definedName name="trc_QDType" localSheetId="5">#REF!</definedName>
    <definedName name="trc_QDType" localSheetId="7">#REF!</definedName>
    <definedName name="trc_QDType" localSheetId="11">#REF!</definedName>
    <definedName name="trc_QDType">#REF!</definedName>
    <definedName name="trc_RATING" localSheetId="4">#REF!</definedName>
    <definedName name="trc_RATING" localSheetId="5">#REF!</definedName>
    <definedName name="trc_RATING" localSheetId="7">#REF!</definedName>
    <definedName name="trc_RATING" localSheetId="11">#REF!</definedName>
    <definedName name="trc_RATING">#REF!</definedName>
    <definedName name="trc_ReleaseDate" localSheetId="4">#REF!</definedName>
    <definedName name="trc_ReleaseDate" localSheetId="5">#REF!</definedName>
    <definedName name="trc_ReleaseDate" localSheetId="7">#REF!</definedName>
    <definedName name="trc_ReleaseDate" localSheetId="11">#REF!</definedName>
    <definedName name="trc_ReleaseDate">#REF!</definedName>
    <definedName name="trc_REVGROWTH5YR" localSheetId="4">#REF!</definedName>
    <definedName name="trc_REVGROWTH5YR" localSheetId="5">#REF!</definedName>
    <definedName name="trc_REVGROWTH5YR" localSheetId="7">#REF!</definedName>
    <definedName name="trc_REVGROWTH5YR" localSheetId="11">#REF!</definedName>
    <definedName name="trc_REVGROWTH5YR">#REF!</definedName>
    <definedName name="trc_REVGRWPRV5YR" localSheetId="4">#REF!</definedName>
    <definedName name="trc_REVGRWPRV5YR" localSheetId="5">#REF!</definedName>
    <definedName name="trc_REVGRWPRV5YR" localSheetId="7">#REF!</definedName>
    <definedName name="trc_REVGRWPRV5YR" localSheetId="11">#REF!</definedName>
    <definedName name="trc_REVGRWPRV5YR">#REF!</definedName>
    <definedName name="trc_RISK" localSheetId="4">#REF!</definedName>
    <definedName name="trc_RISK" localSheetId="5">#REF!</definedName>
    <definedName name="trc_RISK" localSheetId="7">#REF!</definedName>
    <definedName name="trc_RISK" localSheetId="11">#REF!</definedName>
    <definedName name="trc_RISK">#REF!</definedName>
    <definedName name="trc_SHARESOUT" localSheetId="4">#REF!</definedName>
    <definedName name="trc_SHARESOUT" localSheetId="5">#REF!</definedName>
    <definedName name="trc_SHARESOUT" localSheetId="7">#REF!</definedName>
    <definedName name="trc_SHARESOUT" localSheetId="11">#REF!</definedName>
    <definedName name="trc_SHARESOUT">#REF!</definedName>
    <definedName name="trc_SHROUTGROWTH5YR" localSheetId="4">#REF!</definedName>
    <definedName name="trc_SHROUTGROWTH5YR" localSheetId="5">#REF!</definedName>
    <definedName name="trc_SHROUTGROWTH5YR" localSheetId="7">#REF!</definedName>
    <definedName name="trc_SHROUTGROWTH5YR" localSheetId="11">#REF!</definedName>
    <definedName name="trc_SHROUTGROWTH5YR">#REF!</definedName>
    <definedName name="trc_SHROUTGRWPRV5YR" localSheetId="4">#REF!</definedName>
    <definedName name="trc_SHROUTGRWPRV5YR" localSheetId="5">#REF!</definedName>
    <definedName name="trc_SHROUTGRWPRV5YR" localSheetId="7">#REF!</definedName>
    <definedName name="trc_SHROUTGRWPRV5YR" localSheetId="11">#REF!</definedName>
    <definedName name="trc_SHROUTGRWPRV5YR">#REF!</definedName>
    <definedName name="trc_submitter" localSheetId="4">#REF!</definedName>
    <definedName name="trc_submitter" localSheetId="5">#REF!</definedName>
    <definedName name="trc_submitter" localSheetId="7">#REF!</definedName>
    <definedName name="trc_submitter" localSheetId="11">#REF!</definedName>
    <definedName name="trc_submitter">#REF!</definedName>
    <definedName name="trc_submittername" localSheetId="4">#REF!</definedName>
    <definedName name="trc_submittername" localSheetId="5">#REF!</definedName>
    <definedName name="trc_submittername" localSheetId="7">#REF!</definedName>
    <definedName name="trc_submittername" localSheetId="11">#REF!</definedName>
    <definedName name="trc_submittername">#REF!</definedName>
    <definedName name="trc_TARGET" localSheetId="4">#REF!</definedName>
    <definedName name="trc_TARGET" localSheetId="5">#REF!</definedName>
    <definedName name="trc_TARGET" localSheetId="7">#REF!</definedName>
    <definedName name="trc_TARGET" localSheetId="11">#REF!</definedName>
    <definedName name="trc_TARGET">#REF!</definedName>
    <definedName name="trc_TemplateID" localSheetId="4">#REF!</definedName>
    <definedName name="trc_TemplateID" localSheetId="5">#REF!</definedName>
    <definedName name="trc_TemplateID" localSheetId="7">#REF!</definedName>
    <definedName name="trc_TemplateID" localSheetId="11">#REF!</definedName>
    <definedName name="trc_TemplateID">#REF!</definedName>
    <definedName name="trc_TEV" localSheetId="4">#REF!</definedName>
    <definedName name="trc_TEV" localSheetId="5">#REF!</definedName>
    <definedName name="trc_TEV" localSheetId="7">#REF!</definedName>
    <definedName name="trc_TEV" localSheetId="11">#REF!</definedName>
    <definedName name="trc_TEV">#REF!</definedName>
    <definedName name="trc_Ticker" localSheetId="4">#REF!</definedName>
    <definedName name="trc_Ticker" localSheetId="5">#REF!</definedName>
    <definedName name="trc_Ticker" localSheetId="7">#REF!</definedName>
    <definedName name="trc_Ticker" localSheetId="11">#REF!</definedName>
    <definedName name="trc_Ticker">#REF!</definedName>
    <definedName name="trc_Version" localSheetId="4">#REF!</definedName>
    <definedName name="trc_Version" localSheetId="5">#REF!</definedName>
    <definedName name="trc_Version" localSheetId="7">#REF!</definedName>
    <definedName name="trc_Version" localSheetId="11">#REF!</definedName>
    <definedName name="trc_Version">#REF!</definedName>
    <definedName name="trc_XLS_DATASHEET_ProtectDate" localSheetId="1">36881.4624884259</definedName>
    <definedName name="trc_XLS_DATASHEET_ProtectDate">36881.4996875</definedName>
    <definedName name="trc_Y1" localSheetId="4">#REF!</definedName>
    <definedName name="trc_Y1" localSheetId="5">#REF!</definedName>
    <definedName name="trc_Y1" localSheetId="7">#REF!</definedName>
    <definedName name="trc_Y1" localSheetId="11">#REF!</definedName>
    <definedName name="trc_Y1">#REF!</definedName>
    <definedName name="trc_Y1COMMONEQ" localSheetId="4">#REF!</definedName>
    <definedName name="trc_Y1COMMONEQ" localSheetId="5">#REF!</definedName>
    <definedName name="trc_Y1COMMONEQ" localSheetId="7">#REF!</definedName>
    <definedName name="trc_Y1COMMONEQ" localSheetId="11">#REF!</definedName>
    <definedName name="trc_Y1COMMONEQ">#REF!</definedName>
    <definedName name="trc_Y1DILSHR" localSheetId="4">#REF!</definedName>
    <definedName name="trc_Y1DILSHR" localSheetId="5">#REF!</definedName>
    <definedName name="trc_Y1DILSHR" localSheetId="7">#REF!</definedName>
    <definedName name="trc_Y1DILSHR" localSheetId="11">#REF!</definedName>
    <definedName name="trc_Y1DILSHR">#REF!</definedName>
    <definedName name="trc_Y1DPS" localSheetId="4">#REF!</definedName>
    <definedName name="trc_Y1DPS" localSheetId="5">#REF!</definedName>
    <definedName name="trc_Y1DPS" localSheetId="7">#REF!</definedName>
    <definedName name="trc_Y1DPS" localSheetId="11">#REF!</definedName>
    <definedName name="trc_Y1DPS">#REF!</definedName>
    <definedName name="trc_Y1EBIT" localSheetId="4">#REF!</definedName>
    <definedName name="trc_Y1EBIT" localSheetId="5">#REF!</definedName>
    <definedName name="trc_Y1EBIT" localSheetId="7">#REF!</definedName>
    <definedName name="trc_Y1EBIT" localSheetId="11">#REF!</definedName>
    <definedName name="trc_Y1EBIT">#REF!</definedName>
    <definedName name="trc_Y1EBITDA" localSheetId="4">#REF!</definedName>
    <definedName name="trc_Y1EBITDA" localSheetId="5">#REF!</definedName>
    <definedName name="trc_Y1EBITDA" localSheetId="7">#REF!</definedName>
    <definedName name="trc_Y1EBITDA" localSheetId="11">#REF!</definedName>
    <definedName name="trc_Y1EBITDA">#REF!</definedName>
    <definedName name="trc_Y1FREE_CFPS" localSheetId="4">#REF!</definedName>
    <definedName name="trc_Y1FREE_CFPS" localSheetId="5">#REF!</definedName>
    <definedName name="trc_Y1FREE_CFPS" localSheetId="7">#REF!</definedName>
    <definedName name="trc_Y1FREE_CFPS" localSheetId="11">#REF!</definedName>
    <definedName name="trc_Y1FREE_CFPS">#REF!</definedName>
    <definedName name="trc_Y1LTDEBT" localSheetId="4">#REF!</definedName>
    <definedName name="trc_Y1LTDEBT" localSheetId="5">#REF!</definedName>
    <definedName name="trc_Y1LTDEBT" localSheetId="7">#REF!</definedName>
    <definedName name="trc_Y1LTDEBT" localSheetId="11">#REF!</definedName>
    <definedName name="trc_Y1LTDEBT">#REF!</definedName>
    <definedName name="trc_Y1NETINC" localSheetId="4">#REF!</definedName>
    <definedName name="trc_Y1NETINC" localSheetId="5">#REF!</definedName>
    <definedName name="trc_Y1NETINC" localSheetId="7">#REF!</definedName>
    <definedName name="trc_Y1NETINC" localSheetId="11">#REF!</definedName>
    <definedName name="trc_Y1NETINC">#REF!</definedName>
    <definedName name="trc_Y1Q1" localSheetId="4">#REF!</definedName>
    <definedName name="trc_Y1Q1" localSheetId="5">#REF!</definedName>
    <definedName name="trc_Y1Q1" localSheetId="7">#REF!</definedName>
    <definedName name="trc_Y1Q1" localSheetId="11">#REF!</definedName>
    <definedName name="trc_Y1Q1">#REF!</definedName>
    <definedName name="trc_Y1Q2" localSheetId="4">#REF!</definedName>
    <definedName name="trc_Y1Q2" localSheetId="5">#REF!</definedName>
    <definedName name="trc_Y1Q2" localSheetId="7">#REF!</definedName>
    <definedName name="trc_Y1Q2" localSheetId="11">#REF!</definedName>
    <definedName name="trc_Y1Q2">#REF!</definedName>
    <definedName name="trc_Y1Q3" localSheetId="4">#REF!</definedName>
    <definedName name="trc_Y1Q3" localSheetId="5">#REF!</definedName>
    <definedName name="trc_Y1Q3" localSheetId="7">#REF!</definedName>
    <definedName name="trc_Y1Q3" localSheetId="11">#REF!</definedName>
    <definedName name="trc_Y1Q3">#REF!</definedName>
    <definedName name="trc_Y1Q4" localSheetId="4">#REF!</definedName>
    <definedName name="trc_Y1Q4" localSheetId="5">#REF!</definedName>
    <definedName name="trc_Y1Q4" localSheetId="7">#REF!</definedName>
    <definedName name="trc_Y1Q4" localSheetId="11">#REF!</definedName>
    <definedName name="trc_Y1Q4">#REF!</definedName>
    <definedName name="trc_Y1REVENUE" localSheetId="4">#REF!</definedName>
    <definedName name="trc_Y1REVENUE" localSheetId="5">#REF!</definedName>
    <definedName name="trc_Y1REVENUE" localSheetId="7">#REF!</definedName>
    <definedName name="trc_Y1REVENUE" localSheetId="11">#REF!</definedName>
    <definedName name="trc_Y1REVENUE">#REF!</definedName>
    <definedName name="trc_Y1ROE" localSheetId="4">#REF!</definedName>
    <definedName name="trc_Y1ROE" localSheetId="5">#REF!</definedName>
    <definedName name="trc_Y1ROE" localSheetId="7">#REF!</definedName>
    <definedName name="trc_Y1ROE" localSheetId="11">#REF!</definedName>
    <definedName name="trc_Y1ROE">#REF!</definedName>
    <definedName name="trc_Y1TAXRATE" localSheetId="4">#REF!</definedName>
    <definedName name="trc_Y1TAXRATE" localSheetId="5">#REF!</definedName>
    <definedName name="trc_Y1TAXRATE" localSheetId="7">#REF!</definedName>
    <definedName name="trc_Y1TAXRATE" localSheetId="11">#REF!</definedName>
    <definedName name="trc_Y1TAXRATE">#REF!</definedName>
    <definedName name="trc_Y1Total" localSheetId="4">#REF!</definedName>
    <definedName name="trc_Y1Total" localSheetId="5">#REF!</definedName>
    <definedName name="trc_Y1Total" localSheetId="7">#REF!</definedName>
    <definedName name="trc_Y1Total" localSheetId="11">#REF!</definedName>
    <definedName name="trc_Y1Total">#REF!</definedName>
    <definedName name="trc_Y2" localSheetId="4">#REF!</definedName>
    <definedName name="trc_Y2" localSheetId="5">#REF!</definedName>
    <definedName name="trc_Y2" localSheetId="7">#REF!</definedName>
    <definedName name="trc_Y2" localSheetId="11">#REF!</definedName>
    <definedName name="trc_Y2">#REF!</definedName>
    <definedName name="trc_Y2COMMONEQ" localSheetId="4">#REF!</definedName>
    <definedName name="trc_Y2COMMONEQ" localSheetId="5">#REF!</definedName>
    <definedName name="trc_Y2COMMONEQ" localSheetId="7">#REF!</definedName>
    <definedName name="trc_Y2COMMONEQ" localSheetId="11">#REF!</definedName>
    <definedName name="trc_Y2COMMONEQ">#REF!</definedName>
    <definedName name="trc_Y2DILSHR" localSheetId="4">#REF!</definedName>
    <definedName name="trc_Y2DILSHR" localSheetId="5">#REF!</definedName>
    <definedName name="trc_Y2DILSHR" localSheetId="7">#REF!</definedName>
    <definedName name="trc_Y2DILSHR" localSheetId="11">#REF!</definedName>
    <definedName name="trc_Y2DILSHR">#REF!</definedName>
    <definedName name="trc_Y2DPS" localSheetId="4">#REF!</definedName>
    <definedName name="trc_Y2DPS" localSheetId="5">#REF!</definedName>
    <definedName name="trc_Y2DPS" localSheetId="7">#REF!</definedName>
    <definedName name="trc_Y2DPS" localSheetId="11">#REF!</definedName>
    <definedName name="trc_Y2DPS">#REF!</definedName>
    <definedName name="trc_Y2EBIT" localSheetId="4">#REF!</definedName>
    <definedName name="trc_Y2EBIT" localSheetId="5">#REF!</definedName>
    <definedName name="trc_Y2EBIT" localSheetId="7">#REF!</definedName>
    <definedName name="trc_Y2EBIT" localSheetId="11">#REF!</definedName>
    <definedName name="trc_Y2EBIT">#REF!</definedName>
    <definedName name="trc_Y2EBITDA" localSheetId="4">#REF!</definedName>
    <definedName name="trc_Y2EBITDA" localSheetId="5">#REF!</definedName>
    <definedName name="trc_Y2EBITDA" localSheetId="7">#REF!</definedName>
    <definedName name="trc_Y2EBITDA" localSheetId="11">#REF!</definedName>
    <definedName name="trc_Y2EBITDA">#REF!</definedName>
    <definedName name="trc_Y2FREE_CFPS" localSheetId="4">#REF!</definedName>
    <definedName name="trc_Y2FREE_CFPS" localSheetId="5">#REF!</definedName>
    <definedName name="trc_Y2FREE_CFPS" localSheetId="7">#REF!</definedName>
    <definedName name="trc_Y2FREE_CFPS" localSheetId="11">#REF!</definedName>
    <definedName name="trc_Y2FREE_CFPS">#REF!</definedName>
    <definedName name="trc_Y2LTDEBT" localSheetId="4">#REF!</definedName>
    <definedName name="trc_Y2LTDEBT" localSheetId="5">#REF!</definedName>
    <definedName name="trc_Y2LTDEBT" localSheetId="7">#REF!</definedName>
    <definedName name="trc_Y2LTDEBT" localSheetId="11">#REF!</definedName>
    <definedName name="trc_Y2LTDEBT">#REF!</definedName>
    <definedName name="trc_Y2NETINC" localSheetId="4">#REF!</definedName>
    <definedName name="trc_Y2NETINC" localSheetId="5">#REF!</definedName>
    <definedName name="trc_Y2NETINC" localSheetId="7">#REF!</definedName>
    <definedName name="trc_Y2NETINC" localSheetId="11">#REF!</definedName>
    <definedName name="trc_Y2NETINC">#REF!</definedName>
    <definedName name="trc_Y2Q1" localSheetId="4">#REF!</definedName>
    <definedName name="trc_Y2Q1" localSheetId="5">#REF!</definedName>
    <definedName name="trc_Y2Q1" localSheetId="7">#REF!</definedName>
    <definedName name="trc_Y2Q1" localSheetId="11">#REF!</definedName>
    <definedName name="trc_Y2Q1">#REF!</definedName>
    <definedName name="trc_Y2Q2" localSheetId="4">#REF!</definedName>
    <definedName name="trc_Y2Q2" localSheetId="5">#REF!</definedName>
    <definedName name="trc_Y2Q2" localSheetId="7">#REF!</definedName>
    <definedName name="trc_Y2Q2" localSheetId="11">#REF!</definedName>
    <definedName name="trc_Y2Q2">#REF!</definedName>
    <definedName name="trc_Y2Q3" localSheetId="4">#REF!</definedName>
    <definedName name="trc_Y2Q3" localSheetId="5">#REF!</definedName>
    <definedName name="trc_Y2Q3" localSheetId="7">#REF!</definedName>
    <definedName name="trc_Y2Q3" localSheetId="11">#REF!</definedName>
    <definedName name="trc_Y2Q3">#REF!</definedName>
    <definedName name="trc_Y2Q4" localSheetId="4">#REF!</definedName>
    <definedName name="trc_Y2Q4" localSheetId="5">#REF!</definedName>
    <definedName name="trc_Y2Q4" localSheetId="7">#REF!</definedName>
    <definedName name="trc_Y2Q4" localSheetId="11">#REF!</definedName>
    <definedName name="trc_Y2Q4">#REF!</definedName>
    <definedName name="trc_Y2REVENUE" localSheetId="4">#REF!</definedName>
    <definedName name="trc_Y2REVENUE" localSheetId="5">#REF!</definedName>
    <definedName name="trc_Y2REVENUE" localSheetId="7">#REF!</definedName>
    <definedName name="trc_Y2REVENUE" localSheetId="11">#REF!</definedName>
    <definedName name="trc_Y2REVENUE">#REF!</definedName>
    <definedName name="trc_Y2ROE" localSheetId="4">#REF!</definedName>
    <definedName name="trc_Y2ROE" localSheetId="5">#REF!</definedName>
    <definedName name="trc_Y2ROE" localSheetId="7">#REF!</definedName>
    <definedName name="trc_Y2ROE" localSheetId="11">#REF!</definedName>
    <definedName name="trc_Y2ROE">#REF!</definedName>
    <definedName name="trc_Y2TAXRATE" localSheetId="4">#REF!</definedName>
    <definedName name="trc_Y2TAXRATE" localSheetId="5">#REF!</definedName>
    <definedName name="trc_Y2TAXRATE" localSheetId="7">#REF!</definedName>
    <definedName name="trc_Y2TAXRATE" localSheetId="11">#REF!</definedName>
    <definedName name="trc_Y2TAXRATE">#REF!</definedName>
    <definedName name="trc_Y2Total" localSheetId="4">#REF!</definedName>
    <definedName name="trc_Y2Total" localSheetId="5">#REF!</definedName>
    <definedName name="trc_Y2Total" localSheetId="7">#REF!</definedName>
    <definedName name="trc_Y2Total" localSheetId="11">#REF!</definedName>
    <definedName name="trc_Y2Total">#REF!</definedName>
    <definedName name="trc_Y3" localSheetId="4">#REF!</definedName>
    <definedName name="trc_Y3" localSheetId="5">#REF!</definedName>
    <definedName name="trc_Y3" localSheetId="7">#REF!</definedName>
    <definedName name="trc_Y3" localSheetId="11">#REF!</definedName>
    <definedName name="trc_Y3">#REF!</definedName>
    <definedName name="trc_Y3COMMONEQ" localSheetId="4">#REF!</definedName>
    <definedName name="trc_Y3COMMONEQ" localSheetId="5">#REF!</definedName>
    <definedName name="trc_Y3COMMONEQ" localSheetId="7">#REF!</definedName>
    <definedName name="trc_Y3COMMONEQ" localSheetId="11">#REF!</definedName>
    <definedName name="trc_Y3COMMONEQ">#REF!</definedName>
    <definedName name="trc_Y3DILSHR" localSheetId="4">#REF!</definedName>
    <definedName name="trc_Y3DILSHR" localSheetId="5">#REF!</definedName>
    <definedName name="trc_Y3DILSHR" localSheetId="7">#REF!</definedName>
    <definedName name="trc_Y3DILSHR" localSheetId="11">#REF!</definedName>
    <definedName name="trc_Y3DILSHR">#REF!</definedName>
    <definedName name="trc_Y3DPS" localSheetId="4">#REF!</definedName>
    <definedName name="trc_Y3DPS" localSheetId="5">#REF!</definedName>
    <definedName name="trc_Y3DPS" localSheetId="7">#REF!</definedName>
    <definedName name="trc_Y3DPS" localSheetId="11">#REF!</definedName>
    <definedName name="trc_Y3DPS">#REF!</definedName>
    <definedName name="trc_Y3EBIT" localSheetId="4">#REF!</definedName>
    <definedName name="trc_Y3EBIT" localSheetId="5">#REF!</definedName>
    <definedName name="trc_Y3EBIT" localSheetId="7">#REF!</definedName>
    <definedName name="trc_Y3EBIT" localSheetId="11">#REF!</definedName>
    <definedName name="trc_Y3EBIT">#REF!</definedName>
    <definedName name="trc_Y3EBITDA" localSheetId="4">#REF!</definedName>
    <definedName name="trc_Y3EBITDA" localSheetId="5">#REF!</definedName>
    <definedName name="trc_Y3EBITDA" localSheetId="7">#REF!</definedName>
    <definedName name="trc_Y3EBITDA" localSheetId="11">#REF!</definedName>
    <definedName name="trc_Y3EBITDA">#REF!</definedName>
    <definedName name="trc_Y3FREE_CFPS" localSheetId="4">#REF!</definedName>
    <definedName name="trc_Y3FREE_CFPS" localSheetId="5">#REF!</definedName>
    <definedName name="trc_Y3FREE_CFPS" localSheetId="7">#REF!</definedName>
    <definedName name="trc_Y3FREE_CFPS" localSheetId="11">#REF!</definedName>
    <definedName name="trc_Y3FREE_CFPS">#REF!</definedName>
    <definedName name="trc_Y3LTDEBT" localSheetId="4">#REF!</definedName>
    <definedName name="trc_Y3LTDEBT" localSheetId="5">#REF!</definedName>
    <definedName name="trc_Y3LTDEBT" localSheetId="7">#REF!</definedName>
    <definedName name="trc_Y3LTDEBT" localSheetId="11">#REF!</definedName>
    <definedName name="trc_Y3LTDEBT">#REF!</definedName>
    <definedName name="trc_Y3NETINC" localSheetId="4">#REF!</definedName>
    <definedName name="trc_Y3NETINC" localSheetId="5">#REF!</definedName>
    <definedName name="trc_Y3NETINC" localSheetId="7">#REF!</definedName>
    <definedName name="trc_Y3NETINC" localSheetId="11">#REF!</definedName>
    <definedName name="trc_Y3NETINC">#REF!</definedName>
    <definedName name="trc_Y3Q1" localSheetId="4">#REF!</definedName>
    <definedName name="trc_Y3Q1" localSheetId="5">#REF!</definedName>
    <definedName name="trc_Y3Q1" localSheetId="7">#REF!</definedName>
    <definedName name="trc_Y3Q1" localSheetId="11">#REF!</definedName>
    <definedName name="trc_Y3Q1">#REF!</definedName>
    <definedName name="trc_Y3Q2" localSheetId="4">#REF!</definedName>
    <definedName name="trc_Y3Q2" localSheetId="5">#REF!</definedName>
    <definedName name="trc_Y3Q2" localSheetId="7">#REF!</definedName>
    <definedName name="trc_Y3Q2" localSheetId="11">#REF!</definedName>
    <definedName name="trc_Y3Q2">#REF!</definedName>
    <definedName name="trc_Y3Q3" localSheetId="4">#REF!</definedName>
    <definedName name="trc_Y3Q3" localSheetId="5">#REF!</definedName>
    <definedName name="trc_Y3Q3" localSheetId="7">#REF!</definedName>
    <definedName name="trc_Y3Q3" localSheetId="11">#REF!</definedName>
    <definedName name="trc_Y3Q3">#REF!</definedName>
    <definedName name="trc_Y3Q4" localSheetId="4">#REF!</definedName>
    <definedName name="trc_Y3Q4" localSheetId="5">#REF!</definedName>
    <definedName name="trc_Y3Q4" localSheetId="7">#REF!</definedName>
    <definedName name="trc_Y3Q4" localSheetId="11">#REF!</definedName>
    <definedName name="trc_Y3Q4">#REF!</definedName>
    <definedName name="trc_Y3REVENUE" localSheetId="4">#REF!</definedName>
    <definedName name="trc_Y3REVENUE" localSheetId="5">#REF!</definedName>
    <definedName name="trc_Y3REVENUE" localSheetId="7">#REF!</definedName>
    <definedName name="trc_Y3REVENUE" localSheetId="11">#REF!</definedName>
    <definedName name="trc_Y3REVENUE">#REF!</definedName>
    <definedName name="trc_Y3ROE" localSheetId="4">#REF!</definedName>
    <definedName name="trc_Y3ROE" localSheetId="5">#REF!</definedName>
    <definedName name="trc_Y3ROE" localSheetId="7">#REF!</definedName>
    <definedName name="trc_Y3ROE" localSheetId="11">#REF!</definedName>
    <definedName name="trc_Y3ROE">#REF!</definedName>
    <definedName name="trc_Y3TAXRATE" localSheetId="4">#REF!</definedName>
    <definedName name="trc_Y3TAXRATE" localSheetId="5">#REF!</definedName>
    <definedName name="trc_Y3TAXRATE" localSheetId="7">#REF!</definedName>
    <definedName name="trc_Y3TAXRATE" localSheetId="11">#REF!</definedName>
    <definedName name="trc_Y3TAXRATE">#REF!</definedName>
    <definedName name="trc_Y3Total" localSheetId="4">#REF!</definedName>
    <definedName name="trc_Y3Total" localSheetId="5">#REF!</definedName>
    <definedName name="trc_Y3Total" localSheetId="7">#REF!</definedName>
    <definedName name="trc_Y3Total" localSheetId="11">#REF!</definedName>
    <definedName name="trc_Y3Total">#REF!</definedName>
    <definedName name="trc_Y4" localSheetId="4">#REF!</definedName>
    <definedName name="trc_Y4" localSheetId="5">#REF!</definedName>
    <definedName name="trc_Y4" localSheetId="7">#REF!</definedName>
    <definedName name="trc_Y4" localSheetId="11">#REF!</definedName>
    <definedName name="trc_Y4">#REF!</definedName>
    <definedName name="trc_Y4COMMONEQ" localSheetId="4">#REF!</definedName>
    <definedName name="trc_Y4COMMONEQ" localSheetId="5">#REF!</definedName>
    <definedName name="trc_Y4COMMONEQ" localSheetId="7">#REF!</definedName>
    <definedName name="trc_Y4COMMONEQ" localSheetId="11">#REF!</definedName>
    <definedName name="trc_Y4COMMONEQ">#REF!</definedName>
    <definedName name="trc_Y4DILSHR" localSheetId="4">#REF!</definedName>
    <definedName name="trc_Y4DILSHR" localSheetId="5">#REF!</definedName>
    <definedName name="trc_Y4DILSHR" localSheetId="7">#REF!</definedName>
    <definedName name="trc_Y4DILSHR" localSheetId="11">#REF!</definedName>
    <definedName name="trc_Y4DILSHR">#REF!</definedName>
    <definedName name="trc_Y4DPS" localSheetId="4">#REF!</definedName>
    <definedName name="trc_Y4DPS" localSheetId="5">#REF!</definedName>
    <definedName name="trc_Y4DPS" localSheetId="7">#REF!</definedName>
    <definedName name="trc_Y4DPS" localSheetId="11">#REF!</definedName>
    <definedName name="trc_Y4DPS">#REF!</definedName>
    <definedName name="trc_Y4EBIT" localSheetId="4">#REF!</definedName>
    <definedName name="trc_Y4EBIT" localSheetId="5">#REF!</definedName>
    <definedName name="trc_Y4EBIT" localSheetId="7">#REF!</definedName>
    <definedName name="trc_Y4EBIT" localSheetId="11">#REF!</definedName>
    <definedName name="trc_Y4EBIT">#REF!</definedName>
    <definedName name="trc_Y4EBITDA" localSheetId="4">#REF!</definedName>
    <definedName name="trc_Y4EBITDA" localSheetId="5">#REF!</definedName>
    <definedName name="trc_Y4EBITDA" localSheetId="7">#REF!</definedName>
    <definedName name="trc_Y4EBITDA" localSheetId="11">#REF!</definedName>
    <definedName name="trc_Y4EBITDA">#REF!</definedName>
    <definedName name="trc_Y4FREE_CFPS" localSheetId="4">#REF!</definedName>
    <definedName name="trc_Y4FREE_CFPS" localSheetId="5">#REF!</definedName>
    <definedName name="trc_Y4FREE_CFPS" localSheetId="7">#REF!</definedName>
    <definedName name="trc_Y4FREE_CFPS" localSheetId="11">#REF!</definedName>
    <definedName name="trc_Y4FREE_CFPS">#REF!</definedName>
    <definedName name="trc_Y4LTDEBT" localSheetId="4">#REF!</definedName>
    <definedName name="trc_Y4LTDEBT" localSheetId="5">#REF!</definedName>
    <definedName name="trc_Y4LTDEBT" localSheetId="7">#REF!</definedName>
    <definedName name="trc_Y4LTDEBT" localSheetId="11">#REF!</definedName>
    <definedName name="trc_Y4LTDEBT">#REF!</definedName>
    <definedName name="trc_Y4NETINC" localSheetId="4">#REF!</definedName>
    <definedName name="trc_Y4NETINC" localSheetId="5">#REF!</definedName>
    <definedName name="trc_Y4NETINC" localSheetId="7">#REF!</definedName>
    <definedName name="trc_Y4NETINC" localSheetId="11">#REF!</definedName>
    <definedName name="trc_Y4NETINC">#REF!</definedName>
    <definedName name="trc_Y4Q1" localSheetId="4">#REF!</definedName>
    <definedName name="trc_Y4Q1" localSheetId="5">#REF!</definedName>
    <definedName name="trc_Y4Q1" localSheetId="7">#REF!</definedName>
    <definedName name="trc_Y4Q1" localSheetId="11">#REF!</definedName>
    <definedName name="trc_Y4Q1">#REF!</definedName>
    <definedName name="trc_Y4Q2" localSheetId="4">#REF!</definedName>
    <definedName name="trc_Y4Q2" localSheetId="5">#REF!</definedName>
    <definedName name="trc_Y4Q2" localSheetId="7">#REF!</definedName>
    <definedName name="trc_Y4Q2" localSheetId="11">#REF!</definedName>
    <definedName name="trc_Y4Q2">#REF!</definedName>
    <definedName name="trc_Y4Q3" localSheetId="4">#REF!</definedName>
    <definedName name="trc_Y4Q3" localSheetId="5">#REF!</definedName>
    <definedName name="trc_Y4Q3" localSheetId="7">#REF!</definedName>
    <definedName name="trc_Y4Q3" localSheetId="11">#REF!</definedName>
    <definedName name="trc_Y4Q3">#REF!</definedName>
    <definedName name="trc_Y4Q4" localSheetId="4">#REF!</definedName>
    <definedName name="trc_Y4Q4" localSheetId="5">#REF!</definedName>
    <definedName name="trc_Y4Q4" localSheetId="7">#REF!</definedName>
    <definedName name="trc_Y4Q4" localSheetId="11">#REF!</definedName>
    <definedName name="trc_Y4Q4">#REF!</definedName>
    <definedName name="trc_Y4REVENUE" localSheetId="4">#REF!</definedName>
    <definedName name="trc_Y4REVENUE" localSheetId="5">#REF!</definedName>
    <definedName name="trc_Y4REVENUE" localSheetId="7">#REF!</definedName>
    <definedName name="trc_Y4REVENUE" localSheetId="11">#REF!</definedName>
    <definedName name="trc_Y4REVENUE">#REF!</definedName>
    <definedName name="trc_Y4ROE" localSheetId="4">#REF!</definedName>
    <definedName name="trc_Y4ROE" localSheetId="5">#REF!</definedName>
    <definedName name="trc_Y4ROE" localSheetId="7">#REF!</definedName>
    <definedName name="trc_Y4ROE" localSheetId="11">#REF!</definedName>
    <definedName name="trc_Y4ROE">#REF!</definedName>
    <definedName name="trc_Y4TAXRATE" localSheetId="4">#REF!</definedName>
    <definedName name="trc_Y4TAXRATE" localSheetId="5">#REF!</definedName>
    <definedName name="trc_Y4TAXRATE" localSheetId="7">#REF!</definedName>
    <definedName name="trc_Y4TAXRATE" localSheetId="11">#REF!</definedName>
    <definedName name="trc_Y4TAXRATE">#REF!</definedName>
    <definedName name="trc_Y4Total" localSheetId="4">#REF!</definedName>
    <definedName name="trc_Y4Total" localSheetId="5">#REF!</definedName>
    <definedName name="trc_Y4Total" localSheetId="7">#REF!</definedName>
    <definedName name="trc_Y4Total" localSheetId="11">#REF!</definedName>
    <definedName name="trc_Y4Total">#REF!</definedName>
    <definedName name="VN_DCF" localSheetId="4">#REF!</definedName>
    <definedName name="VN_DCF" localSheetId="5">#REF!</definedName>
    <definedName name="VN_DCF" localSheetId="7">#REF!</definedName>
    <definedName name="VN_DCF" localSheetId="11">#REF!</definedName>
    <definedName name="VN_DCF">#REF!</definedName>
    <definedName name="Volume">OFFSET([3]Cover!$AP$8,,,COUNTA([3]Cover!$AP$8:$AP$62),1)</definedName>
    <definedName name="Working_Capital_Assumptions" localSheetId="1">#REF!</definedName>
    <definedName name="Working_Capital_Assumptions" localSheetId="3">#REF!</definedName>
    <definedName name="Working_Capital_Assumptions" localSheetId="4">#REF!</definedName>
    <definedName name="Working_Capital_Assumptions" localSheetId="5">#REF!</definedName>
    <definedName name="Working_Capital_Assumptions" localSheetId="7">#REF!</definedName>
    <definedName name="Working_Capital_Assumptions" localSheetId="11">#REF!</definedName>
    <definedName name="Working_Capital_Assumptions" localSheetId="2">#REF!</definedName>
    <definedName name="Working_Capital_Assumptions">#REF!</definedName>
    <definedName name="wrn.Fax." localSheetId="1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4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5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2" hidden="1">{"fax (BS)",#N/A,FALSE,"BS";"fax (CF)",#N/A,FALSE,"CF";"fax (seg)",#N/A,FALSE,"Seg";"fax (telecomm)",#N/A,FALSE,"telecomm";"fax (infodisplay)",#N/A,FALSE,"infodisplay";"fax (am)",#N/A,FALSE,"AM";"fax (is)",#N/A,FALSE,"IS"}</definedName>
    <definedName name="wrn.TP." localSheetId="1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localSheetId="3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localSheetId="4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localSheetId="5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localSheetId="2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YOY" localSheetId="1">IF(ISBLANK(#REF!),"         NM",#REF!/#REF!-1)</definedName>
    <definedName name="YOY" localSheetId="4">IF(ISBLANK(#REF!),"         NM",#REF!/#REF!-1)</definedName>
    <definedName name="YOY" localSheetId="5">IF(ISBLANK(#REF!),"         NM",#REF!/#REF!-1)</definedName>
    <definedName name="YOY" localSheetId="7">IF(ISBLANK(#REF!),"         NM",#REF!/#REF!-1)</definedName>
    <definedName name="YOY" localSheetId="11">IF(ISBLANK(#REF!),"         NM",#REF!/#REF!-1)</definedName>
    <definedName name="YOY">IF(ISBLANK(#REF!),"         NM",#REF!/#REF!-1)</definedName>
    <definedName name="YOYM" localSheetId="4">IF(#REF!=0,"NM",((#REF!/#REF!)-1))</definedName>
    <definedName name="YOYM" localSheetId="5">IF(#REF!=0,"NM",((#REF!/#REF!)-1))</definedName>
    <definedName name="YOYM" localSheetId="7">IF(#REF!=0,"NM",((#REF!/#REF!)-1))</definedName>
    <definedName name="YOYM" localSheetId="11">IF(#REF!=0,"NM",((#REF!/#REF!)-1))</definedName>
    <definedName name="YOYM">IF(#REF!=0,"NM",((#REF!/#REF!)-1))</definedName>
    <definedName name="YSUM" localSheetId="4">SUM(#REF!)</definedName>
    <definedName name="YSUM" localSheetId="5">SUM(#REF!)</definedName>
    <definedName name="YSUM" localSheetId="7">SUM(#REF!)</definedName>
    <definedName name="YSUM" localSheetId="11">SUM(#REF!)</definedName>
    <definedName name="YSUM">SUM(#REF!)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06" i="24" l="1"/>
  <c r="BI112" i="24"/>
  <c r="BI59" i="20"/>
  <c r="BI69" i="20"/>
  <c r="BI67" i="20"/>
  <c r="BJ94" i="19"/>
  <c r="BJ85" i="19"/>
  <c r="BJ41" i="27"/>
  <c r="BJ7" i="27"/>
  <c r="BJ69" i="20"/>
  <c r="BJ67" i="20"/>
  <c r="BJ59" i="20"/>
  <c r="BJ111" i="20"/>
  <c r="BJ24" i="21"/>
  <c r="BJ62" i="21"/>
  <c r="BJ53" i="21"/>
  <c r="BJ48" i="21"/>
  <c r="BJ32" i="21"/>
  <c r="BJ33" i="21"/>
  <c r="BJ31" i="21"/>
  <c r="BJ30" i="21"/>
  <c r="BJ83" i="19" s="1"/>
  <c r="BJ22" i="21"/>
  <c r="BJ21" i="21"/>
  <c r="BJ20" i="21"/>
  <c r="BJ19" i="21"/>
  <c r="BJ18" i="21"/>
  <c r="BJ17" i="21"/>
  <c r="BJ16" i="21"/>
  <c r="BJ13" i="21"/>
  <c r="BJ10" i="21"/>
  <c r="BJ9" i="21"/>
  <c r="BJ8" i="21"/>
  <c r="BJ7" i="21"/>
  <c r="BJ48" i="19"/>
  <c r="BJ43" i="19"/>
  <c r="BJ39" i="19"/>
  <c r="BJ42" i="19"/>
  <c r="BJ41" i="19"/>
  <c r="BJ32" i="19"/>
  <c r="BJ31" i="19"/>
  <c r="BJ29" i="19"/>
  <c r="BJ28" i="19"/>
  <c r="BJ21" i="19"/>
  <c r="BJ20" i="19"/>
  <c r="BJ19" i="19"/>
  <c r="BJ18" i="19"/>
  <c r="BJ17" i="19"/>
  <c r="BJ16" i="19"/>
  <c r="BJ15" i="19"/>
  <c r="BJ11" i="19"/>
  <c r="BJ10" i="19"/>
  <c r="BJ9" i="19"/>
  <c r="BJ8" i="19"/>
  <c r="BJ7" i="19"/>
  <c r="BL119" i="24"/>
  <c r="BJ106" i="24"/>
  <c r="BJ119" i="24"/>
  <c r="BJ95" i="24"/>
  <c r="BJ90" i="24"/>
  <c r="BJ85" i="24"/>
  <c r="BJ69" i="24"/>
  <c r="BJ65" i="24"/>
  <c r="BJ78" i="24" s="1"/>
  <c r="BJ112" i="24"/>
  <c r="BJ107" i="24"/>
  <c r="BJ47" i="24"/>
  <c r="BJ39" i="24"/>
  <c r="D10" i="6"/>
  <c r="D13" i="6"/>
  <c r="BJ80" i="24" l="1"/>
  <c r="G83" i="17"/>
  <c r="G82" i="17"/>
  <c r="G52" i="17"/>
  <c r="G46" i="17"/>
  <c r="G44" i="17"/>
  <c r="G39" i="17"/>
  <c r="G38" i="17"/>
  <c r="G37" i="17"/>
  <c r="G36" i="17"/>
  <c r="G35" i="17"/>
  <c r="G34" i="17"/>
  <c r="G33" i="17"/>
  <c r="G19" i="17"/>
  <c r="G10" i="17"/>
  <c r="G6" i="17"/>
  <c r="D99" i="17"/>
  <c r="D52" i="17"/>
  <c r="D46" i="17"/>
  <c r="D44" i="17"/>
  <c r="D39" i="17"/>
  <c r="D38" i="17"/>
  <c r="D37" i="17"/>
  <c r="D36" i="17"/>
  <c r="D35" i="17"/>
  <c r="D34" i="17"/>
  <c r="D33" i="17"/>
  <c r="D19" i="17"/>
  <c r="D6" i="17"/>
  <c r="I27" i="30" l="1"/>
  <c r="I26" i="30"/>
  <c r="G26" i="30"/>
  <c r="G16" i="30"/>
  <c r="BI94" i="19" l="1"/>
  <c r="BI81" i="20" s="1"/>
  <c r="BI85" i="19"/>
  <c r="BI80" i="20" s="1"/>
  <c r="G99" i="17"/>
  <c r="BI111" i="20"/>
  <c r="BI86" i="20" s="1"/>
  <c r="BI77" i="20"/>
  <c r="BI76" i="20"/>
  <c r="BI119" i="24"/>
  <c r="BI108" i="20" s="1"/>
  <c r="BI95" i="24"/>
  <c r="BI90" i="24"/>
  <c r="BJ93" i="24" s="1"/>
  <c r="BI85" i="24"/>
  <c r="BJ88" i="24" s="1"/>
  <c r="G60" i="17" s="1"/>
  <c r="BI69" i="24"/>
  <c r="BI65" i="24"/>
  <c r="BI41" i="27"/>
  <c r="BI7" i="27"/>
  <c r="BJ11" i="27" s="1"/>
  <c r="BL11" i="27" s="1"/>
  <c r="BI62" i="21"/>
  <c r="BI55" i="21"/>
  <c r="BI42" i="21"/>
  <c r="BI53" i="21"/>
  <c r="BI43" i="21"/>
  <c r="BI44" i="21"/>
  <c r="BI45" i="21"/>
  <c r="BI46" i="21"/>
  <c r="BI47" i="21"/>
  <c r="BI48" i="21"/>
  <c r="BI49" i="21"/>
  <c r="BI50" i="21"/>
  <c r="BI51" i="21"/>
  <c r="BI52" i="21"/>
  <c r="BI54" i="21"/>
  <c r="BI56" i="21"/>
  <c r="BI57" i="21"/>
  <c r="BI35" i="21"/>
  <c r="BI34" i="21"/>
  <c r="BI33" i="21"/>
  <c r="BI32" i="21"/>
  <c r="BI31" i="21"/>
  <c r="BI30" i="21"/>
  <c r="BI83" i="19" s="1"/>
  <c r="BI29" i="21"/>
  <c r="BI24" i="21"/>
  <c r="BI22" i="21"/>
  <c r="BI21" i="21"/>
  <c r="BI20" i="21"/>
  <c r="BI19" i="21"/>
  <c r="BI18" i="21"/>
  <c r="BI17" i="21"/>
  <c r="BI16" i="21"/>
  <c r="BI13" i="21"/>
  <c r="BI10" i="21"/>
  <c r="BI9" i="21"/>
  <c r="BI8" i="21"/>
  <c r="BI83" i="20" s="1"/>
  <c r="BI7" i="21"/>
  <c r="BI107" i="24"/>
  <c r="BI47" i="24"/>
  <c r="BI39" i="24"/>
  <c r="BI52" i="24"/>
  <c r="BI21" i="27" s="1"/>
  <c r="BI48" i="19"/>
  <c r="BI43" i="19"/>
  <c r="BI42" i="19"/>
  <c r="BI39" i="19"/>
  <c r="BI41" i="19"/>
  <c r="BH35" i="19"/>
  <c r="BI35" i="19"/>
  <c r="BI32" i="19"/>
  <c r="BI111" i="19" s="1"/>
  <c r="BI31" i="19"/>
  <c r="BI30" i="19"/>
  <c r="BI29" i="19"/>
  <c r="BI106" i="19" s="1"/>
  <c r="BI28" i="19"/>
  <c r="BI100" i="19" s="1"/>
  <c r="BI21" i="19"/>
  <c r="BI20" i="19"/>
  <c r="BI19" i="19"/>
  <c r="BI18" i="19"/>
  <c r="BI17" i="19"/>
  <c r="BI16" i="19"/>
  <c r="BI15" i="19"/>
  <c r="BI11" i="19"/>
  <c r="BI77" i="19" s="1"/>
  <c r="BI10" i="19"/>
  <c r="BI132" i="19" s="1"/>
  <c r="BI9" i="19"/>
  <c r="BI71" i="19" s="1"/>
  <c r="BI8" i="19"/>
  <c r="BI7" i="19"/>
  <c r="BI100" i="24" l="1"/>
  <c r="BJ98" i="24"/>
  <c r="BI78" i="24"/>
  <c r="BI115" i="19"/>
  <c r="BI120" i="19" s="1"/>
  <c r="BI80" i="24"/>
  <c r="BI74" i="24"/>
  <c r="BI97" i="20"/>
  <c r="BI105" i="20"/>
  <c r="BI50" i="27"/>
  <c r="BI17" i="27"/>
  <c r="BI96" i="24"/>
  <c r="BI101" i="24"/>
  <c r="BI86" i="24"/>
  <c r="BI91" i="24"/>
  <c r="BI76" i="24"/>
  <c r="BI82" i="24" s="1"/>
  <c r="BI50" i="24"/>
  <c r="BI66" i="24"/>
  <c r="BI42" i="24"/>
  <c r="BI70" i="24"/>
  <c r="BI114" i="20" l="1"/>
  <c r="BI103" i="24"/>
  <c r="BI109" i="24" l="1"/>
  <c r="BI113" i="24" s="1"/>
  <c r="BI104" i="24"/>
  <c r="BH94" i="19"/>
  <c r="BH85" i="19"/>
  <c r="BH69" i="20"/>
  <c r="BH67" i="20"/>
  <c r="BH59" i="20"/>
  <c r="BH111" i="20"/>
  <c r="BI113" i="20" s="1"/>
  <c r="BH7" i="27"/>
  <c r="BH41" i="27"/>
  <c r="BH62" i="21"/>
  <c r="BH51" i="21"/>
  <c r="BH53" i="21"/>
  <c r="BH42" i="21"/>
  <c r="BH50" i="21"/>
  <c r="BH35" i="21"/>
  <c r="BH32" i="21"/>
  <c r="BH31" i="21"/>
  <c r="BH30" i="21"/>
  <c r="BH83" i="19" s="1"/>
  <c r="BH17" i="21"/>
  <c r="BH24" i="21"/>
  <c r="BH22" i="21"/>
  <c r="BH21" i="21"/>
  <c r="BH20" i="21"/>
  <c r="BH19" i="21"/>
  <c r="BH18" i="21"/>
  <c r="BH16" i="21"/>
  <c r="BH10" i="21"/>
  <c r="BH9" i="21"/>
  <c r="BH8" i="21"/>
  <c r="BH7" i="21"/>
  <c r="BH48" i="19"/>
  <c r="BH43" i="19"/>
  <c r="BH39" i="19"/>
  <c r="BI118" i="19" s="1"/>
  <c r="BH42" i="19"/>
  <c r="BH41" i="19"/>
  <c r="BH32" i="19"/>
  <c r="BH31" i="19"/>
  <c r="BH29" i="19"/>
  <c r="BH28" i="19"/>
  <c r="BH21" i="19"/>
  <c r="BH20" i="19"/>
  <c r="BI91" i="19" s="1"/>
  <c r="BH19" i="19"/>
  <c r="BH18" i="19"/>
  <c r="BH17" i="19"/>
  <c r="BH16" i="19"/>
  <c r="BI82" i="19" s="1"/>
  <c r="BH15" i="19"/>
  <c r="BH11" i="19"/>
  <c r="BH10" i="19"/>
  <c r="BH9" i="19"/>
  <c r="BH8" i="19"/>
  <c r="BH7" i="19"/>
  <c r="BH106" i="24"/>
  <c r="BH119" i="24"/>
  <c r="BH95" i="24"/>
  <c r="BI98" i="24" s="1"/>
  <c r="BH90" i="24"/>
  <c r="BI93" i="24" s="1"/>
  <c r="BH85" i="24"/>
  <c r="BI88" i="24" s="1"/>
  <c r="BH69" i="24"/>
  <c r="BI72" i="24" s="1"/>
  <c r="BH65" i="24"/>
  <c r="BI68" i="24" s="1"/>
  <c r="BH112" i="24"/>
  <c r="BH107" i="24"/>
  <c r="BH47" i="24"/>
  <c r="BH39" i="24"/>
  <c r="BI41" i="24" s="1"/>
  <c r="BI98" i="19" l="1"/>
  <c r="BI96" i="19"/>
  <c r="BI95" i="19"/>
  <c r="BI45" i="27"/>
  <c r="BI43" i="24"/>
  <c r="BI43" i="27"/>
  <c r="BH80" i="24"/>
  <c r="BI49" i="24"/>
  <c r="BI89" i="19"/>
  <c r="BI87" i="19" s="1"/>
  <c r="BI86" i="19"/>
  <c r="BI11" i="27"/>
  <c r="BI9" i="27"/>
  <c r="BI110" i="24"/>
  <c r="BI115" i="24"/>
  <c r="BI117" i="24" s="1"/>
  <c r="BM119" i="24"/>
  <c r="BN119" i="24" s="1"/>
  <c r="BO119" i="24" s="1"/>
  <c r="BH78" i="24"/>
  <c r="D94" i="17"/>
  <c r="D92" i="17"/>
  <c r="D88" i="17"/>
  <c r="D85" i="17"/>
  <c r="D84" i="17"/>
  <c r="D80" i="17"/>
  <c r="D77" i="17"/>
  <c r="D74" i="17"/>
  <c r="D68" i="17"/>
  <c r="D62" i="17"/>
  <c r="BI45" i="24" l="1"/>
  <c r="BI44" i="24"/>
  <c r="BU17" i="6"/>
  <c r="BT125" i="27" l="1"/>
  <c r="BS125" i="27"/>
  <c r="BR125" i="27"/>
  <c r="BQ125" i="27"/>
  <c r="BT124" i="27"/>
  <c r="BS124" i="27"/>
  <c r="BR124" i="27"/>
  <c r="BQ124" i="27"/>
  <c r="BT123" i="27"/>
  <c r="BS123" i="27"/>
  <c r="BR123" i="27"/>
  <c r="BQ123" i="27"/>
  <c r="BT122" i="27"/>
  <c r="BS122" i="27"/>
  <c r="BR122" i="27"/>
  <c r="BQ122" i="27"/>
  <c r="BT117" i="27"/>
  <c r="BS117" i="27"/>
  <c r="BR117" i="27"/>
  <c r="BQ117" i="27"/>
  <c r="BT116" i="27"/>
  <c r="BS116" i="27"/>
  <c r="BR116" i="27"/>
  <c r="BQ116" i="27"/>
  <c r="BT115" i="27"/>
  <c r="BS115" i="27"/>
  <c r="BR115" i="27"/>
  <c r="BQ115" i="27"/>
  <c r="BT114" i="27"/>
  <c r="BS114" i="27"/>
  <c r="BR114" i="27"/>
  <c r="BQ114" i="27"/>
  <c r="BQ84" i="27"/>
  <c r="BQ83" i="27"/>
  <c r="BQ77" i="27" s="1"/>
  <c r="BQ76" i="27"/>
  <c r="BU32" i="27"/>
  <c r="BT29" i="27"/>
  <c r="BT47" i="20" s="1"/>
  <c r="BS29" i="27"/>
  <c r="BS47" i="20" s="1"/>
  <c r="BR29" i="27"/>
  <c r="BR47" i="20" s="1"/>
  <c r="BQ29" i="27"/>
  <c r="BQ47" i="20" s="1"/>
  <c r="BQ28" i="27"/>
  <c r="BT5" i="27"/>
  <c r="BS5" i="27"/>
  <c r="BR5" i="27"/>
  <c r="BQ5" i="27"/>
  <c r="BQ4" i="27"/>
  <c r="BT62" i="21"/>
  <c r="BS62" i="21"/>
  <c r="BR62" i="21"/>
  <c r="BQ62" i="21"/>
  <c r="BT57" i="21"/>
  <c r="BS57" i="21"/>
  <c r="BR57" i="21"/>
  <c r="BQ57" i="21"/>
  <c r="BT56" i="21"/>
  <c r="BS56" i="21"/>
  <c r="BR56" i="21"/>
  <c r="BQ56" i="21"/>
  <c r="BT55" i="21"/>
  <c r="BS55" i="21"/>
  <c r="BR55" i="21"/>
  <c r="BQ55" i="21"/>
  <c r="BT54" i="21"/>
  <c r="BS54" i="21"/>
  <c r="BR54" i="21"/>
  <c r="BQ54" i="21"/>
  <c r="BT53" i="21"/>
  <c r="BS53" i="21"/>
  <c r="BR53" i="21"/>
  <c r="BQ53" i="21"/>
  <c r="BT52" i="21"/>
  <c r="BS52" i="21"/>
  <c r="BR52" i="21"/>
  <c r="BQ52" i="21"/>
  <c r="BT51" i="21"/>
  <c r="BS51" i="21"/>
  <c r="BR51" i="21"/>
  <c r="BQ51" i="21"/>
  <c r="BT50" i="21"/>
  <c r="BS50" i="21"/>
  <c r="BR50" i="21"/>
  <c r="BQ50" i="21"/>
  <c r="BT49" i="21"/>
  <c r="BS49" i="21"/>
  <c r="BR49" i="21"/>
  <c r="BQ49" i="21"/>
  <c r="BT48" i="21"/>
  <c r="BS48" i="21"/>
  <c r="BR48" i="21"/>
  <c r="BQ48" i="21"/>
  <c r="BT47" i="21"/>
  <c r="BS47" i="21"/>
  <c r="BR47" i="21"/>
  <c r="BQ47" i="21"/>
  <c r="BT46" i="21"/>
  <c r="BS46" i="21"/>
  <c r="BR46" i="21"/>
  <c r="BQ46" i="21"/>
  <c r="BT45" i="21"/>
  <c r="BS45" i="21"/>
  <c r="BR45" i="21"/>
  <c r="BQ45" i="21"/>
  <c r="BT44" i="21"/>
  <c r="BS44" i="21"/>
  <c r="BR44" i="21"/>
  <c r="BQ44" i="21"/>
  <c r="BT43" i="21"/>
  <c r="BS43" i="21"/>
  <c r="BR43" i="21"/>
  <c r="BQ43" i="21"/>
  <c r="BT42" i="21"/>
  <c r="BS42" i="21"/>
  <c r="BR42" i="21"/>
  <c r="BQ42" i="21"/>
  <c r="BU41" i="21"/>
  <c r="BU40" i="21"/>
  <c r="BU35" i="21"/>
  <c r="BU34" i="21"/>
  <c r="BU33" i="21"/>
  <c r="BU32" i="21"/>
  <c r="BU29" i="21"/>
  <c r="BT16" i="21"/>
  <c r="BS16" i="21"/>
  <c r="BR16" i="21"/>
  <c r="BQ16" i="21"/>
  <c r="BU15" i="21"/>
  <c r="BU14" i="21"/>
  <c r="BT13" i="21"/>
  <c r="BS13" i="21"/>
  <c r="BR13" i="21"/>
  <c r="BQ13" i="21"/>
  <c r="BU12" i="21"/>
  <c r="BU11" i="21"/>
  <c r="BT5" i="21"/>
  <c r="BS5" i="21"/>
  <c r="BR5" i="21"/>
  <c r="BQ5" i="21"/>
  <c r="BU30" i="19"/>
  <c r="BU5" i="19"/>
  <c r="BU5" i="21" s="1"/>
  <c r="BU46" i="20"/>
  <c r="BU34" i="20"/>
  <c r="BT5" i="20"/>
  <c r="BS5" i="20"/>
  <c r="BR5" i="20"/>
  <c r="BQ5" i="20"/>
  <c r="BQ4" i="20"/>
  <c r="BQ46" i="20" s="1"/>
  <c r="BT106" i="24"/>
  <c r="BT76" i="20" s="1"/>
  <c r="BS106" i="24"/>
  <c r="BS76" i="20" s="1"/>
  <c r="BR106" i="24"/>
  <c r="BR76" i="20" s="1"/>
  <c r="BQ106" i="24"/>
  <c r="BU23" i="24"/>
  <c r="BU5" i="27" s="1"/>
  <c r="BT14" i="24"/>
  <c r="BS14" i="24"/>
  <c r="BR14" i="24"/>
  <c r="BQ14" i="24"/>
  <c r="BT11" i="24"/>
  <c r="BS11" i="24"/>
  <c r="BR11" i="24"/>
  <c r="BQ11" i="24"/>
  <c r="BT10" i="24"/>
  <c r="BS10" i="24"/>
  <c r="BR10" i="24"/>
  <c r="BQ10" i="24"/>
  <c r="BU62" i="21" l="1"/>
  <c r="BU5" i="20"/>
  <c r="BU51" i="21"/>
  <c r="BU16" i="21"/>
  <c r="BU43" i="21"/>
  <c r="BR60" i="21"/>
  <c r="BU106" i="24"/>
  <c r="BU76" i="20" s="1"/>
  <c r="BU46" i="21"/>
  <c r="BU52" i="21"/>
  <c r="BU54" i="21"/>
  <c r="BU53" i="21"/>
  <c r="BS60" i="21"/>
  <c r="BU44" i="21"/>
  <c r="BU48" i="21"/>
  <c r="BU50" i="21"/>
  <c r="BQ76" i="20"/>
  <c r="BT60" i="21"/>
  <c r="BU56" i="21"/>
  <c r="BU13" i="21"/>
  <c r="BU29" i="27"/>
  <c r="BU47" i="20" s="1"/>
  <c r="BU47" i="21"/>
  <c r="BU49" i="21"/>
  <c r="BU45" i="21"/>
  <c r="BQ60" i="21"/>
  <c r="BU55" i="21"/>
  <c r="BU57" i="21"/>
  <c r="BU42" i="21"/>
  <c r="BE168" i="27"/>
  <c r="AZ168" i="27" s="1"/>
  <c r="BB168" i="27"/>
  <c r="AS168" i="27"/>
  <c r="BU60" i="21" l="1"/>
  <c r="BL76" i="27"/>
  <c r="BL84" i="27"/>
  <c r="BL83" i="27"/>
  <c r="BG84" i="27"/>
  <c r="BG83" i="27"/>
  <c r="BL77" i="27" l="1"/>
  <c r="BQ85" i="27"/>
  <c r="BR85" i="27" s="1"/>
  <c r="BL85" i="27"/>
  <c r="BM85" i="27" s="1"/>
  <c r="BO16" i="21"/>
  <c r="BN16" i="21"/>
  <c r="BM16" i="21"/>
  <c r="BL16" i="21"/>
  <c r="BO13" i="21"/>
  <c r="BN13" i="21"/>
  <c r="BM13" i="21"/>
  <c r="BL13" i="21"/>
  <c r="BD13" i="21"/>
  <c r="BC13" i="21"/>
  <c r="BM53" i="21"/>
  <c r="BN53" i="21"/>
  <c r="BO53" i="21"/>
  <c r="BL53" i="21"/>
  <c r="BL57" i="21"/>
  <c r="BM57" i="21"/>
  <c r="BN57" i="21"/>
  <c r="BO57" i="21"/>
  <c r="BN55" i="21"/>
  <c r="BL55" i="21"/>
  <c r="BL42" i="21"/>
  <c r="BM42" i="21"/>
  <c r="BN42" i="21"/>
  <c r="BO42" i="21"/>
  <c r="BL43" i="21"/>
  <c r="BM43" i="21"/>
  <c r="BN43" i="21"/>
  <c r="BO43" i="21"/>
  <c r="BL44" i="21"/>
  <c r="BM44" i="21"/>
  <c r="BN44" i="21"/>
  <c r="BO44" i="21"/>
  <c r="BL45" i="21"/>
  <c r="BM45" i="21"/>
  <c r="BN45" i="21"/>
  <c r="BO45" i="21"/>
  <c r="BL46" i="21"/>
  <c r="BM46" i="21"/>
  <c r="BN46" i="21"/>
  <c r="BO46" i="21"/>
  <c r="BL47" i="21"/>
  <c r="BM47" i="21"/>
  <c r="BN47" i="21"/>
  <c r="BO47" i="21"/>
  <c r="BL48" i="21"/>
  <c r="BM48" i="21"/>
  <c r="BN48" i="21"/>
  <c r="BO48" i="21"/>
  <c r="BL49" i="21"/>
  <c r="BM49" i="21"/>
  <c r="BN49" i="21"/>
  <c r="BO49" i="21"/>
  <c r="BL50" i="21"/>
  <c r="BM50" i="21"/>
  <c r="BN50" i="21"/>
  <c r="BO50" i="21"/>
  <c r="BL51" i="21"/>
  <c r="BM51" i="21"/>
  <c r="BN51" i="21"/>
  <c r="BO51" i="21"/>
  <c r="BL52" i="21"/>
  <c r="BM52" i="21"/>
  <c r="BN52" i="21"/>
  <c r="BO52" i="21"/>
  <c r="BL54" i="21"/>
  <c r="BM54" i="21"/>
  <c r="BN54" i="21"/>
  <c r="BO54" i="21"/>
  <c r="BM55" i="21"/>
  <c r="BO55" i="21"/>
  <c r="BL56" i="21"/>
  <c r="BM56" i="21"/>
  <c r="BN56" i="21"/>
  <c r="BO56" i="21"/>
  <c r="BL62" i="21"/>
  <c r="BM62" i="21"/>
  <c r="BN62" i="21"/>
  <c r="BO62" i="21"/>
  <c r="BG33" i="21"/>
  <c r="BG56" i="21"/>
  <c r="BG48" i="21"/>
  <c r="BG43" i="21"/>
  <c r="BG42" i="21"/>
  <c r="BE56" i="21"/>
  <c r="BE55" i="21"/>
  <c r="BD56" i="21"/>
  <c r="BC55" i="21"/>
  <c r="BB56" i="21"/>
  <c r="BC56" i="21"/>
  <c r="BB48" i="21"/>
  <c r="BC48" i="21"/>
  <c r="BD48" i="21"/>
  <c r="BB42" i="21"/>
  <c r="BC42" i="21"/>
  <c r="BD42" i="21"/>
  <c r="BE42" i="21"/>
  <c r="BB43" i="21"/>
  <c r="BC43" i="21"/>
  <c r="BD43" i="21"/>
  <c r="BE43" i="21"/>
  <c r="BB34" i="21"/>
  <c r="BB35" i="21"/>
  <c r="BC35" i="21"/>
  <c r="BD34" i="21"/>
  <c r="BE34" i="21"/>
  <c r="BD35" i="21"/>
  <c r="BE35" i="21"/>
  <c r="BE32" i="21"/>
  <c r="BI84" i="20"/>
  <c r="BK56" i="21" l="1"/>
  <c r="BP56" i="21"/>
  <c r="BF56" i="21"/>
  <c r="BB88" i="27"/>
  <c r="BG61" i="27"/>
  <c r="BE88" i="27"/>
  <c r="BJ88" i="27" s="1"/>
  <c r="BE92" i="27"/>
  <c r="BB95" i="24" l="1"/>
  <c r="BB90" i="24"/>
  <c r="BB85" i="24"/>
  <c r="BB69" i="24"/>
  <c r="BB65" i="24"/>
  <c r="BG65" i="24"/>
  <c r="BE65" i="24"/>
  <c r="D32" i="17" s="1"/>
  <c r="BD65" i="24"/>
  <c r="BC65" i="24"/>
  <c r="BP30" i="19"/>
  <c r="BK30" i="19"/>
  <c r="AV30" i="19"/>
  <c r="BA30" i="19"/>
  <c r="BB30" i="19"/>
  <c r="BC35" i="19"/>
  <c r="BD35" i="19"/>
  <c r="BE35" i="19"/>
  <c r="BG35" i="19"/>
  <c r="BI13" i="24"/>
  <c r="BH13" i="24"/>
  <c r="BG10" i="14"/>
  <c r="BG9" i="14"/>
  <c r="BI67" i="24" l="1"/>
  <c r="BG12" i="14"/>
  <c r="BG94" i="19"/>
  <c r="BG81" i="20" s="1"/>
  <c r="BB94" i="19"/>
  <c r="BB85" i="19"/>
  <c r="BF85" i="19" s="1"/>
  <c r="BG85" i="19"/>
  <c r="BG80" i="20" s="1"/>
  <c r="BG65" i="20"/>
  <c r="BG63" i="20"/>
  <c r="BG61" i="20"/>
  <c r="BG106" i="27"/>
  <c r="BG105" i="27" s="1"/>
  <c r="BG104" i="27"/>
  <c r="BG100" i="27"/>
  <c r="BG41" i="27"/>
  <c r="BG168" i="27" s="1"/>
  <c r="BL168" i="27" l="1"/>
  <c r="BQ168" i="27" s="1"/>
  <c r="BG173" i="27"/>
  <c r="BG174" i="27" s="1"/>
  <c r="BG170" i="27"/>
  <c r="BG88" i="27"/>
  <c r="BL88" i="27" s="1"/>
  <c r="BH43" i="24"/>
  <c r="BG2" i="24"/>
  <c r="BG3" i="24" s="1"/>
  <c r="BG99" i="27"/>
  <c r="BG103" i="27"/>
  <c r="BG30" i="14"/>
  <c r="BG69" i="20"/>
  <c r="BG67" i="20"/>
  <c r="BG59" i="20"/>
  <c r="BG111" i="20"/>
  <c r="BL93" i="27" l="1"/>
  <c r="BQ88" i="27"/>
  <c r="BQ93" i="27" s="1"/>
  <c r="BG58" i="27"/>
  <c r="BG62" i="27" s="1"/>
  <c r="BL62" i="27" s="1"/>
  <c r="BQ62" i="27" s="1"/>
  <c r="BG90" i="27"/>
  <c r="BG7" i="27"/>
  <c r="BG62" i="21"/>
  <c r="BG57" i="21"/>
  <c r="BG55" i="21"/>
  <c r="BG53" i="21"/>
  <c r="BG34" i="21"/>
  <c r="BG35" i="21"/>
  <c r="BG32" i="21"/>
  <c r="BG31" i="21"/>
  <c r="BG30" i="21"/>
  <c r="BG83" i="19" s="1"/>
  <c r="BG24" i="21"/>
  <c r="BG22" i="21"/>
  <c r="BG21" i="21"/>
  <c r="BG20" i="21"/>
  <c r="BG19" i="21"/>
  <c r="BG18" i="21"/>
  <c r="BG17" i="21"/>
  <c r="BG16" i="21"/>
  <c r="BG10" i="21"/>
  <c r="BG9" i="21"/>
  <c r="BG8" i="21"/>
  <c r="BG7" i="21"/>
  <c r="BG48" i="19"/>
  <c r="BG43" i="19"/>
  <c r="BG39" i="19"/>
  <c r="BG42" i="19"/>
  <c r="BG41" i="19"/>
  <c r="BG31" i="19"/>
  <c r="BG32" i="19"/>
  <c r="BG30" i="19"/>
  <c r="BG29" i="19"/>
  <c r="BG106" i="19" s="1"/>
  <c r="BG28" i="19"/>
  <c r="BG100" i="19" s="1"/>
  <c r="BG21" i="19"/>
  <c r="BG20" i="19"/>
  <c r="BG19" i="19"/>
  <c r="BG18" i="19"/>
  <c r="BG141" i="19" s="1"/>
  <c r="BG17" i="19"/>
  <c r="BG16" i="19"/>
  <c r="BG15" i="19"/>
  <c r="BG11" i="19"/>
  <c r="BG77" i="19" s="1"/>
  <c r="BG10" i="19"/>
  <c r="BG9" i="19"/>
  <c r="BG71" i="19" s="1"/>
  <c r="BG8" i="19"/>
  <c r="BG7" i="19"/>
  <c r="BG119" i="24"/>
  <c r="BG106" i="24"/>
  <c r="BG95" i="24"/>
  <c r="BH98" i="24" s="1"/>
  <c r="BG85" i="24"/>
  <c r="BH88" i="24" s="1"/>
  <c r="BG90" i="24"/>
  <c r="BH93" i="24" s="1"/>
  <c r="BG69" i="24"/>
  <c r="BG112" i="24"/>
  <c r="BG107" i="24"/>
  <c r="BG47" i="24"/>
  <c r="BG39" i="24"/>
  <c r="BG78" i="24" s="1"/>
  <c r="BG166" i="27" s="1"/>
  <c r="BG67" i="27" l="1"/>
  <c r="BG70" i="27" s="1"/>
  <c r="BH11" i="27"/>
  <c r="BI13" i="27" s="1"/>
  <c r="BQ119" i="24"/>
  <c r="BQ66" i="27"/>
  <c r="BQ58" i="27"/>
  <c r="BQ95" i="27"/>
  <c r="BL66" i="27"/>
  <c r="BL95" i="27" s="1"/>
  <c r="BL58" i="27"/>
  <c r="BL59" i="27" s="1"/>
  <c r="BG68" i="27"/>
  <c r="BG115" i="19"/>
  <c r="BG132" i="19"/>
  <c r="BG142" i="19" s="1"/>
  <c r="BG136" i="19"/>
  <c r="BG111" i="19"/>
  <c r="BG80" i="24"/>
  <c r="BG162" i="27"/>
  <c r="BG175" i="27" s="1"/>
  <c r="BK119" i="24"/>
  <c r="BO11" i="24"/>
  <c r="BN11" i="24"/>
  <c r="BM11" i="24"/>
  <c r="BL11" i="24"/>
  <c r="BO10" i="24"/>
  <c r="BN10" i="24"/>
  <c r="BM10" i="24"/>
  <c r="BL10" i="24"/>
  <c r="BJ11" i="24"/>
  <c r="BI11" i="24"/>
  <c r="BH11" i="24"/>
  <c r="BG11" i="24"/>
  <c r="BJ10" i="24"/>
  <c r="BI10" i="24"/>
  <c r="BH10" i="24"/>
  <c r="BG10" i="24"/>
  <c r="BE11" i="24"/>
  <c r="BD11" i="24"/>
  <c r="BC11" i="24"/>
  <c r="BB11" i="24"/>
  <c r="BE10" i="24"/>
  <c r="BD10" i="24"/>
  <c r="BC10" i="24"/>
  <c r="BB10" i="24"/>
  <c r="AY11" i="24"/>
  <c r="AZ11" i="24"/>
  <c r="AX11" i="24"/>
  <c r="AW11" i="24"/>
  <c r="AX10" i="24"/>
  <c r="AY10" i="24"/>
  <c r="AZ10" i="24"/>
  <c r="AW10" i="24"/>
  <c r="BL14" i="24"/>
  <c r="BM14" i="24"/>
  <c r="BN14" i="24"/>
  <c r="BO14" i="24"/>
  <c r="BH14" i="24"/>
  <c r="BI14" i="24"/>
  <c r="BJ14" i="24"/>
  <c r="BQ108" i="20" l="1"/>
  <c r="BQ65" i="19"/>
  <c r="BR119" i="24"/>
  <c r="BQ59" i="27"/>
  <c r="BG177" i="27"/>
  <c r="BG178" i="27" s="1"/>
  <c r="BG176" i="27" s="1"/>
  <c r="BG120" i="19"/>
  <c r="BG137" i="19"/>
  <c r="BS119" i="24" l="1"/>
  <c r="BR108" i="20"/>
  <c r="BR65" i="19"/>
  <c r="BG182" i="27"/>
  <c r="BO122" i="27"/>
  <c r="BN122" i="27"/>
  <c r="BM122" i="27"/>
  <c r="BL122" i="27"/>
  <c r="BJ122" i="27"/>
  <c r="BI122" i="27"/>
  <c r="BH122" i="27"/>
  <c r="BO125" i="27"/>
  <c r="BN125" i="27"/>
  <c r="BM125" i="27"/>
  <c r="BL125" i="27"/>
  <c r="BO124" i="27"/>
  <c r="BN124" i="27"/>
  <c r="BM124" i="27"/>
  <c r="BL124" i="27"/>
  <c r="BO123" i="27"/>
  <c r="BN123" i="27"/>
  <c r="BM123" i="27"/>
  <c r="BL123" i="27"/>
  <c r="BJ125" i="27"/>
  <c r="BI125" i="27"/>
  <c r="BH125" i="27"/>
  <c r="BJ124" i="27"/>
  <c r="BI124" i="27"/>
  <c r="BH124" i="27"/>
  <c r="BJ123" i="27"/>
  <c r="BI123" i="27"/>
  <c r="BH123" i="27"/>
  <c r="BF15" i="27"/>
  <c r="BE122" i="24"/>
  <c r="BF122" i="24" s="1"/>
  <c r="BO117" i="27"/>
  <c r="BN117" i="27"/>
  <c r="BM117" i="27"/>
  <c r="BL117" i="27"/>
  <c r="BO116" i="27"/>
  <c r="BN116" i="27"/>
  <c r="BM116" i="27"/>
  <c r="BL116" i="27"/>
  <c r="BO115" i="27"/>
  <c r="BN115" i="27"/>
  <c r="BM115" i="27"/>
  <c r="BL115" i="27"/>
  <c r="BO114" i="27"/>
  <c r="BN114" i="27"/>
  <c r="BM114" i="27"/>
  <c r="BL114" i="27"/>
  <c r="BE106" i="27"/>
  <c r="BE104" i="27"/>
  <c r="BE100" i="27"/>
  <c r="BT119" i="24" l="1"/>
  <c r="BU119" i="24" s="1"/>
  <c r="BS108" i="20"/>
  <c r="BS65" i="19"/>
  <c r="BE99" i="27"/>
  <c r="BE120" i="27" s="1"/>
  <c r="BG121" i="27"/>
  <c r="BE105" i="27"/>
  <c r="BG124" i="27" s="1"/>
  <c r="BG125" i="27"/>
  <c r="BE103" i="27"/>
  <c r="BG122" i="27" s="1"/>
  <c r="BG123" i="27"/>
  <c r="BJ115" i="27"/>
  <c r="BJ117" i="27"/>
  <c r="BU65" i="19" l="1"/>
  <c r="BU108" i="20"/>
  <c r="BT65" i="19"/>
  <c r="BT108" i="20"/>
  <c r="BJ114" i="27"/>
  <c r="BJ116" i="27"/>
  <c r="BG120" i="27"/>
  <c r="BE59" i="20"/>
  <c r="BE76" i="20"/>
  <c r="BE9" i="14"/>
  <c r="BE57" i="21"/>
  <c r="BE48" i="21"/>
  <c r="BE53" i="21"/>
  <c r="BE33" i="21"/>
  <c r="BE31" i="21"/>
  <c r="BE30" i="21"/>
  <c r="BE83" i="19" s="1"/>
  <c r="BE29" i="21"/>
  <c r="BE24" i="21"/>
  <c r="BE22" i="21"/>
  <c r="BE21" i="21"/>
  <c r="BE20" i="21"/>
  <c r="BE19" i="21"/>
  <c r="BE18" i="21"/>
  <c r="BE17" i="21"/>
  <c r="BE16" i="21"/>
  <c r="BE13" i="21"/>
  <c r="BE10" i="21"/>
  <c r="BE9" i="21"/>
  <c r="BE8" i="21"/>
  <c r="BE7" i="21"/>
  <c r="BE43" i="19"/>
  <c r="BE42" i="19"/>
  <c r="BE41" i="19"/>
  <c r="BE31" i="19"/>
  <c r="BE30" i="19"/>
  <c r="BF30" i="19" s="1"/>
  <c r="BE29" i="19"/>
  <c r="BE106" i="19" s="1"/>
  <c r="BG109" i="19" s="1"/>
  <c r="BE28" i="19"/>
  <c r="BE100" i="19" s="1"/>
  <c r="BG103" i="19" s="1"/>
  <c r="BE39" i="19"/>
  <c r="BE32" i="19"/>
  <c r="BE21" i="19"/>
  <c r="BE17" i="19"/>
  <c r="BE18" i="19"/>
  <c r="BE141" i="19" s="1"/>
  <c r="BG144" i="19" s="1"/>
  <c r="BE20" i="19"/>
  <c r="BE19" i="19"/>
  <c r="BE16" i="19"/>
  <c r="BG82" i="19" s="1"/>
  <c r="BG86" i="19" s="1"/>
  <c r="BE15" i="19"/>
  <c r="BE11" i="19"/>
  <c r="BE77" i="19" s="1"/>
  <c r="BG80" i="19" s="1"/>
  <c r="BE10" i="19"/>
  <c r="BE9" i="19"/>
  <c r="BE71" i="19" s="1"/>
  <c r="BG74" i="19" s="1"/>
  <c r="BE8" i="19"/>
  <c r="BE7" i="19"/>
  <c r="BE69" i="24"/>
  <c r="D40" i="17" s="1"/>
  <c r="BE112" i="24"/>
  <c r="D90" i="17" s="1"/>
  <c r="BE106" i="24"/>
  <c r="D82" i="17" s="1"/>
  <c r="BE95" i="24"/>
  <c r="BE90" i="24"/>
  <c r="BE85" i="24"/>
  <c r="BG93" i="24" l="1"/>
  <c r="D63" i="17"/>
  <c r="BG88" i="24"/>
  <c r="D57" i="17"/>
  <c r="BG98" i="24"/>
  <c r="D69" i="17"/>
  <c r="BG21" i="14"/>
  <c r="BE115" i="19"/>
  <c r="BG118" i="19"/>
  <c r="BE74" i="24"/>
  <c r="BE132" i="19"/>
  <c r="BE136" i="19"/>
  <c r="AZ88" i="27"/>
  <c r="BE111" i="19"/>
  <c r="BE107" i="24"/>
  <c r="D83" i="17" s="1"/>
  <c r="BE47" i="24"/>
  <c r="BE39" i="24"/>
  <c r="BE41" i="27"/>
  <c r="BE7" i="27"/>
  <c r="BE80" i="24" l="1"/>
  <c r="BJ48" i="24"/>
  <c r="G23" i="17" s="1"/>
  <c r="D21" i="17"/>
  <c r="BJ42" i="27"/>
  <c r="D10" i="17"/>
  <c r="BE78" i="24"/>
  <c r="BJ40" i="24"/>
  <c r="D13" i="17"/>
  <c r="BE2" i="24"/>
  <c r="BE3" i="24" s="1"/>
  <c r="BG4" i="24" s="1"/>
  <c r="BE58" i="27"/>
  <c r="BG60" i="27" s="1"/>
  <c r="BE91" i="27"/>
  <c r="BE61" i="27" s="1"/>
  <c r="BE50" i="27"/>
  <c r="BE120" i="19"/>
  <c r="BG122" i="19" s="1"/>
  <c r="BE142" i="19"/>
  <c r="BG128" i="19"/>
  <c r="BG129" i="19" s="1"/>
  <c r="BG134" i="19"/>
  <c r="BE137" i="19"/>
  <c r="BG139" i="19" s="1"/>
  <c r="P99" i="17" l="1"/>
  <c r="I99" i="17"/>
  <c r="O99" i="17"/>
  <c r="J99" i="17"/>
  <c r="AS88" i="27"/>
  <c r="BD120" i="27" l="1"/>
  <c r="BD106" i="27"/>
  <c r="BD104" i="27"/>
  <c r="BD100" i="27"/>
  <c r="BD105" i="27" l="1"/>
  <c r="BI117" i="27"/>
  <c r="BE125" i="27"/>
  <c r="BD121" i="27"/>
  <c r="BE121" i="27"/>
  <c r="BD103" i="27"/>
  <c r="BI115" i="27"/>
  <c r="BE123" i="27"/>
  <c r="BD9" i="14"/>
  <c r="BD59" i="20"/>
  <c r="BD111" i="20"/>
  <c r="BI112" i="20" s="1"/>
  <c r="BD62" i="21"/>
  <c r="BD57" i="21"/>
  <c r="BD55" i="21"/>
  <c r="BD53" i="21"/>
  <c r="BD33" i="21"/>
  <c r="BD32" i="21"/>
  <c r="BD31" i="21"/>
  <c r="BD30" i="21"/>
  <c r="BD83" i="19" s="1"/>
  <c r="BD29" i="21"/>
  <c r="BD24" i="21"/>
  <c r="BD22" i="21"/>
  <c r="BD21" i="21"/>
  <c r="BD20" i="21"/>
  <c r="BD19" i="21"/>
  <c r="BD18" i="21"/>
  <c r="BD17" i="21"/>
  <c r="BD16" i="21"/>
  <c r="BD10" i="21"/>
  <c r="BD9" i="21"/>
  <c r="BD8" i="21"/>
  <c r="BD7" i="21"/>
  <c r="BD48" i="19"/>
  <c r="BD43" i="19"/>
  <c r="BD42" i="19"/>
  <c r="BD41" i="19"/>
  <c r="BD39" i="19"/>
  <c r="BD32" i="19"/>
  <c r="BD31" i="19"/>
  <c r="BD30" i="19"/>
  <c r="BD29" i="19"/>
  <c r="BD106" i="19" s="1"/>
  <c r="BI108" i="19" s="1"/>
  <c r="BD28" i="19"/>
  <c r="BD100" i="19" s="1"/>
  <c r="BI102" i="19" s="1"/>
  <c r="BD21" i="19"/>
  <c r="BD17" i="19"/>
  <c r="BD18" i="19"/>
  <c r="BD141" i="19" s="1"/>
  <c r="BE144" i="19" s="1"/>
  <c r="BD20" i="19"/>
  <c r="BE91" i="19" s="1"/>
  <c r="BD19" i="19"/>
  <c r="BD16" i="19"/>
  <c r="BE82" i="19" s="1"/>
  <c r="BD15" i="19"/>
  <c r="BD11" i="19"/>
  <c r="BD77" i="19" s="1"/>
  <c r="BI79" i="19" s="1"/>
  <c r="BD10" i="19"/>
  <c r="BD136" i="19" s="1"/>
  <c r="BD9" i="19"/>
  <c r="BD71" i="19" s="1"/>
  <c r="BI73" i="19" s="1"/>
  <c r="BD8" i="19"/>
  <c r="BD7" i="19"/>
  <c r="BD112" i="24"/>
  <c r="AY112" i="24"/>
  <c r="AY106" i="24"/>
  <c r="BD106" i="24"/>
  <c r="BD95" i="24"/>
  <c r="BD90" i="24"/>
  <c r="BD85" i="24"/>
  <c r="BD69" i="24"/>
  <c r="BD107" i="24"/>
  <c r="BD119" i="24"/>
  <c r="BD47" i="24"/>
  <c r="BD39" i="24"/>
  <c r="BD7" i="27"/>
  <c r="BD41" i="27"/>
  <c r="AX9" i="14"/>
  <c r="AK18" i="20"/>
  <c r="AJ18" i="20"/>
  <c r="AG18" i="20"/>
  <c r="AF18" i="20"/>
  <c r="AE18" i="20"/>
  <c r="AC18" i="20"/>
  <c r="AB18" i="20"/>
  <c r="AA18" i="20"/>
  <c r="Z18" i="20"/>
  <c r="X18" i="20"/>
  <c r="W18" i="20"/>
  <c r="V18" i="20"/>
  <c r="U18" i="20"/>
  <c r="S18" i="20"/>
  <c r="R18" i="20"/>
  <c r="Q18" i="20"/>
  <c r="P18" i="20"/>
  <c r="N18" i="20"/>
  <c r="N17" i="20"/>
  <c r="O17" i="20"/>
  <c r="P17" i="20"/>
  <c r="Q17" i="20"/>
  <c r="S17" i="20"/>
  <c r="T17" i="20"/>
  <c r="U17" i="20"/>
  <c r="V17" i="20"/>
  <c r="M18" i="20"/>
  <c r="L18" i="20"/>
  <c r="K18" i="20"/>
  <c r="J18" i="20"/>
  <c r="I18" i="20"/>
  <c r="AI17" i="20"/>
  <c r="AH17" i="20"/>
  <c r="AE17" i="20"/>
  <c r="AD17" i="20"/>
  <c r="AC17" i="20"/>
  <c r="AA17" i="20"/>
  <c r="Z17" i="20"/>
  <c r="Y17" i="20"/>
  <c r="X17" i="20"/>
  <c r="L17" i="20"/>
  <c r="K17" i="20"/>
  <c r="J17" i="20"/>
  <c r="I17" i="20"/>
  <c r="BI71" i="24" l="1"/>
  <c r="BD17" i="20"/>
  <c r="BI113" i="19"/>
  <c r="BE88" i="24"/>
  <c r="D60" i="17" s="1"/>
  <c r="BI87" i="24"/>
  <c r="BE118" i="19"/>
  <c r="BI117" i="19"/>
  <c r="BI42" i="27"/>
  <c r="BE93" i="24"/>
  <c r="BI92" i="24"/>
  <c r="BE11" i="27"/>
  <c r="BI8" i="27"/>
  <c r="BE98" i="24"/>
  <c r="BI97" i="24"/>
  <c r="BD78" i="24"/>
  <c r="BI40" i="24"/>
  <c r="BI48" i="24"/>
  <c r="BE21" i="14"/>
  <c r="BD2" i="24"/>
  <c r="BD3" i="24" s="1"/>
  <c r="BE4" i="24" s="1"/>
  <c r="BE43" i="24"/>
  <c r="BD50" i="27"/>
  <c r="BI51" i="27" s="1"/>
  <c r="BE86" i="19"/>
  <c r="BE89" i="19"/>
  <c r="BE87" i="19" s="1"/>
  <c r="BD80" i="24"/>
  <c r="BI114" i="27"/>
  <c r="BE122" i="27"/>
  <c r="BE95" i="19"/>
  <c r="BE98" i="19"/>
  <c r="BE96" i="19" s="1"/>
  <c r="BI116" i="27"/>
  <c r="BE124" i="27"/>
  <c r="BD115" i="19"/>
  <c r="BD132" i="19"/>
  <c r="BD111" i="19"/>
  <c r="BD142" i="19" l="1"/>
  <c r="BI133" i="19"/>
  <c r="BE44" i="24"/>
  <c r="BE45" i="24"/>
  <c r="BD137" i="19"/>
  <c r="BD120" i="19"/>
  <c r="AV15" i="27"/>
  <c r="BA15" i="27"/>
  <c r="BE122" i="19" l="1"/>
  <c r="BI121" i="19"/>
  <c r="AR10" i="14"/>
  <c r="AR9" i="14"/>
  <c r="AW9" i="14"/>
  <c r="AW106" i="27" l="1"/>
  <c r="AW104" i="27"/>
  <c r="AX106" i="27"/>
  <c r="AX104" i="27"/>
  <c r="AY106" i="27"/>
  <c r="AZ106" i="27"/>
  <c r="AY104" i="27"/>
  <c r="BH99" i="27"/>
  <c r="BI99" i="27" s="1"/>
  <c r="BJ99" i="27" s="1"/>
  <c r="BL99" i="27" s="1"/>
  <c r="BM99" i="27" s="1"/>
  <c r="BN99" i="27" s="1"/>
  <c r="BO99" i="27" s="1"/>
  <c r="BQ133" i="27" l="1"/>
  <c r="BQ99" i="27"/>
  <c r="AY103" i="27"/>
  <c r="AY115" i="27"/>
  <c r="AY123" i="27"/>
  <c r="BD115" i="27"/>
  <c r="AZ105" i="27"/>
  <c r="AZ125" i="27"/>
  <c r="AZ117" i="27"/>
  <c r="BE117" i="27"/>
  <c r="AY105" i="27"/>
  <c r="AY125" i="27"/>
  <c r="AY117" i="27"/>
  <c r="BD117" i="27"/>
  <c r="AX103" i="27"/>
  <c r="AX123" i="27"/>
  <c r="AX115" i="27"/>
  <c r="AX105" i="27"/>
  <c r="AX117" i="27"/>
  <c r="AX125" i="27"/>
  <c r="AW103" i="27"/>
  <c r="AW115" i="27"/>
  <c r="AW105" i="27"/>
  <c r="AW116" i="27" s="1"/>
  <c r="AW117" i="27"/>
  <c r="BD108" i="27"/>
  <c r="BR99" i="27" l="1"/>
  <c r="BQ136" i="27"/>
  <c r="BQ127" i="27"/>
  <c r="BR133" i="27"/>
  <c r="BQ112" i="27"/>
  <c r="AZ116" i="27"/>
  <c r="AZ124" i="27"/>
  <c r="BE116" i="27"/>
  <c r="AW114" i="27"/>
  <c r="AX116" i="27"/>
  <c r="AX124" i="27"/>
  <c r="AX114" i="27"/>
  <c r="AX122" i="27"/>
  <c r="AY116" i="27"/>
  <c r="AY124" i="27"/>
  <c r="BD116" i="27"/>
  <c r="AY122" i="27"/>
  <c r="AY114" i="27"/>
  <c r="BD114" i="27"/>
  <c r="BE108" i="27"/>
  <c r="BG145" i="27"/>
  <c r="BO136" i="27"/>
  <c r="BN136" i="27"/>
  <c r="BM136" i="27"/>
  <c r="BL136" i="27"/>
  <c r="BO133" i="27"/>
  <c r="BN133" i="27"/>
  <c r="BM133" i="27"/>
  <c r="BL133" i="27"/>
  <c r="BO127" i="27"/>
  <c r="BN127" i="27"/>
  <c r="BM127" i="27"/>
  <c r="BL127" i="27"/>
  <c r="BJ136" i="27"/>
  <c r="BI136" i="27"/>
  <c r="BH136" i="27"/>
  <c r="BG136" i="27"/>
  <c r="BJ133" i="27"/>
  <c r="BI133" i="27"/>
  <c r="BH133" i="27"/>
  <c r="BG133" i="27"/>
  <c r="BJ127" i="27"/>
  <c r="BI127" i="27"/>
  <c r="BH127" i="27"/>
  <c r="BG127" i="27"/>
  <c r="BC106" i="27"/>
  <c r="BB106" i="27"/>
  <c r="BB104" i="27"/>
  <c r="BC104" i="27"/>
  <c r="BS99" i="27" l="1"/>
  <c r="BR127" i="27"/>
  <c r="BR112" i="27"/>
  <c r="BR136" i="27"/>
  <c r="BS133" i="27"/>
  <c r="BC103" i="27"/>
  <c r="BC123" i="27"/>
  <c r="BH115" i="27"/>
  <c r="BC115" i="27"/>
  <c r="BD123" i="27"/>
  <c r="BB105" i="27"/>
  <c r="BB125" i="27"/>
  <c r="BG117" i="27"/>
  <c r="BB117" i="27"/>
  <c r="BB103" i="27"/>
  <c r="BG115" i="27"/>
  <c r="BB115" i="27"/>
  <c r="BC105" i="27"/>
  <c r="BC125" i="27"/>
  <c r="BH117" i="27"/>
  <c r="BC117" i="27"/>
  <c r="BD125" i="27"/>
  <c r="BG128" i="27"/>
  <c r="BH100" i="27"/>
  <c r="BG108" i="27"/>
  <c r="BP17" i="6"/>
  <c r="BC54" i="20"/>
  <c r="BC67" i="20"/>
  <c r="BC69" i="20"/>
  <c r="BC61" i="20"/>
  <c r="BC59" i="20"/>
  <c r="BB54" i="20"/>
  <c r="BC111" i="20"/>
  <c r="BC9" i="14"/>
  <c r="BC7" i="27"/>
  <c r="BD11" i="27" s="1"/>
  <c r="BC41" i="27"/>
  <c r="BC62" i="21"/>
  <c r="BC57" i="21"/>
  <c r="BC53" i="21"/>
  <c r="BC33" i="21"/>
  <c r="BC34" i="21"/>
  <c r="BC32" i="21"/>
  <c r="BC31" i="21"/>
  <c r="BC30" i="21"/>
  <c r="BC83" i="19" s="1"/>
  <c r="BC29" i="21"/>
  <c r="BC24" i="21"/>
  <c r="BC22" i="21"/>
  <c r="BC21" i="21"/>
  <c r="BC20" i="21"/>
  <c r="BC19" i="21"/>
  <c r="BC18" i="21"/>
  <c r="BC17" i="21"/>
  <c r="BC16" i="21"/>
  <c r="BC10" i="21"/>
  <c r="BC9" i="21"/>
  <c r="BC8" i="21"/>
  <c r="BC7" i="21"/>
  <c r="BC48" i="19"/>
  <c r="BC42" i="19"/>
  <c r="BC41" i="19"/>
  <c r="BC39" i="19"/>
  <c r="BC30" i="19"/>
  <c r="BC31" i="19"/>
  <c r="BC32" i="19"/>
  <c r="BC29" i="19"/>
  <c r="BC106" i="19" s="1"/>
  <c r="BE109" i="19" s="1"/>
  <c r="BC28" i="19"/>
  <c r="BC100" i="19" s="1"/>
  <c r="BE103" i="19" s="1"/>
  <c r="BC21" i="19"/>
  <c r="BC17" i="19"/>
  <c r="BC18" i="19"/>
  <c r="BC141" i="19" s="1"/>
  <c r="BD144" i="19" s="1"/>
  <c r="BC20" i="19"/>
  <c r="BD91" i="19" s="1"/>
  <c r="BC19" i="19"/>
  <c r="BC16" i="19"/>
  <c r="BD82" i="19" s="1"/>
  <c r="BC15" i="19"/>
  <c r="BC11" i="19"/>
  <c r="BC77" i="19" s="1"/>
  <c r="BE80" i="19" s="1"/>
  <c r="BC10" i="19"/>
  <c r="BC136" i="19" s="1"/>
  <c r="BC9" i="19"/>
  <c r="BC71" i="19" s="1"/>
  <c r="BE74" i="19" s="1"/>
  <c r="BC8" i="19"/>
  <c r="BC7" i="19"/>
  <c r="BC106" i="24"/>
  <c r="BC112" i="24"/>
  <c r="BC119" i="24"/>
  <c r="BC107" i="24"/>
  <c r="BC95" i="24"/>
  <c r="BC90" i="24"/>
  <c r="BC85" i="24"/>
  <c r="BC69" i="24"/>
  <c r="BC47" i="24"/>
  <c r="BC39" i="24"/>
  <c r="BH40" i="24" s="1"/>
  <c r="BE13" i="27" l="1"/>
  <c r="BI12" i="27"/>
  <c r="BH48" i="24"/>
  <c r="BH42" i="27"/>
  <c r="BC78" i="24"/>
  <c r="D49" i="17"/>
  <c r="D51" i="17"/>
  <c r="D45" i="17"/>
  <c r="BD88" i="24"/>
  <c r="BD93" i="24"/>
  <c r="BD98" i="24"/>
  <c r="BS112" i="27"/>
  <c r="BT99" i="27"/>
  <c r="BS136" i="27"/>
  <c r="BT133" i="27"/>
  <c r="BS127" i="27"/>
  <c r="BC15" i="14"/>
  <c r="BD21" i="14"/>
  <c r="BD43" i="24"/>
  <c r="BC50" i="27"/>
  <c r="BD89" i="19"/>
  <c r="BD87" i="19" s="1"/>
  <c r="BD86" i="19"/>
  <c r="BC162" i="27"/>
  <c r="BD153" i="27"/>
  <c r="BD154" i="27" s="1"/>
  <c r="BC2" i="24"/>
  <c r="BC3" i="24" s="1"/>
  <c r="BD4" i="24" s="1"/>
  <c r="BG114" i="27"/>
  <c r="BB114" i="27"/>
  <c r="BH116" i="27"/>
  <c r="BC116" i="27"/>
  <c r="BC124" i="27"/>
  <c r="BD124" i="27"/>
  <c r="BG116" i="27"/>
  <c r="BB116" i="27"/>
  <c r="BB124" i="27"/>
  <c r="BH114" i="27"/>
  <c r="BC122" i="27"/>
  <c r="BC114" i="27"/>
  <c r="BD122" i="27"/>
  <c r="BD98" i="19"/>
  <c r="BD96" i="19" s="1"/>
  <c r="BD95" i="19"/>
  <c r="BC115" i="19"/>
  <c r="BD118" i="19"/>
  <c r="BC111" i="19"/>
  <c r="BE18" i="20"/>
  <c r="BC17" i="20"/>
  <c r="BI100" i="27"/>
  <c r="BH108" i="27"/>
  <c r="BH145" i="27"/>
  <c r="BH128" i="27"/>
  <c r="BC80" i="24"/>
  <c r="BC132" i="19"/>
  <c r="D75" i="17" l="1"/>
  <c r="BT112" i="27"/>
  <c r="BT136" i="27"/>
  <c r="BT127" i="27"/>
  <c r="BD44" i="24"/>
  <c r="BD45" i="24"/>
  <c r="BC137" i="19"/>
  <c r="BE139" i="19" s="1"/>
  <c r="BE128" i="19"/>
  <c r="BE129" i="19" s="1"/>
  <c r="BE134" i="19"/>
  <c r="BC120" i="19"/>
  <c r="BD122" i="19" s="1"/>
  <c r="BJ100" i="27"/>
  <c r="BI108" i="27"/>
  <c r="BI128" i="27"/>
  <c r="BI145" i="27"/>
  <c r="BC142" i="19"/>
  <c r="BJ108" i="27" l="1"/>
  <c r="BL100" i="27"/>
  <c r="BJ128" i="27"/>
  <c r="BJ145" i="27"/>
  <c r="BP46" i="20"/>
  <c r="BP34" i="20"/>
  <c r="BO5" i="20"/>
  <c r="BN5" i="20"/>
  <c r="BM5" i="20"/>
  <c r="BL5" i="20"/>
  <c r="BL4" i="20"/>
  <c r="BL46" i="20" s="1"/>
  <c r="BP62" i="21"/>
  <c r="BO60" i="21"/>
  <c r="BN60" i="21"/>
  <c r="BM60" i="21"/>
  <c r="BL60" i="21"/>
  <c r="BP57" i="21"/>
  <c r="BP55" i="21"/>
  <c r="BP54" i="21"/>
  <c r="BP53" i="21"/>
  <c r="BP52" i="21"/>
  <c r="BP51" i="21"/>
  <c r="BP50" i="21"/>
  <c r="BP49" i="21"/>
  <c r="BP48" i="21"/>
  <c r="BP47" i="21"/>
  <c r="BP46" i="21"/>
  <c r="BP45" i="21"/>
  <c r="BP44" i="21"/>
  <c r="BP43" i="21"/>
  <c r="BP42" i="21"/>
  <c r="BP41" i="21"/>
  <c r="BP40" i="21"/>
  <c r="BP35" i="21"/>
  <c r="BP34" i="21"/>
  <c r="BP33" i="21"/>
  <c r="BP32" i="21"/>
  <c r="BP29" i="21"/>
  <c r="BP15" i="21"/>
  <c r="BP14" i="21"/>
  <c r="BP12" i="21"/>
  <c r="BP11" i="21"/>
  <c r="BO5" i="21"/>
  <c r="BN5" i="21"/>
  <c r="BM5" i="21"/>
  <c r="BL5" i="21"/>
  <c r="BM100" i="27" l="1"/>
  <c r="BM113" i="27" s="1"/>
  <c r="BL108" i="27"/>
  <c r="BL145" i="27"/>
  <c r="BL128" i="27"/>
  <c r="BP60" i="21"/>
  <c r="BP5" i="19"/>
  <c r="BP5" i="21" s="1"/>
  <c r="BB41" i="27"/>
  <c r="BL113" i="27"/>
  <c r="BO112" i="27"/>
  <c r="BN112" i="27"/>
  <c r="BM112" i="27"/>
  <c r="BL112" i="27"/>
  <c r="BP32" i="27"/>
  <c r="BO29" i="27"/>
  <c r="BO47" i="20" s="1"/>
  <c r="BN29" i="27"/>
  <c r="BN47" i="20" s="1"/>
  <c r="BM29" i="27"/>
  <c r="BM47" i="20" s="1"/>
  <c r="BL29" i="27"/>
  <c r="BL47" i="20" s="1"/>
  <c r="BL28" i="27"/>
  <c r="BO5" i="27"/>
  <c r="W4" i="28" s="1"/>
  <c r="BN5" i="27"/>
  <c r="V4" i="28" s="1"/>
  <c r="BM5" i="27"/>
  <c r="U4" i="28" s="1"/>
  <c r="BL5" i="27"/>
  <c r="T4" i="28" s="1"/>
  <c r="BL4" i="27"/>
  <c r="BG42" i="27" l="1"/>
  <c r="BB58" i="27"/>
  <c r="BG59" i="27" s="1"/>
  <c r="BC43" i="24"/>
  <c r="BC153" i="27"/>
  <c r="BC154" i="27" s="1"/>
  <c r="BB2" i="24"/>
  <c r="BB3" i="24" s="1"/>
  <c r="BC4" i="24" s="1"/>
  <c r="BB91" i="27"/>
  <c r="BB61" i="27" s="1"/>
  <c r="BN100" i="27"/>
  <c r="BM108" i="27"/>
  <c r="BM128" i="27"/>
  <c r="BM145" i="27"/>
  <c r="BP23" i="24"/>
  <c r="BC45" i="24" l="1"/>
  <c r="BC44" i="24"/>
  <c r="BO100" i="27"/>
  <c r="BQ100" i="27" s="1"/>
  <c r="BN108" i="27"/>
  <c r="BN145" i="27"/>
  <c r="BN128" i="27"/>
  <c r="BN113" i="27"/>
  <c r="BP5" i="20"/>
  <c r="BP5" i="27"/>
  <c r="BP29" i="27"/>
  <c r="BP47" i="20" s="1"/>
  <c r="BB10" i="14"/>
  <c r="BG16" i="14" s="1"/>
  <c r="BB9" i="14"/>
  <c r="BG15" i="14" s="1"/>
  <c r="BR100" i="27" l="1"/>
  <c r="BQ145" i="27"/>
  <c r="BQ128" i="27"/>
  <c r="BQ113" i="27"/>
  <c r="BQ108" i="27"/>
  <c r="BO108" i="27"/>
  <c r="BO128" i="27"/>
  <c r="BO145" i="27"/>
  <c r="BO113" i="27"/>
  <c r="BB100" i="27"/>
  <c r="BR128" i="27" l="1"/>
  <c r="BR113" i="27"/>
  <c r="BR145" i="27"/>
  <c r="BR108" i="27"/>
  <c r="BS100" i="27"/>
  <c r="BB99" i="27"/>
  <c r="BC121" i="27"/>
  <c r="BB7" i="27"/>
  <c r="BB81" i="20"/>
  <c r="BB80" i="20"/>
  <c r="BB61" i="20"/>
  <c r="BB69" i="20"/>
  <c r="BB59" i="20"/>
  <c r="BB111" i="20"/>
  <c r="BB62" i="21"/>
  <c r="BB57" i="21"/>
  <c r="BB55" i="21"/>
  <c r="BB53" i="21"/>
  <c r="BB33" i="21"/>
  <c r="BB32" i="21"/>
  <c r="BB31" i="21"/>
  <c r="BB30" i="21"/>
  <c r="BB83" i="19" s="1"/>
  <c r="BF83" i="19" s="1"/>
  <c r="BB24" i="21"/>
  <c r="BB22" i="21"/>
  <c r="BB21" i="21"/>
  <c r="BB20" i="21"/>
  <c r="BB19" i="21"/>
  <c r="BB18" i="21"/>
  <c r="BB17" i="21"/>
  <c r="BB16" i="21"/>
  <c r="BB13" i="21"/>
  <c r="BB10" i="21"/>
  <c r="BB9" i="21"/>
  <c r="BB8" i="21"/>
  <c r="BB7" i="21"/>
  <c r="BB43" i="19"/>
  <c r="BB39" i="19"/>
  <c r="BB42" i="19"/>
  <c r="BB41" i="19"/>
  <c r="BB32" i="19"/>
  <c r="BG113" i="19" s="1"/>
  <c r="BB31" i="19"/>
  <c r="BB29" i="19"/>
  <c r="BB28" i="19"/>
  <c r="BB21" i="19"/>
  <c r="BB20" i="19"/>
  <c r="BC91" i="19" s="1"/>
  <c r="BB19" i="19"/>
  <c r="BB18" i="19"/>
  <c r="BB17" i="19"/>
  <c r="BB16" i="19"/>
  <c r="BC82" i="19" s="1"/>
  <c r="BB15" i="19"/>
  <c r="BB11" i="19"/>
  <c r="BB10" i="19"/>
  <c r="BB9" i="19"/>
  <c r="BB8" i="19"/>
  <c r="BB7" i="19"/>
  <c r="BB106" i="24"/>
  <c r="BB112" i="24"/>
  <c r="BB119" i="24"/>
  <c r="BB107" i="24"/>
  <c r="BB47" i="24"/>
  <c r="BB39" i="24"/>
  <c r="BB78" i="24" s="1"/>
  <c r="BS128" i="27" l="1"/>
  <c r="BS113" i="27"/>
  <c r="BS145" i="27"/>
  <c r="BS108" i="27"/>
  <c r="BT100" i="27"/>
  <c r="L99" i="17"/>
  <c r="BF119" i="24"/>
  <c r="BC11" i="27"/>
  <c r="BB50" i="27"/>
  <c r="BC118" i="19"/>
  <c r="BG117" i="19"/>
  <c r="BC89" i="19"/>
  <c r="BC87" i="19" s="1"/>
  <c r="BC86" i="19"/>
  <c r="BG40" i="24"/>
  <c r="BG48" i="24"/>
  <c r="BC88" i="24"/>
  <c r="BB162" i="27"/>
  <c r="BC93" i="24"/>
  <c r="BC98" i="24"/>
  <c r="BD18" i="20"/>
  <c r="BB17" i="20"/>
  <c r="BC120" i="27"/>
  <c r="BB80" i="24"/>
  <c r="BD13" i="27" l="1"/>
  <c r="BH12" i="27"/>
  <c r="BK134" i="24"/>
  <c r="BT145" i="27"/>
  <c r="BT128" i="27"/>
  <c r="BT113" i="27"/>
  <c r="BT108" i="27"/>
  <c r="M99" i="17"/>
  <c r="BA44" i="14"/>
  <c r="BA45" i="14" s="1"/>
  <c r="AZ122" i="24"/>
  <c r="BA122" i="24" s="1"/>
  <c r="BF123" i="24" s="1"/>
  <c r="AU104" i="27"/>
  <c r="AW123" i="27" s="1"/>
  <c r="AZ104" i="27"/>
  <c r="AZ100" i="27"/>
  <c r="AZ103" i="27" l="1"/>
  <c r="BE115" i="27"/>
  <c r="AZ115" i="27"/>
  <c r="AZ123" i="27"/>
  <c r="BB123" i="27"/>
  <c r="AZ99" i="27"/>
  <c r="BB121" i="27"/>
  <c r="AU103" i="27"/>
  <c r="AW122" i="27" s="1"/>
  <c r="AZ122" i="27" l="1"/>
  <c r="AZ114" i="27"/>
  <c r="BE114" i="27"/>
  <c r="BB122" i="27"/>
  <c r="BB120" i="27"/>
  <c r="AZ69" i="20"/>
  <c r="AZ111" i="20"/>
  <c r="AZ81" i="20"/>
  <c r="AZ80" i="20"/>
  <c r="AZ10" i="14"/>
  <c r="AZ9" i="14"/>
  <c r="BE15" i="14" s="1"/>
  <c r="AZ62" i="21"/>
  <c r="AZ57" i="21"/>
  <c r="AZ53" i="21"/>
  <c r="AZ42" i="21"/>
  <c r="AZ34" i="21"/>
  <c r="AZ33" i="21"/>
  <c r="AZ32" i="21"/>
  <c r="AZ31" i="21"/>
  <c r="AZ30" i="21"/>
  <c r="AZ83" i="19" s="1"/>
  <c r="AZ29" i="21"/>
  <c r="AZ24" i="21"/>
  <c r="AZ22" i="21"/>
  <c r="AZ21" i="21"/>
  <c r="AZ20" i="21"/>
  <c r="AZ19" i="21"/>
  <c r="AZ18" i="21"/>
  <c r="AZ17" i="21"/>
  <c r="AZ13" i="21"/>
  <c r="AZ16" i="21"/>
  <c r="AZ10" i="21"/>
  <c r="AZ9" i="21"/>
  <c r="AZ8" i="21"/>
  <c r="AZ7" i="21"/>
  <c r="AZ48" i="19"/>
  <c r="AZ43" i="19"/>
  <c r="AZ42" i="19"/>
  <c r="AZ41" i="19"/>
  <c r="AZ39" i="19"/>
  <c r="BE117" i="19" s="1"/>
  <c r="AZ35" i="19"/>
  <c r="AZ31" i="19"/>
  <c r="AZ32" i="19"/>
  <c r="BE113" i="19" s="1"/>
  <c r="AZ29" i="19"/>
  <c r="AZ106" i="19" s="1"/>
  <c r="BE108" i="19" s="1"/>
  <c r="AZ28" i="19"/>
  <c r="AZ100" i="19" s="1"/>
  <c r="BE102" i="19" s="1"/>
  <c r="AZ21" i="19"/>
  <c r="AZ17" i="19"/>
  <c r="AZ18" i="19"/>
  <c r="AZ141" i="19" s="1"/>
  <c r="BE143" i="19" s="1"/>
  <c r="AZ20" i="19"/>
  <c r="AZ19" i="19"/>
  <c r="AZ16" i="19"/>
  <c r="AZ15" i="19"/>
  <c r="AZ11" i="19"/>
  <c r="AZ77" i="19" s="1"/>
  <c r="BE79" i="19" s="1"/>
  <c r="AZ10" i="19"/>
  <c r="AZ9" i="19"/>
  <c r="AZ71" i="19" s="1"/>
  <c r="BE73" i="19" s="1"/>
  <c r="AZ8" i="19"/>
  <c r="AZ7" i="19"/>
  <c r="AZ106" i="24"/>
  <c r="AZ95" i="24"/>
  <c r="BB98" i="24" s="1"/>
  <c r="AZ90" i="24"/>
  <c r="AZ85" i="24"/>
  <c r="BB88" i="24" s="1"/>
  <c r="AZ69" i="24"/>
  <c r="AZ57" i="24"/>
  <c r="AZ65" i="24" s="1"/>
  <c r="AZ119" i="24"/>
  <c r="AZ112" i="24"/>
  <c r="AZ107" i="24"/>
  <c r="AZ47" i="24"/>
  <c r="BE48" i="24" s="1"/>
  <c r="D23" i="17" s="1"/>
  <c r="AZ39" i="24"/>
  <c r="AZ7" i="27"/>
  <c r="AZ11" i="27" s="1"/>
  <c r="AZ41" i="27"/>
  <c r="AZ50" i="27" l="1"/>
  <c r="BB52" i="27" s="1"/>
  <c r="BE42" i="27"/>
  <c r="AZ2" i="24"/>
  <c r="AZ3" i="24" s="1"/>
  <c r="BB4" i="24" s="1"/>
  <c r="AZ91" i="27"/>
  <c r="AZ162" i="27"/>
  <c r="BE40" i="24"/>
  <c r="AZ111" i="19"/>
  <c r="BF18" i="20"/>
  <c r="BB18" i="20"/>
  <c r="AZ17" i="20"/>
  <c r="AZ132" i="19"/>
  <c r="AZ78" i="24"/>
  <c r="AZ80" i="24"/>
  <c r="AZ136" i="19"/>
  <c r="BE138" i="19" s="1"/>
  <c r="AZ115" i="19"/>
  <c r="BB93" i="24"/>
  <c r="AZ120" i="19" l="1"/>
  <c r="BE121" i="19" s="1"/>
  <c r="AZ142" i="19"/>
  <c r="BE133" i="19"/>
  <c r="AZ137" i="19"/>
  <c r="BE145" i="27" l="1"/>
  <c r="BD145" i="27"/>
  <c r="BC145" i="27"/>
  <c r="BB145" i="27"/>
  <c r="BE136" i="27"/>
  <c r="BD136" i="27"/>
  <c r="BC136" i="27"/>
  <c r="BB136" i="27"/>
  <c r="BE133" i="27"/>
  <c r="BD133" i="27"/>
  <c r="BC133" i="27"/>
  <c r="BB133" i="27"/>
  <c r="AZ136" i="27"/>
  <c r="AM133" i="27"/>
  <c r="BE128" i="27"/>
  <c r="BD128" i="27"/>
  <c r="BC128" i="27"/>
  <c r="BB128" i="27"/>
  <c r="BE127" i="27"/>
  <c r="BD127" i="27"/>
  <c r="BC127" i="27"/>
  <c r="BB127" i="27"/>
  <c r="AY10" i="14" l="1"/>
  <c r="AY9" i="14"/>
  <c r="BD15" i="14" s="1"/>
  <c r="AM100" i="27" l="1"/>
  <c r="AN100" i="27"/>
  <c r="AN99" i="27" s="1"/>
  <c r="AO100" i="27"/>
  <c r="AP100" i="27"/>
  <c r="BJ113" i="27"/>
  <c r="BI113" i="27"/>
  <c r="BH113" i="27"/>
  <c r="BG113" i="27"/>
  <c r="BJ112" i="27"/>
  <c r="BI112" i="27"/>
  <c r="BH112" i="27"/>
  <c r="BG112" i="27"/>
  <c r="BE113" i="27"/>
  <c r="BE112" i="27"/>
  <c r="BC108" i="27"/>
  <c r="BB108" i="27"/>
  <c r="AZ108" i="27"/>
  <c r="AN136" i="27" l="1"/>
  <c r="AO133" i="27"/>
  <c r="AM128" i="27"/>
  <c r="AM145" i="27"/>
  <c r="AN128" i="27"/>
  <c r="AN145" i="27"/>
  <c r="AM99" i="27"/>
  <c r="AM108" i="27" s="1"/>
  <c r="AP145" i="27"/>
  <c r="AP128" i="27"/>
  <c r="AP99" i="27"/>
  <c r="AN108" i="27"/>
  <c r="AO128" i="27"/>
  <c r="AO145" i="27"/>
  <c r="AO99" i="27"/>
  <c r="AR100" i="27"/>
  <c r="AR121" i="27" s="1"/>
  <c r="AS100" i="27"/>
  <c r="AT100" i="27"/>
  <c r="AU100" i="27"/>
  <c r="AU99" i="27"/>
  <c r="AX99" i="27"/>
  <c r="AX100" i="27"/>
  <c r="AY99" i="27"/>
  <c r="AY100" i="27"/>
  <c r="AY120" i="27" l="1"/>
  <c r="AZ120" i="27"/>
  <c r="AY121" i="27"/>
  <c r="AZ121" i="27"/>
  <c r="AZ171" i="27" s="1"/>
  <c r="AS121" i="27"/>
  <c r="AS171" i="27" s="1"/>
  <c r="AU121" i="27"/>
  <c r="AT113" i="27"/>
  <c r="AT121" i="27"/>
  <c r="AN127" i="27"/>
  <c r="AR128" i="27"/>
  <c r="AR145" i="27"/>
  <c r="AR113" i="27"/>
  <c r="AU112" i="27"/>
  <c r="AP127" i="27"/>
  <c r="AP136" i="27"/>
  <c r="AR133" i="27"/>
  <c r="AY136" i="27"/>
  <c r="AZ133" i="27"/>
  <c r="AZ127" i="27"/>
  <c r="AY127" i="27"/>
  <c r="BD112" i="27"/>
  <c r="AS128" i="27"/>
  <c r="AS145" i="27"/>
  <c r="AS113" i="27"/>
  <c r="AS99" i="27"/>
  <c r="AR99" i="27"/>
  <c r="AR120" i="27" s="1"/>
  <c r="AP108" i="27"/>
  <c r="AU145" i="27"/>
  <c r="AU128" i="27"/>
  <c r="AU108" i="27"/>
  <c r="AZ113" i="27"/>
  <c r="AU113" i="27"/>
  <c r="AT128" i="27"/>
  <c r="AT145" i="27"/>
  <c r="AX108" i="27"/>
  <c r="BC113" i="27"/>
  <c r="AX113" i="27"/>
  <c r="AX136" i="27"/>
  <c r="AY133" i="27"/>
  <c r="BC112" i="27"/>
  <c r="AW133" i="27"/>
  <c r="AU136" i="27"/>
  <c r="AZ112" i="27"/>
  <c r="AO136" i="27"/>
  <c r="AO127" i="27"/>
  <c r="AP133" i="27"/>
  <c r="AO108" i="27"/>
  <c r="AY128" i="27"/>
  <c r="AZ128" i="27"/>
  <c r="AZ145" i="27"/>
  <c r="AY145" i="27"/>
  <c r="AY108" i="27"/>
  <c r="BD113" i="27"/>
  <c r="AY113" i="27"/>
  <c r="AT99" i="27"/>
  <c r="AU120" i="27" s="1"/>
  <c r="AM136" i="27"/>
  <c r="AN133" i="27"/>
  <c r="AM127" i="27"/>
  <c r="AX111" i="20"/>
  <c r="AS120" i="27" l="1"/>
  <c r="AU127" i="27"/>
  <c r="AT120" i="27"/>
  <c r="AT108" i="27"/>
  <c r="AY112" i="27"/>
  <c r="AS136" i="27"/>
  <c r="AT133" i="27"/>
  <c r="AS127" i="27"/>
  <c r="AS112" i="27"/>
  <c r="AR136" i="27"/>
  <c r="AS133" i="27"/>
  <c r="AR127" i="27"/>
  <c r="AR108" i="27"/>
  <c r="AR112" i="27"/>
  <c r="AS108" i="27"/>
  <c r="AT136" i="27"/>
  <c r="AT127" i="27"/>
  <c r="AU133" i="27"/>
  <c r="AT112" i="27"/>
  <c r="AX112" i="27"/>
  <c r="AY111" i="20"/>
  <c r="AY59" i="20" l="1"/>
  <c r="AX69" i="20"/>
  <c r="AY80" i="20"/>
  <c r="AY81" i="20"/>
  <c r="AY62" i="21"/>
  <c r="AY55" i="21"/>
  <c r="AY53" i="21"/>
  <c r="AY57" i="21"/>
  <c r="AY56" i="21"/>
  <c r="BA56" i="21" s="1"/>
  <c r="AY45" i="21"/>
  <c r="AY43" i="21"/>
  <c r="AY42" i="21"/>
  <c r="AY33" i="21"/>
  <c r="AY32" i="21"/>
  <c r="AY31" i="21"/>
  <c r="AY30" i="21"/>
  <c r="AY83" i="19" s="1"/>
  <c r="AY29" i="21"/>
  <c r="AY24" i="21"/>
  <c r="AY22" i="21"/>
  <c r="AY21" i="21"/>
  <c r="AY20" i="21"/>
  <c r="AY19" i="21"/>
  <c r="AY18" i="21"/>
  <c r="AY17" i="21"/>
  <c r="AY16" i="21"/>
  <c r="AY10" i="21"/>
  <c r="AY9" i="21"/>
  <c r="AY8" i="21"/>
  <c r="AY7" i="21"/>
  <c r="AY48" i="19"/>
  <c r="AY43" i="19"/>
  <c r="AY42" i="19"/>
  <c r="AY41" i="19"/>
  <c r="AY39" i="19"/>
  <c r="BD117" i="19" s="1"/>
  <c r="AY35" i="19"/>
  <c r="AY31" i="19"/>
  <c r="AY32" i="19"/>
  <c r="AY29" i="19"/>
  <c r="AY106" i="19" s="1"/>
  <c r="BD108" i="19" s="1"/>
  <c r="AY28" i="19"/>
  <c r="AY100" i="19" s="1"/>
  <c r="BD102" i="19" s="1"/>
  <c r="AY21" i="19"/>
  <c r="AY17" i="19"/>
  <c r="AY18" i="19"/>
  <c r="AY141" i="19" s="1"/>
  <c r="BD143" i="19" s="1"/>
  <c r="AY20" i="19"/>
  <c r="AZ91" i="19" s="1"/>
  <c r="AY19" i="19"/>
  <c r="AY16" i="19"/>
  <c r="AZ82" i="19" s="1"/>
  <c r="AY15" i="19"/>
  <c r="AY11" i="19"/>
  <c r="AY77" i="19" s="1"/>
  <c r="BD79" i="19" s="1"/>
  <c r="AY10" i="19"/>
  <c r="AY9" i="19"/>
  <c r="AY8" i="19"/>
  <c r="AY7" i="19"/>
  <c r="AY107" i="24"/>
  <c r="AY95" i="24"/>
  <c r="AZ98" i="24" s="1"/>
  <c r="AY90" i="24"/>
  <c r="AZ93" i="24" s="1"/>
  <c r="AY85" i="24"/>
  <c r="AZ88" i="24" s="1"/>
  <c r="AY69" i="24"/>
  <c r="AY57" i="24"/>
  <c r="AY65" i="24" s="1"/>
  <c r="AY119" i="24"/>
  <c r="AY47" i="24"/>
  <c r="BD48" i="24" s="1"/>
  <c r="AY39" i="24"/>
  <c r="AY41" i="27"/>
  <c r="AY2" i="24" l="1"/>
  <c r="AY3" i="24" s="1"/>
  <c r="AZ4" i="24" s="1"/>
  <c r="AY50" i="27"/>
  <c r="AZ52" i="27" s="1"/>
  <c r="AZ43" i="24"/>
  <c r="AZ153" i="27"/>
  <c r="AZ154" i="27" s="1"/>
  <c r="BD42" i="27"/>
  <c r="AY111" i="19"/>
  <c r="AY17" i="20"/>
  <c r="BD113" i="19"/>
  <c r="AY162" i="27"/>
  <c r="BD40" i="24"/>
  <c r="AY78" i="24"/>
  <c r="AZ144" i="19"/>
  <c r="AY71" i="19"/>
  <c r="BD73" i="19" s="1"/>
  <c r="AZ118" i="19"/>
  <c r="AY115" i="19"/>
  <c r="AY132" i="19"/>
  <c r="AY136" i="19"/>
  <c r="BD138" i="19" s="1"/>
  <c r="AY80" i="24"/>
  <c r="AZ45" i="24" l="1"/>
  <c r="AZ44" i="24"/>
  <c r="AY120" i="19"/>
  <c r="BD121" i="19" s="1"/>
  <c r="AY142" i="19"/>
  <c r="BD133" i="19"/>
  <c r="AY137" i="19"/>
  <c r="AX81" i="20"/>
  <c r="AX80" i="20"/>
  <c r="AZ122" i="19" l="1"/>
  <c r="AX62" i="21"/>
  <c r="AX57" i="21"/>
  <c r="AX53" i="21"/>
  <c r="AX33" i="21"/>
  <c r="AX32" i="21"/>
  <c r="AX31" i="21"/>
  <c r="AX30" i="21"/>
  <c r="AX29" i="21"/>
  <c r="AX24" i="21"/>
  <c r="AX22" i="21"/>
  <c r="AX21" i="21"/>
  <c r="AX20" i="21"/>
  <c r="AX19" i="21"/>
  <c r="AX18" i="21"/>
  <c r="AX17" i="21"/>
  <c r="AX16" i="21"/>
  <c r="AX10" i="21"/>
  <c r="AX9" i="21"/>
  <c r="AX8" i="21"/>
  <c r="AX7" i="21"/>
  <c r="AX48" i="19"/>
  <c r="AX43" i="19"/>
  <c r="AX42" i="19"/>
  <c r="AX41" i="19"/>
  <c r="AX39" i="19"/>
  <c r="AX35" i="19"/>
  <c r="AX31" i="19"/>
  <c r="AX32" i="19"/>
  <c r="AX29" i="19"/>
  <c r="AX106" i="19" s="1"/>
  <c r="AX28" i="19"/>
  <c r="AX100" i="19" s="1"/>
  <c r="AX21" i="19"/>
  <c r="AX17" i="19"/>
  <c r="AX18" i="19"/>
  <c r="AX141" i="19" s="1"/>
  <c r="AX20" i="19"/>
  <c r="AY91" i="19" s="1"/>
  <c r="AX19" i="19"/>
  <c r="AX16" i="19"/>
  <c r="AY82" i="19" s="1"/>
  <c r="AX15" i="19"/>
  <c r="AX11" i="19"/>
  <c r="AX77" i="19" s="1"/>
  <c r="AX10" i="19"/>
  <c r="AX136" i="19" s="1"/>
  <c r="BC138" i="19" s="1"/>
  <c r="AX9" i="19"/>
  <c r="AX71" i="19" s="1"/>
  <c r="AX8" i="19"/>
  <c r="AX7" i="19"/>
  <c r="AX95" i="24"/>
  <c r="AX106" i="24"/>
  <c r="AX107" i="24"/>
  <c r="AX119" i="24"/>
  <c r="AX90" i="24"/>
  <c r="AX85" i="24"/>
  <c r="AX69" i="24"/>
  <c r="AX57" i="24"/>
  <c r="AX65" i="24" s="1"/>
  <c r="AX112" i="24"/>
  <c r="AX47" i="24"/>
  <c r="BC48" i="24" s="1"/>
  <c r="AX39" i="24"/>
  <c r="AX7" i="27"/>
  <c r="AX41" i="27"/>
  <c r="AY43" i="24" l="1"/>
  <c r="AX50" i="27"/>
  <c r="AY52" i="27" s="1"/>
  <c r="AX2" i="24"/>
  <c r="AX3" i="24" s="1"/>
  <c r="AY4" i="24" s="1"/>
  <c r="AX91" i="27"/>
  <c r="AX17" i="20"/>
  <c r="AZ18" i="20"/>
  <c r="BC40" i="24"/>
  <c r="AX162" i="27"/>
  <c r="BC42" i="27"/>
  <c r="AY153" i="27"/>
  <c r="AY154" i="27" s="1"/>
  <c r="AZ109" i="19"/>
  <c r="BC108" i="19"/>
  <c r="AZ74" i="19"/>
  <c r="BC73" i="19"/>
  <c r="AX111" i="19"/>
  <c r="BC113" i="19"/>
  <c r="AZ80" i="19"/>
  <c r="BC79" i="19"/>
  <c r="AZ103" i="19"/>
  <c r="BC102" i="19"/>
  <c r="BC143" i="19"/>
  <c r="AY144" i="19"/>
  <c r="AX115" i="19"/>
  <c r="BC117" i="19"/>
  <c r="AX132" i="19"/>
  <c r="AX142" i="19" s="1"/>
  <c r="AY118" i="19"/>
  <c r="AX78" i="24"/>
  <c r="AY98" i="24"/>
  <c r="BA119" i="24"/>
  <c r="BF134" i="24" s="1"/>
  <c r="AX80" i="24"/>
  <c r="AX26" i="21"/>
  <c r="AY11" i="27"/>
  <c r="AY88" i="24"/>
  <c r="AY93" i="24"/>
  <c r="AY45" i="24" l="1"/>
  <c r="AY44" i="24"/>
  <c r="AX120" i="19"/>
  <c r="BC121" i="19" s="1"/>
  <c r="AZ128" i="19"/>
  <c r="AZ129" i="19" s="1"/>
  <c r="BC133" i="19"/>
  <c r="AX137" i="19"/>
  <c r="AZ139" i="19" s="1"/>
  <c r="AZ134" i="19"/>
  <c r="AW100" i="27"/>
  <c r="AW121" i="27" l="1"/>
  <c r="AW171" i="27" s="1"/>
  <c r="AX121" i="27"/>
  <c r="AX171" i="27" s="1"/>
  <c r="AY122" i="19"/>
  <c r="AW128" i="27"/>
  <c r="AW145" i="27"/>
  <c r="BB113" i="27"/>
  <c r="AW113" i="27"/>
  <c r="AW99" i="27"/>
  <c r="AX128" i="27"/>
  <c r="AX145" i="27"/>
  <c r="AW81" i="20"/>
  <c r="AW80" i="20"/>
  <c r="AW120" i="27" l="1"/>
  <c r="AX120" i="27"/>
  <c r="AW108" i="27"/>
  <c r="AW127" i="27"/>
  <c r="AW136" i="27"/>
  <c r="AX133" i="27"/>
  <c r="BB112" i="27"/>
  <c r="AW112" i="27"/>
  <c r="AX127" i="27"/>
  <c r="AW106" i="24"/>
  <c r="AW62" i="21" l="1"/>
  <c r="AW57" i="21"/>
  <c r="AW55" i="21"/>
  <c r="AW53" i="21"/>
  <c r="AW50" i="21"/>
  <c r="AW48" i="21"/>
  <c r="AW33" i="21"/>
  <c r="AW32" i="21"/>
  <c r="AW31" i="21"/>
  <c r="AW30" i="21"/>
  <c r="AW83" i="19" s="1"/>
  <c r="AW29" i="21"/>
  <c r="AW24" i="21"/>
  <c r="AW22" i="21"/>
  <c r="AW21" i="21"/>
  <c r="AW20" i="21"/>
  <c r="AW19" i="21"/>
  <c r="AW18" i="21"/>
  <c r="AW17" i="21"/>
  <c r="AW16" i="21"/>
  <c r="AW10" i="21"/>
  <c r="AW9" i="21"/>
  <c r="AW8" i="21"/>
  <c r="AW7" i="21"/>
  <c r="AW48" i="19"/>
  <c r="AW43" i="19"/>
  <c r="AW39" i="19"/>
  <c r="AW42" i="19"/>
  <c r="AW41" i="19"/>
  <c r="AW35" i="19"/>
  <c r="AW31" i="19"/>
  <c r="AW32" i="19"/>
  <c r="AW29" i="19"/>
  <c r="AW106" i="19" s="1"/>
  <c r="AY109" i="19" s="1"/>
  <c r="AW28" i="19"/>
  <c r="AW100" i="19" s="1"/>
  <c r="AY103" i="19" s="1"/>
  <c r="AW21" i="19"/>
  <c r="AW17" i="19"/>
  <c r="AW18" i="19"/>
  <c r="AW141" i="19" s="1"/>
  <c r="AW20" i="19"/>
  <c r="AW19" i="19"/>
  <c r="AW16" i="19"/>
  <c r="AX82" i="19" s="1"/>
  <c r="AW15" i="19"/>
  <c r="AW11" i="19"/>
  <c r="AW77" i="19" s="1"/>
  <c r="AY80" i="19" s="1"/>
  <c r="AW10" i="19"/>
  <c r="AW9" i="19"/>
  <c r="AW71" i="19" s="1"/>
  <c r="AY74" i="19" s="1"/>
  <c r="AW8" i="19"/>
  <c r="AW7" i="19"/>
  <c r="AW95" i="24"/>
  <c r="AX98" i="24" s="1"/>
  <c r="AW90" i="24"/>
  <c r="AX93" i="24" s="1"/>
  <c r="AW85" i="24"/>
  <c r="AX88" i="24" s="1"/>
  <c r="AW69" i="24"/>
  <c r="AW57" i="24"/>
  <c r="AW112" i="24"/>
  <c r="AW107" i="24"/>
  <c r="AW47" i="24"/>
  <c r="BB48" i="24" s="1"/>
  <c r="AW39" i="24"/>
  <c r="AW7" i="27"/>
  <c r="AX11" i="27" s="1"/>
  <c r="AW41" i="27"/>
  <c r="AX43" i="24" l="1"/>
  <c r="AW50" i="27"/>
  <c r="AX52" i="27" s="1"/>
  <c r="AW162" i="27"/>
  <c r="AW2" i="24"/>
  <c r="AW3" i="24" s="1"/>
  <c r="AX4" i="24" s="1"/>
  <c r="AW91" i="27"/>
  <c r="AW17" i="20"/>
  <c r="AY18" i="20"/>
  <c r="BB42" i="27"/>
  <c r="AX153" i="27"/>
  <c r="AX154" i="27" s="1"/>
  <c r="AX144" i="19"/>
  <c r="AX118" i="19"/>
  <c r="BB40" i="24"/>
  <c r="AW78" i="24"/>
  <c r="AW98" i="19"/>
  <c r="AX91" i="19"/>
  <c r="AW132" i="19"/>
  <c r="AW115" i="19"/>
  <c r="AW136" i="19"/>
  <c r="AW80" i="24"/>
  <c r="AW111" i="19"/>
  <c r="BK46" i="20"/>
  <c r="BK34" i="20"/>
  <c r="BK5" i="20"/>
  <c r="BJ5" i="20"/>
  <c r="BI5" i="20"/>
  <c r="BH5" i="20"/>
  <c r="BG5" i="20"/>
  <c r="BG4" i="20"/>
  <c r="BG46" i="20" s="1"/>
  <c r="BK32" i="27"/>
  <c r="BK29" i="27"/>
  <c r="BK47" i="20" s="1"/>
  <c r="BJ29" i="27"/>
  <c r="BJ47" i="20" s="1"/>
  <c r="BI29" i="27"/>
  <c r="BI47" i="20" s="1"/>
  <c r="BH29" i="27"/>
  <c r="BH47" i="20" s="1"/>
  <c r="BG29" i="27"/>
  <c r="BG47" i="20" s="1"/>
  <c r="BG28" i="27"/>
  <c r="BK5" i="27"/>
  <c r="BJ5" i="27"/>
  <c r="S4" i="28" s="1"/>
  <c r="BI5" i="27"/>
  <c r="R4" i="28" s="1"/>
  <c r="BH5" i="27"/>
  <c r="Q4" i="28" s="1"/>
  <c r="BG5" i="27"/>
  <c r="P4" i="28" s="1"/>
  <c r="BG4" i="27"/>
  <c r="BK28" i="14"/>
  <c r="BK27" i="14"/>
  <c r="BK7" i="14"/>
  <c r="BJ7" i="14"/>
  <c r="BI7" i="14"/>
  <c r="BH7" i="14"/>
  <c r="BG7" i="14"/>
  <c r="BG6" i="14"/>
  <c r="BK62" i="21"/>
  <c r="BJ60" i="21"/>
  <c r="BI60" i="21"/>
  <c r="BH60" i="21"/>
  <c r="BG60" i="21"/>
  <c r="BK57" i="21"/>
  <c r="BK55" i="21"/>
  <c r="BK54" i="21"/>
  <c r="BK53" i="21"/>
  <c r="BK52" i="21"/>
  <c r="BK51" i="21"/>
  <c r="BK50" i="21"/>
  <c r="BK49" i="21"/>
  <c r="BK48" i="21"/>
  <c r="BK47" i="21"/>
  <c r="BK46" i="21"/>
  <c r="BK45" i="21"/>
  <c r="BK44" i="21"/>
  <c r="BK43" i="21"/>
  <c r="BK42" i="21"/>
  <c r="BK41" i="21"/>
  <c r="BK40" i="21"/>
  <c r="BK35" i="21"/>
  <c r="BK34" i="21"/>
  <c r="BK33" i="21"/>
  <c r="BK32" i="21"/>
  <c r="BK29" i="21"/>
  <c r="BK15" i="21"/>
  <c r="BK14" i="21"/>
  <c r="BK12" i="21"/>
  <c r="BK11" i="21"/>
  <c r="BJ5" i="21"/>
  <c r="BI5" i="21"/>
  <c r="BH5" i="21"/>
  <c r="BG5" i="21"/>
  <c r="BK5" i="19"/>
  <c r="BK5" i="21" s="1"/>
  <c r="BK17" i="6"/>
  <c r="AX44" i="24" l="1"/>
  <c r="AX45" i="24"/>
  <c r="AW137" i="19"/>
  <c r="AY139" i="19" s="1"/>
  <c r="AW142" i="19"/>
  <c r="AY128" i="19"/>
  <c r="AY129" i="19" s="1"/>
  <c r="AY134" i="19"/>
  <c r="AW120" i="19"/>
  <c r="AX122" i="19" s="1"/>
  <c r="BK60" i="21"/>
  <c r="AA122" i="24"/>
  <c r="AB122" i="24" s="1"/>
  <c r="AF122" i="24"/>
  <c r="AG122" i="24" s="1"/>
  <c r="AK122" i="24"/>
  <c r="AL122" i="24" s="1"/>
  <c r="AP122" i="24"/>
  <c r="AQ122" i="24" s="1"/>
  <c r="AU122" i="24"/>
  <c r="AV122" i="24" s="1"/>
  <c r="AV123" i="24" l="1"/>
  <c r="BA123" i="24"/>
  <c r="AQ123" i="24"/>
  <c r="AG45" i="14"/>
  <c r="AL45" i="14"/>
  <c r="AQ44" i="14"/>
  <c r="AQ45" i="14" s="1"/>
  <c r="AV44" i="14"/>
  <c r="AV45" i="14" s="1"/>
  <c r="AV10" i="14" l="1"/>
  <c r="AV9" i="14"/>
  <c r="AG10" i="14" l="1"/>
  <c r="AG9" i="14"/>
  <c r="AL10" i="14"/>
  <c r="AL9" i="14"/>
  <c r="AH10" i="14"/>
  <c r="AH9" i="14"/>
  <c r="AI10" i="14"/>
  <c r="AI9" i="14"/>
  <c r="AJ10" i="14"/>
  <c r="AJ9" i="14"/>
  <c r="AK9" i="14" l="1"/>
  <c r="AK10" i="14"/>
  <c r="AU76" i="20" l="1"/>
  <c r="AU81" i="20"/>
  <c r="AU80" i="20"/>
  <c r="AU62" i="21"/>
  <c r="AU57" i="21"/>
  <c r="AU53" i="21"/>
  <c r="AU33" i="21"/>
  <c r="AU32" i="21"/>
  <c r="AU31" i="21"/>
  <c r="AU30" i="21"/>
  <c r="AU20" i="21"/>
  <c r="AU24" i="21"/>
  <c r="AU22" i="21"/>
  <c r="AU21" i="21"/>
  <c r="AU19" i="21"/>
  <c r="AU18" i="21"/>
  <c r="AU17" i="21"/>
  <c r="AU13" i="21"/>
  <c r="AU16" i="21"/>
  <c r="AU10" i="21"/>
  <c r="AU111" i="20" s="1"/>
  <c r="AU9" i="21"/>
  <c r="AU8" i="21"/>
  <c r="AU7" i="21"/>
  <c r="AU48" i="19"/>
  <c r="AU43" i="19"/>
  <c r="AU42" i="19"/>
  <c r="AU41" i="19"/>
  <c r="AU39" i="19"/>
  <c r="AU35" i="19"/>
  <c r="AU31" i="19"/>
  <c r="AU32" i="19"/>
  <c r="AU29" i="19"/>
  <c r="AU106" i="19" s="1"/>
  <c r="AU28" i="19"/>
  <c r="AU100" i="19" s="1"/>
  <c r="AU21" i="19"/>
  <c r="AU17" i="19"/>
  <c r="AU16" i="19"/>
  <c r="AW82" i="19" s="1"/>
  <c r="AU15" i="19"/>
  <c r="AU18" i="19"/>
  <c r="AU141" i="19" s="1"/>
  <c r="AU20" i="19"/>
  <c r="AW91" i="19" s="1"/>
  <c r="AU19" i="19"/>
  <c r="AU11" i="19"/>
  <c r="AU77" i="19" s="1"/>
  <c r="AU10" i="19"/>
  <c r="AU136" i="19" s="1"/>
  <c r="AZ138" i="19" s="1"/>
  <c r="AU9" i="19"/>
  <c r="AU71" i="19" s="1"/>
  <c r="AU8" i="19"/>
  <c r="AU7" i="19"/>
  <c r="AU50" i="27"/>
  <c r="AW52" i="27" s="1"/>
  <c r="AU7" i="27"/>
  <c r="AW11" i="27" s="1"/>
  <c r="AU41" i="27"/>
  <c r="AU119" i="24"/>
  <c r="AU106" i="24"/>
  <c r="AU95" i="24"/>
  <c r="AU90" i="24"/>
  <c r="AU85" i="24"/>
  <c r="AU69" i="24"/>
  <c r="AU57" i="24"/>
  <c r="AU112" i="24"/>
  <c r="AU107" i="24"/>
  <c r="AU47" i="24"/>
  <c r="AZ48" i="24" s="1"/>
  <c r="AU39" i="24"/>
  <c r="AZ42" i="27" l="1"/>
  <c r="AU2" i="24"/>
  <c r="AU3" i="24" s="1"/>
  <c r="AW4" i="24" s="1"/>
  <c r="AZ113" i="19"/>
  <c r="AW18" i="20"/>
  <c r="AU17" i="20"/>
  <c r="BA18" i="20"/>
  <c r="AZ143" i="19"/>
  <c r="AW144" i="19"/>
  <c r="AW80" i="19"/>
  <c r="AZ79" i="19"/>
  <c r="AW103" i="19"/>
  <c r="AZ102" i="19"/>
  <c r="AW109" i="19"/>
  <c r="AZ108" i="19"/>
  <c r="AZ117" i="19"/>
  <c r="AW118" i="19"/>
  <c r="AU78" i="24"/>
  <c r="AZ40" i="24"/>
  <c r="AW74" i="19"/>
  <c r="AZ73" i="19"/>
  <c r="AU132" i="19"/>
  <c r="AZ133" i="19" s="1"/>
  <c r="AU65" i="19"/>
  <c r="AU80" i="24"/>
  <c r="AW88" i="24"/>
  <c r="AW98" i="24"/>
  <c r="AW93" i="24"/>
  <c r="AU115" i="19"/>
  <c r="BL31" i="21"/>
  <c r="BM31" i="21" s="1"/>
  <c r="BN31" i="21" s="1"/>
  <c r="BO31" i="21" s="1"/>
  <c r="BQ31" i="21" s="1"/>
  <c r="AU111" i="19"/>
  <c r="AV5" i="27"/>
  <c r="BR31" i="21" l="1"/>
  <c r="BS31" i="21" s="1"/>
  <c r="BT31" i="21" s="1"/>
  <c r="AW134" i="19"/>
  <c r="AW128" i="19"/>
  <c r="AW129" i="19" s="1"/>
  <c r="AU142" i="19"/>
  <c r="BK31" i="21"/>
  <c r="AU137" i="19"/>
  <c r="AW139" i="19" s="1"/>
  <c r="AU120" i="19"/>
  <c r="AQ10" i="14"/>
  <c r="AP10" i="14" s="1"/>
  <c r="AU10" i="14" s="1"/>
  <c r="AQ9" i="14"/>
  <c r="AP9" i="14" s="1"/>
  <c r="BU31" i="21" l="1"/>
  <c r="AW122" i="19"/>
  <c r="AZ121" i="19"/>
  <c r="AT59" i="20"/>
  <c r="AT69" i="20"/>
  <c r="AT81" i="20"/>
  <c r="AT80" i="20"/>
  <c r="BP31" i="21" l="1"/>
  <c r="AT11" i="27"/>
  <c r="AY12" i="27" s="1"/>
  <c r="AT62" i="21"/>
  <c r="AT57" i="21"/>
  <c r="AT55" i="21"/>
  <c r="AT53" i="21"/>
  <c r="AT32" i="21"/>
  <c r="AT33" i="21"/>
  <c r="AT31" i="21"/>
  <c r="AT30" i="21"/>
  <c r="AT24" i="21"/>
  <c r="AT22" i="21"/>
  <c r="AT21" i="21"/>
  <c r="AT20" i="21"/>
  <c r="AT19" i="21"/>
  <c r="AT18" i="21"/>
  <c r="AT17" i="21"/>
  <c r="AT16" i="21"/>
  <c r="AT10" i="21"/>
  <c r="AT111" i="20" s="1"/>
  <c r="AT9" i="21"/>
  <c r="AT8" i="21"/>
  <c r="AT7" i="21"/>
  <c r="AT48" i="19"/>
  <c r="AT43" i="19"/>
  <c r="AT42" i="19"/>
  <c r="AT41" i="19"/>
  <c r="AT39" i="19"/>
  <c r="AT35" i="19"/>
  <c r="AT31" i="19"/>
  <c r="AT32" i="19"/>
  <c r="AT17" i="20" s="1"/>
  <c r="AT29" i="19"/>
  <c r="AT106" i="19" s="1"/>
  <c r="AY108" i="19" s="1"/>
  <c r="AT28" i="19"/>
  <c r="AT100" i="19" s="1"/>
  <c r="AY102" i="19" s="1"/>
  <c r="AT21" i="19"/>
  <c r="AT18" i="19"/>
  <c r="AT141" i="19" s="1"/>
  <c r="AT20" i="19"/>
  <c r="AU91" i="19" s="1"/>
  <c r="AT19" i="19"/>
  <c r="AT17" i="19"/>
  <c r="AT16" i="19"/>
  <c r="AU82" i="19" s="1"/>
  <c r="AT15" i="19"/>
  <c r="AT11" i="19"/>
  <c r="AT77" i="19" s="1"/>
  <c r="AT10" i="19"/>
  <c r="AT9" i="19"/>
  <c r="AT71" i="19" s="1"/>
  <c r="AT8" i="19"/>
  <c r="AT7" i="19"/>
  <c r="AT112" i="24"/>
  <c r="AT106" i="24"/>
  <c r="AT95" i="24"/>
  <c r="AT90" i="24"/>
  <c r="AT85" i="24"/>
  <c r="AT69" i="24"/>
  <c r="AT57" i="24"/>
  <c r="AT119" i="24"/>
  <c r="AT107" i="24"/>
  <c r="AT47" i="24"/>
  <c r="AT39" i="24"/>
  <c r="AT50" i="27"/>
  <c r="AU52" i="27" s="1"/>
  <c r="AT7" i="27"/>
  <c r="AU11" i="27" s="1"/>
  <c r="AT41" i="27"/>
  <c r="AT2" i="24" s="1"/>
  <c r="AT3" i="24" s="1"/>
  <c r="AU4" i="24" s="1"/>
  <c r="AY143" i="19" l="1"/>
  <c r="AU144" i="19"/>
  <c r="AT132" i="19"/>
  <c r="AY133" i="19" s="1"/>
  <c r="AT78" i="24"/>
  <c r="AY117" i="19"/>
  <c r="AU118" i="19"/>
  <c r="AY40" i="24"/>
  <c r="AY48" i="24"/>
  <c r="AT111" i="19"/>
  <c r="AY113" i="19"/>
  <c r="AU80" i="19"/>
  <c r="AY79" i="19"/>
  <c r="AY42" i="27"/>
  <c r="AU74" i="19"/>
  <c r="AY73" i="19"/>
  <c r="AT136" i="19"/>
  <c r="AY138" i="19" s="1"/>
  <c r="AU88" i="24"/>
  <c r="AT80" i="24"/>
  <c r="AT115" i="19"/>
  <c r="AT142" i="19" l="1"/>
  <c r="AT137" i="19"/>
  <c r="AT120" i="19"/>
  <c r="AY121" i="19" s="1"/>
  <c r="AS10" i="14"/>
  <c r="AS9" i="14"/>
  <c r="AS59" i="20" l="1"/>
  <c r="AS81" i="20"/>
  <c r="AS80" i="20"/>
  <c r="AS69" i="20"/>
  <c r="AS48" i="21"/>
  <c r="AS50" i="21"/>
  <c r="AS62" i="21"/>
  <c r="AS57" i="21"/>
  <c r="AS53" i="21"/>
  <c r="AS42" i="21"/>
  <c r="AS32" i="21"/>
  <c r="AS33" i="21"/>
  <c r="AS31" i="21"/>
  <c r="AS30" i="21"/>
  <c r="AS83" i="19" s="1"/>
  <c r="AS8" i="21"/>
  <c r="AS83" i="20" s="1"/>
  <c r="AS24" i="21"/>
  <c r="AS22" i="21"/>
  <c r="AS21" i="21"/>
  <c r="AS20" i="21"/>
  <c r="AS19" i="21"/>
  <c r="AS18" i="21"/>
  <c r="AS17" i="21"/>
  <c r="AS16" i="21"/>
  <c r="AS10" i="21"/>
  <c r="AS111" i="20" s="1"/>
  <c r="AS93" i="21" s="1"/>
  <c r="AS9" i="21"/>
  <c r="AS7" i="21"/>
  <c r="AS48" i="19"/>
  <c r="AS43" i="19"/>
  <c r="AS42" i="19"/>
  <c r="AS41" i="19"/>
  <c r="AS39" i="19"/>
  <c r="AS35" i="19"/>
  <c r="AS31" i="19"/>
  <c r="AS32" i="19"/>
  <c r="AS29" i="19"/>
  <c r="AS106" i="19" s="1"/>
  <c r="AS28" i="19"/>
  <c r="AS100" i="19" s="1"/>
  <c r="AS21" i="19"/>
  <c r="AS17" i="19"/>
  <c r="AS18" i="19"/>
  <c r="AS141" i="19" s="1"/>
  <c r="AS20" i="19"/>
  <c r="AT91" i="19" s="1"/>
  <c r="AS19" i="19"/>
  <c r="AS16" i="19"/>
  <c r="AT82" i="19" s="1"/>
  <c r="AS15" i="19"/>
  <c r="AS11" i="19"/>
  <c r="AS77" i="19" s="1"/>
  <c r="AX79" i="19" s="1"/>
  <c r="AS10" i="19"/>
  <c r="AS136" i="19" s="1"/>
  <c r="AX138" i="19" s="1"/>
  <c r="AS9" i="19"/>
  <c r="AS71" i="19" s="1"/>
  <c r="AX73" i="19" s="1"/>
  <c r="AS8" i="19"/>
  <c r="AS7" i="19"/>
  <c r="AS119" i="24"/>
  <c r="AS65" i="19" s="1"/>
  <c r="AS106" i="24"/>
  <c r="AS107" i="24"/>
  <c r="AS95" i="24"/>
  <c r="AS90" i="24"/>
  <c r="AS85" i="24"/>
  <c r="AS69" i="24"/>
  <c r="AS57" i="24"/>
  <c r="AS65" i="24" s="1"/>
  <c r="AS47" i="24"/>
  <c r="AX48" i="24" s="1"/>
  <c r="AS39" i="24"/>
  <c r="AS50" i="27"/>
  <c r="AS11" i="27"/>
  <c r="AX12" i="27" s="1"/>
  <c r="AS41" i="27"/>
  <c r="AX42" i="27" l="1"/>
  <c r="AS2" i="24"/>
  <c r="AS3" i="24" s="1"/>
  <c r="AT4" i="24" s="1"/>
  <c r="AS91" i="27"/>
  <c r="AX113" i="19"/>
  <c r="AU18" i="20"/>
  <c r="AS17" i="20"/>
  <c r="AX143" i="19"/>
  <c r="AT144" i="19"/>
  <c r="AS78" i="24"/>
  <c r="AS111" i="19"/>
  <c r="AT118" i="19"/>
  <c r="AU109" i="19"/>
  <c r="AX108" i="19"/>
  <c r="AU103" i="19"/>
  <c r="AX102" i="19"/>
  <c r="AX117" i="19"/>
  <c r="AS80" i="24"/>
  <c r="AS56" i="19"/>
  <c r="AS52" i="19"/>
  <c r="AT52" i="27"/>
  <c r="AS52" i="27"/>
  <c r="AT88" i="24"/>
  <c r="AS132" i="19"/>
  <c r="AX133" i="19" s="1"/>
  <c r="AS115" i="19"/>
  <c r="AS59" i="27"/>
  <c r="AS61" i="27"/>
  <c r="AS58" i="27"/>
  <c r="AS120" i="19" l="1"/>
  <c r="AU122" i="19" s="1"/>
  <c r="AU128" i="19"/>
  <c r="AU129" i="19" s="1"/>
  <c r="AU134" i="19"/>
  <c r="AS137" i="19"/>
  <c r="AU139" i="19" s="1"/>
  <c r="AS142" i="19"/>
  <c r="AR81" i="20"/>
  <c r="AT122" i="19" l="1"/>
  <c r="AX121" i="19"/>
  <c r="G92" i="17"/>
  <c r="G74" i="17"/>
  <c r="G77" i="17"/>
  <c r="AR69" i="20" l="1"/>
  <c r="AR59" i="20"/>
  <c r="AR80" i="20" l="1"/>
  <c r="AD45" i="27" l="1"/>
  <c r="AD46" i="27" s="1"/>
  <c r="AI45" i="27"/>
  <c r="AR62" i="21"/>
  <c r="AR57" i="21"/>
  <c r="AR55" i="21"/>
  <c r="AR53" i="21"/>
  <c r="AR33" i="21"/>
  <c r="AR32" i="21"/>
  <c r="AR31" i="21"/>
  <c r="AR30" i="21"/>
  <c r="AR83" i="19" s="1"/>
  <c r="AR29" i="21"/>
  <c r="AR24" i="21"/>
  <c r="AR22" i="21"/>
  <c r="AR21" i="21"/>
  <c r="AR20" i="21"/>
  <c r="AR19" i="21"/>
  <c r="AR18" i="21"/>
  <c r="AR16" i="21"/>
  <c r="AR17" i="21"/>
  <c r="AR10" i="21"/>
  <c r="AR111" i="20" s="1"/>
  <c r="AR93" i="21" s="1"/>
  <c r="AR9" i="21"/>
  <c r="AR8" i="21"/>
  <c r="AR83" i="20" s="1"/>
  <c r="AR7" i="21"/>
  <c r="AV7" i="21" s="1"/>
  <c r="AR48" i="19"/>
  <c r="AR43" i="19"/>
  <c r="AR42" i="19"/>
  <c r="AR41" i="19"/>
  <c r="AR39" i="19"/>
  <c r="AR35" i="19"/>
  <c r="AR31" i="19"/>
  <c r="AR32" i="19"/>
  <c r="AR29" i="19"/>
  <c r="AR106" i="19" s="1"/>
  <c r="AW108" i="19" s="1"/>
  <c r="AR28" i="19"/>
  <c r="AR100" i="19" s="1"/>
  <c r="AW102" i="19" s="1"/>
  <c r="AR21" i="19"/>
  <c r="AR17" i="19"/>
  <c r="AR18" i="19"/>
  <c r="AR141" i="19" s="1"/>
  <c r="AR20" i="19"/>
  <c r="AR19" i="19"/>
  <c r="AR16" i="19"/>
  <c r="AS82" i="19" s="1"/>
  <c r="AR15" i="19"/>
  <c r="AR11" i="19"/>
  <c r="AR77" i="19" s="1"/>
  <c r="AW79" i="19" s="1"/>
  <c r="AR10" i="19"/>
  <c r="AR9" i="19"/>
  <c r="AR71" i="19" s="1"/>
  <c r="AW73" i="19" s="1"/>
  <c r="AR8" i="19"/>
  <c r="AR7" i="19"/>
  <c r="AR119" i="24"/>
  <c r="AR112" i="24"/>
  <c r="AR106" i="24"/>
  <c r="AR107" i="24"/>
  <c r="AR95" i="24"/>
  <c r="AR85" i="24"/>
  <c r="AR90" i="24"/>
  <c r="AR69" i="24"/>
  <c r="AR57" i="24"/>
  <c r="AR65" i="24" s="1"/>
  <c r="AR47" i="24"/>
  <c r="AR39" i="24"/>
  <c r="AR41" i="27"/>
  <c r="AR2" i="24" s="1"/>
  <c r="AR3" i="24" s="1"/>
  <c r="AS4" i="24" s="1"/>
  <c r="AW113" i="19" l="1"/>
  <c r="AT18" i="20"/>
  <c r="AR17" i="20"/>
  <c r="AR78" i="24"/>
  <c r="AW143" i="19"/>
  <c r="AS144" i="19"/>
  <c r="AW117" i="19"/>
  <c r="AS118" i="19"/>
  <c r="AS93" i="24"/>
  <c r="AW40" i="24"/>
  <c r="AS88" i="24"/>
  <c r="AS98" i="24"/>
  <c r="AR80" i="24"/>
  <c r="AW48" i="24"/>
  <c r="AR77" i="20"/>
  <c r="AS45" i="27"/>
  <c r="AW42" i="27"/>
  <c r="AS91" i="19"/>
  <c r="AR98" i="19"/>
  <c r="AR115" i="19"/>
  <c r="AT74" i="19"/>
  <c r="AR136" i="19"/>
  <c r="AW138" i="19" s="1"/>
  <c r="AR132" i="19"/>
  <c r="AW133" i="19" s="1"/>
  <c r="AT80" i="19"/>
  <c r="AT103" i="19"/>
  <c r="AT109" i="19"/>
  <c r="AR72" i="21"/>
  <c r="AR111" i="19"/>
  <c r="AI46" i="27"/>
  <c r="G85" i="17"/>
  <c r="AR120" i="19" l="1"/>
  <c r="AW121" i="19" s="1"/>
  <c r="AR137" i="19"/>
  <c r="AT128" i="19"/>
  <c r="AT129" i="19" s="1"/>
  <c r="AT134" i="19"/>
  <c r="AR142" i="19"/>
  <c r="BF16" i="6"/>
  <c r="BE16" i="6"/>
  <c r="BD16" i="6"/>
  <c r="BC16" i="6"/>
  <c r="BB16" i="6"/>
  <c r="BF17" i="6"/>
  <c r="BF7" i="14"/>
  <c r="BE7" i="14"/>
  <c r="BD7" i="14"/>
  <c r="BC7" i="14"/>
  <c r="BB7" i="14"/>
  <c r="BB6" i="14"/>
  <c r="BB22" i="6" l="1"/>
  <c r="BB24" i="6"/>
  <c r="BE24" i="6"/>
  <c r="BE22" i="6"/>
  <c r="BC24" i="6"/>
  <c r="BC22" i="6"/>
  <c r="BF24" i="6"/>
  <c r="BF22" i="6"/>
  <c r="BD22" i="6"/>
  <c r="BD24" i="6"/>
  <c r="BK16" i="6"/>
  <c r="BI16" i="6"/>
  <c r="BH16" i="6"/>
  <c r="BE18" i="6"/>
  <c r="BJ16" i="6"/>
  <c r="BB20" i="6"/>
  <c r="BG16" i="6"/>
  <c r="AT139" i="19"/>
  <c r="AS122" i="19"/>
  <c r="BF18" i="6"/>
  <c r="BC20" i="6"/>
  <c r="BD20" i="6"/>
  <c r="BB18" i="6"/>
  <c r="BE20" i="6"/>
  <c r="BF20" i="6" s="1"/>
  <c r="BC18" i="6"/>
  <c r="BD18" i="6"/>
  <c r="BF62" i="21"/>
  <c r="BE60" i="21"/>
  <c r="BD60" i="21"/>
  <c r="BC60" i="21"/>
  <c r="BB60" i="21"/>
  <c r="BF57" i="21"/>
  <c r="BF55" i="21"/>
  <c r="BF54" i="21"/>
  <c r="BF53" i="21"/>
  <c r="BF52" i="21"/>
  <c r="BF51" i="21"/>
  <c r="BF50" i="21"/>
  <c r="BF49" i="21"/>
  <c r="BF48" i="21"/>
  <c r="BF47" i="21"/>
  <c r="BF46" i="21"/>
  <c r="BF45" i="21"/>
  <c r="BF44" i="21"/>
  <c r="BF43" i="21"/>
  <c r="BF42" i="21"/>
  <c r="BF41" i="21"/>
  <c r="BF40" i="21"/>
  <c r="BF35" i="21"/>
  <c r="BF34" i="21"/>
  <c r="BF33" i="21"/>
  <c r="BF32" i="21"/>
  <c r="BF31" i="21"/>
  <c r="BF29" i="21"/>
  <c r="BF15" i="21"/>
  <c r="BF14" i="21"/>
  <c r="BF12" i="21"/>
  <c r="BF11" i="21"/>
  <c r="BE5" i="21"/>
  <c r="BD5" i="21"/>
  <c r="BC5" i="21"/>
  <c r="BB5" i="21"/>
  <c r="BF5" i="19"/>
  <c r="BF5" i="21" s="1"/>
  <c r="BF46" i="20"/>
  <c r="BF34" i="20"/>
  <c r="BF5" i="20"/>
  <c r="BE5" i="20"/>
  <c r="BD5" i="20"/>
  <c r="BC5" i="20"/>
  <c r="BB5" i="20"/>
  <c r="BB4" i="20"/>
  <c r="BB46" i="20" s="1"/>
  <c r="BF32" i="27"/>
  <c r="BF29" i="27"/>
  <c r="BF47" i="20" s="1"/>
  <c r="BE29" i="27"/>
  <c r="BE47" i="20" s="1"/>
  <c r="BD29" i="27"/>
  <c r="BD47" i="20" s="1"/>
  <c r="BC29" i="27"/>
  <c r="BC47" i="20" s="1"/>
  <c r="BB29" i="27"/>
  <c r="BB47" i="20" s="1"/>
  <c r="BB28" i="27"/>
  <c r="BF5" i="27"/>
  <c r="BE5" i="27"/>
  <c r="BD5" i="27"/>
  <c r="BC5" i="27"/>
  <c r="BB5" i="27"/>
  <c r="BB4" i="27"/>
  <c r="BK22" i="6" l="1"/>
  <c r="BK24" i="6"/>
  <c r="BI24" i="6"/>
  <c r="BI22" i="6"/>
  <c r="BJ22" i="6"/>
  <c r="BJ24" i="6"/>
  <c r="BH24" i="6"/>
  <c r="BH22" i="6"/>
  <c r="BG22" i="6"/>
  <c r="BG24" i="6"/>
  <c r="BO16" i="6"/>
  <c r="BM16" i="6"/>
  <c r="BP16" i="6"/>
  <c r="BL16" i="6"/>
  <c r="BH20" i="6"/>
  <c r="BI20" i="6"/>
  <c r="BN16" i="6"/>
  <c r="BH18" i="6"/>
  <c r="BI18" i="6"/>
  <c r="BK18" i="6"/>
  <c r="BG18" i="6"/>
  <c r="BG20" i="6"/>
  <c r="BJ18" i="6"/>
  <c r="BJ20" i="6"/>
  <c r="BK20" i="6" s="1"/>
  <c r="BF60" i="21"/>
  <c r="BO24" i="6" l="1"/>
  <c r="BO22" i="6"/>
  <c r="BL22" i="6"/>
  <c r="BL24" i="6"/>
  <c r="BM22" i="6"/>
  <c r="BM24" i="6"/>
  <c r="BP24" i="6"/>
  <c r="BP22" i="6"/>
  <c r="BN22" i="6"/>
  <c r="BN24" i="6"/>
  <c r="BU16" i="6"/>
  <c r="BQ16" i="6"/>
  <c r="BR16" i="6"/>
  <c r="BT16" i="6"/>
  <c r="BS16" i="6"/>
  <c r="BS18" i="6"/>
  <c r="BL20" i="6"/>
  <c r="BO18" i="6"/>
  <c r="BM18" i="6"/>
  <c r="BL18" i="6"/>
  <c r="BM20" i="6"/>
  <c r="BO20" i="6"/>
  <c r="BP20" i="6" s="1"/>
  <c r="BP18" i="6"/>
  <c r="BN18" i="6"/>
  <c r="BN20" i="6"/>
  <c r="AC50" i="27"/>
  <c r="AI50" i="27"/>
  <c r="AI51" i="27" s="1"/>
  <c r="BT24" i="6" l="1"/>
  <c r="BT22" i="6"/>
  <c r="BQ24" i="6"/>
  <c r="BQ22" i="6"/>
  <c r="BT18" i="6"/>
  <c r="BR22" i="6"/>
  <c r="BR24" i="6"/>
  <c r="BT20" i="6"/>
  <c r="BU20" i="6" s="1"/>
  <c r="BQ18" i="6"/>
  <c r="BQ20" i="6"/>
  <c r="BS22" i="6"/>
  <c r="BS24" i="6"/>
  <c r="BU22" i="6"/>
  <c r="BU24" i="6"/>
  <c r="BU18" i="6"/>
  <c r="BR20" i="6"/>
  <c r="BR18" i="6"/>
  <c r="BS20" i="6"/>
  <c r="BP13" i="21"/>
  <c r="BF13" i="21"/>
  <c r="BK13" i="21" l="1"/>
  <c r="BF9" i="21"/>
  <c r="AP69" i="20"/>
  <c r="AP59" i="20"/>
  <c r="AP106" i="24"/>
  <c r="AF50" i="27"/>
  <c r="BL9" i="21" l="1"/>
  <c r="AK11" i="27"/>
  <c r="BM9" i="21" l="1"/>
  <c r="BN9" i="21" s="1"/>
  <c r="BO9" i="21" s="1"/>
  <c r="BQ9" i="21" s="1"/>
  <c r="BK9" i="21"/>
  <c r="AP90" i="20"/>
  <c r="AP89" i="20"/>
  <c r="AP84" i="20"/>
  <c r="AP81" i="20"/>
  <c r="AP80" i="20"/>
  <c r="AP76" i="20"/>
  <c r="AP130" i="24"/>
  <c r="BR9" i="21" l="1"/>
  <c r="BS9" i="21" s="1"/>
  <c r="BT9" i="21" s="1"/>
  <c r="BP9" i="21"/>
  <c r="BA16" i="6"/>
  <c r="AZ16" i="6"/>
  <c r="AY16" i="6"/>
  <c r="AX16" i="6"/>
  <c r="AW16" i="6"/>
  <c r="AP16" i="6"/>
  <c r="BA17" i="6"/>
  <c r="AP62" i="21"/>
  <c r="AP55" i="21"/>
  <c r="AP53" i="21"/>
  <c r="AP50" i="21"/>
  <c r="AP35" i="21"/>
  <c r="AP31" i="21"/>
  <c r="AP30" i="21"/>
  <c r="AP29" i="21"/>
  <c r="AP24" i="21"/>
  <c r="AP22" i="21"/>
  <c r="AP21" i="21"/>
  <c r="AP20" i="21"/>
  <c r="AP19" i="21"/>
  <c r="AP18" i="21"/>
  <c r="AP17" i="21"/>
  <c r="AP16" i="21"/>
  <c r="AP13" i="21"/>
  <c r="AP10" i="21"/>
  <c r="AP111" i="20" s="1"/>
  <c r="AP93" i="21" s="1"/>
  <c r="AP9" i="21"/>
  <c r="AP8" i="21"/>
  <c r="AP83" i="20" s="1"/>
  <c r="AP7" i="21"/>
  <c r="AP48" i="19"/>
  <c r="AP43" i="19"/>
  <c r="AP42" i="19"/>
  <c r="AP41" i="19"/>
  <c r="AP39" i="19"/>
  <c r="AP35" i="19"/>
  <c r="AP31" i="19"/>
  <c r="AP32" i="19"/>
  <c r="AP29" i="19"/>
  <c r="AP106" i="19" s="1"/>
  <c r="AU108" i="19" s="1"/>
  <c r="AP28" i="19"/>
  <c r="AP100" i="19" s="1"/>
  <c r="AU102" i="19" s="1"/>
  <c r="AP21" i="19"/>
  <c r="AP17" i="19"/>
  <c r="AP18" i="19"/>
  <c r="AP141" i="19" s="1"/>
  <c r="AP20" i="19"/>
  <c r="AR91" i="19" s="1"/>
  <c r="AP19" i="19"/>
  <c r="AP16" i="19"/>
  <c r="AR82" i="19" s="1"/>
  <c r="AP15" i="19"/>
  <c r="AP11" i="19"/>
  <c r="AP10" i="19"/>
  <c r="AP9" i="19"/>
  <c r="AP8" i="19"/>
  <c r="AP7" i="19"/>
  <c r="AP112" i="24"/>
  <c r="AP119" i="24"/>
  <c r="AP107" i="24"/>
  <c r="AP95" i="24"/>
  <c r="AP90" i="24"/>
  <c r="AP85" i="24"/>
  <c r="AP22" i="6" l="1"/>
  <c r="AP24" i="6"/>
  <c r="AY24" i="6"/>
  <c r="AY22" i="6"/>
  <c r="AW22" i="6"/>
  <c r="AW24" i="6"/>
  <c r="BA24" i="6"/>
  <c r="BA22" i="6"/>
  <c r="AX22" i="6"/>
  <c r="AX24" i="6"/>
  <c r="AZ24" i="6"/>
  <c r="AZ22" i="6"/>
  <c r="BU9" i="21"/>
  <c r="AU113" i="19"/>
  <c r="AP17" i="20"/>
  <c r="AV18" i="20"/>
  <c r="AR18" i="20"/>
  <c r="AU143" i="19"/>
  <c r="AR144" i="19"/>
  <c r="AU117" i="19"/>
  <c r="AX20" i="6"/>
  <c r="AY18" i="6"/>
  <c r="AW20" i="6"/>
  <c r="AW18" i="6"/>
  <c r="AR98" i="24"/>
  <c r="G72" i="17" s="1"/>
  <c r="AP77" i="20"/>
  <c r="AP65" i="19"/>
  <c r="AP136" i="19"/>
  <c r="AU138" i="19" s="1"/>
  <c r="AP132" i="19"/>
  <c r="AU133" i="19" s="1"/>
  <c r="AR109" i="19"/>
  <c r="AP111" i="19"/>
  <c r="BA18" i="6"/>
  <c r="AX18" i="6"/>
  <c r="AR88" i="24"/>
  <c r="AR118" i="19"/>
  <c r="AP115" i="19"/>
  <c r="AR93" i="24"/>
  <c r="G66" i="17" s="1"/>
  <c r="AR103" i="19"/>
  <c r="AY20" i="6"/>
  <c r="AZ18" i="6"/>
  <c r="AZ20" i="6"/>
  <c r="BA20" i="6" s="1"/>
  <c r="AP69" i="24"/>
  <c r="AP57" i="24"/>
  <c r="AP65" i="24" s="1"/>
  <c r="AP47" i="24"/>
  <c r="AP39" i="24"/>
  <c r="AK39" i="24"/>
  <c r="AK47" i="24"/>
  <c r="AP50" i="27"/>
  <c r="AP41" i="27"/>
  <c r="AP83" i="19"/>
  <c r="AO69" i="20"/>
  <c r="AO65" i="20"/>
  <c r="AO67" i="20"/>
  <c r="AO59" i="20"/>
  <c r="AN59" i="20"/>
  <c r="AN69" i="20"/>
  <c r="AN67" i="20"/>
  <c r="AN65" i="20"/>
  <c r="CF26" i="27"/>
  <c r="AP48" i="24" l="1"/>
  <c r="AP142" i="19"/>
  <c r="AU42" i="27"/>
  <c r="AU40" i="24"/>
  <c r="AU48" i="24"/>
  <c r="AP40" i="24"/>
  <c r="AP80" i="24"/>
  <c r="AP120" i="19"/>
  <c r="AU121" i="19" s="1"/>
  <c r="AR128" i="19"/>
  <c r="AR129" i="19" s="1"/>
  <c r="AR134" i="19"/>
  <c r="AP137" i="19"/>
  <c r="AR45" i="27"/>
  <c r="AR122" i="19" l="1"/>
  <c r="AS47" i="27"/>
  <c r="AR139" i="19"/>
  <c r="AN81" i="20"/>
  <c r="AN80" i="20"/>
  <c r="AO81" i="20"/>
  <c r="AO80" i="20"/>
  <c r="AP72" i="21" l="1"/>
  <c r="AO108" i="20" l="1"/>
  <c r="AO41" i="27"/>
  <c r="AT42" i="27" s="1"/>
  <c r="AO50" i="27"/>
  <c r="AP52" i="27" s="1"/>
  <c r="AO62" i="21"/>
  <c r="AO57" i="21"/>
  <c r="AO55" i="21"/>
  <c r="AO53" i="21"/>
  <c r="AO48" i="21"/>
  <c r="AO42" i="21"/>
  <c r="AO35" i="21"/>
  <c r="AO32" i="21"/>
  <c r="AO31" i="21"/>
  <c r="AO30" i="21"/>
  <c r="AO29" i="21"/>
  <c r="AO24" i="21"/>
  <c r="AO22" i="21"/>
  <c r="AO21" i="21"/>
  <c r="AO20" i="21"/>
  <c r="AO19" i="21"/>
  <c r="AO18" i="21"/>
  <c r="AO17" i="21"/>
  <c r="AO16" i="21"/>
  <c r="AO10" i="21"/>
  <c r="AO111" i="20" s="1"/>
  <c r="AO9" i="21"/>
  <c r="AO8" i="21"/>
  <c r="AO7" i="21"/>
  <c r="AO48" i="19"/>
  <c r="AO43" i="19"/>
  <c r="AO42" i="19"/>
  <c r="AO41" i="19"/>
  <c r="AO39" i="19"/>
  <c r="AO28" i="19"/>
  <c r="AO100" i="19" s="1"/>
  <c r="AO35" i="19"/>
  <c r="AO31" i="19"/>
  <c r="AO32" i="19"/>
  <c r="AO29" i="19"/>
  <c r="AO106" i="19" s="1"/>
  <c r="AT108" i="19" s="1"/>
  <c r="AO21" i="19"/>
  <c r="AO17" i="19"/>
  <c r="AO18" i="19"/>
  <c r="AO20" i="19"/>
  <c r="AO19" i="19"/>
  <c r="AO16" i="19"/>
  <c r="AO15" i="19"/>
  <c r="AO11" i="19"/>
  <c r="AO77" i="19" s="1"/>
  <c r="AO10" i="19"/>
  <c r="AO136" i="19" s="1"/>
  <c r="AO9" i="19"/>
  <c r="AO71" i="19" s="1"/>
  <c r="AO8" i="19"/>
  <c r="AO7" i="19"/>
  <c r="AO64" i="24"/>
  <c r="AO63" i="24"/>
  <c r="AO130" i="24"/>
  <c r="AO112" i="24"/>
  <c r="AO106" i="24"/>
  <c r="AO95" i="24"/>
  <c r="AP98" i="24" s="1"/>
  <c r="AO90" i="24"/>
  <c r="AP93" i="24" s="1"/>
  <c r="AO85" i="24"/>
  <c r="AP88" i="24" s="1"/>
  <c r="AO69" i="24"/>
  <c r="AO57" i="24"/>
  <c r="AO65" i="24" s="1"/>
  <c r="AO107" i="24"/>
  <c r="AO47" i="24"/>
  <c r="AT48" i="24" s="1"/>
  <c r="AO39" i="24"/>
  <c r="AT113" i="19" l="1"/>
  <c r="AO17" i="20"/>
  <c r="AO72" i="21"/>
  <c r="AT117" i="19"/>
  <c r="AP118" i="19"/>
  <c r="AO80" i="24"/>
  <c r="AO132" i="19"/>
  <c r="AT133" i="19" s="1"/>
  <c r="AO83" i="19"/>
  <c r="AO115" i="19"/>
  <c r="AO141" i="19"/>
  <c r="AO129" i="24"/>
  <c r="AO93" i="21"/>
  <c r="AT73" i="19"/>
  <c r="AT79" i="19"/>
  <c r="AT102" i="19"/>
  <c r="AT138" i="19"/>
  <c r="AT40" i="24"/>
  <c r="AP45" i="27"/>
  <c r="AO137" i="19" l="1"/>
  <c r="AT143" i="19"/>
  <c r="AP144" i="19"/>
  <c r="AO142" i="19"/>
  <c r="AR47" i="27"/>
  <c r="AN112" i="24"/>
  <c r="AN106" i="24"/>
  <c r="AN69" i="24"/>
  <c r="AN50" i="27"/>
  <c r="AN41" i="27"/>
  <c r="AS42" i="27" s="1"/>
  <c r="AN7" i="27"/>
  <c r="AO11" i="27" s="1"/>
  <c r="AN43" i="21"/>
  <c r="AN57" i="21"/>
  <c r="AN53" i="21"/>
  <c r="AN42" i="21"/>
  <c r="AN35" i="21"/>
  <c r="AN32" i="21"/>
  <c r="AN31" i="21"/>
  <c r="AN30" i="21"/>
  <c r="AN83" i="19" s="1"/>
  <c r="AN29" i="21"/>
  <c r="AN13" i="21"/>
  <c r="AN24" i="21"/>
  <c r="AN22" i="21"/>
  <c r="AN21" i="21"/>
  <c r="AN20" i="21"/>
  <c r="AN19" i="21"/>
  <c r="AN18" i="21"/>
  <c r="AN17" i="21"/>
  <c r="AN16" i="21"/>
  <c r="AN10" i="21"/>
  <c r="AN111" i="20" s="1"/>
  <c r="AN9" i="21"/>
  <c r="AN8" i="21"/>
  <c r="AN7" i="21"/>
  <c r="AN48" i="19"/>
  <c r="AN43" i="19"/>
  <c r="AN42" i="19"/>
  <c r="AN41" i="19"/>
  <c r="AN39" i="19"/>
  <c r="AN28" i="19"/>
  <c r="AN100" i="19" s="1"/>
  <c r="AN35" i="19"/>
  <c r="AN31" i="19"/>
  <c r="AN32" i="19"/>
  <c r="AN29" i="19"/>
  <c r="AN106" i="19" s="1"/>
  <c r="AN21" i="19"/>
  <c r="AN17" i="19"/>
  <c r="AN18" i="19"/>
  <c r="AN141" i="19" s="1"/>
  <c r="AN20" i="19"/>
  <c r="AN19" i="19"/>
  <c r="AN16" i="19"/>
  <c r="AO82" i="19" s="1"/>
  <c r="AN15" i="19"/>
  <c r="AN11" i="19"/>
  <c r="AN77" i="19" s="1"/>
  <c r="AN10" i="19"/>
  <c r="AN9" i="19"/>
  <c r="AN71" i="19" s="1"/>
  <c r="AN8" i="19"/>
  <c r="AN7" i="19"/>
  <c r="AN119" i="24"/>
  <c r="AN108" i="20" s="1"/>
  <c r="AN95" i="24"/>
  <c r="AO98" i="24" s="1"/>
  <c r="D72" i="17" s="1"/>
  <c r="AN107" i="24"/>
  <c r="AN90" i="24"/>
  <c r="AO93" i="24" s="1"/>
  <c r="D66" i="17" s="1"/>
  <c r="AN85" i="24"/>
  <c r="AO88" i="24" s="1"/>
  <c r="AN57" i="24"/>
  <c r="AN65" i="24" s="1"/>
  <c r="AN47" i="24"/>
  <c r="AS48" i="24" s="1"/>
  <c r="AN39" i="24"/>
  <c r="AM39" i="24"/>
  <c r="AR40" i="24" s="1"/>
  <c r="AN130" i="24"/>
  <c r="AM106" i="24"/>
  <c r="AP18" i="20" l="1"/>
  <c r="AN17" i="20"/>
  <c r="AO144" i="19"/>
  <c r="AO118" i="19"/>
  <c r="AN72" i="21"/>
  <c r="AS102" i="19"/>
  <c r="AP103" i="19"/>
  <c r="AS143" i="19"/>
  <c r="AS117" i="19"/>
  <c r="AN115" i="19"/>
  <c r="AN117" i="19"/>
  <c r="AN93" i="21"/>
  <c r="AN80" i="24"/>
  <c r="AN136" i="19"/>
  <c r="AN132" i="19"/>
  <c r="AN142" i="19" s="1"/>
  <c r="AS40" i="24"/>
  <c r="AS73" i="19"/>
  <c r="AS79" i="19"/>
  <c r="AS108" i="19"/>
  <c r="AP109" i="19"/>
  <c r="AN48" i="24"/>
  <c r="AS113" i="19"/>
  <c r="AN113" i="19"/>
  <c r="AN40" i="24"/>
  <c r="AO68" i="24"/>
  <c r="AN42" i="27"/>
  <c r="AO43" i="27"/>
  <c r="AO45" i="27"/>
  <c r="AO52" i="27"/>
  <c r="BA46" i="20"/>
  <c r="BA34" i="20"/>
  <c r="BA62" i="21"/>
  <c r="AZ60" i="21"/>
  <c r="AY60" i="21"/>
  <c r="AX60" i="21"/>
  <c r="AW60" i="21"/>
  <c r="BA57" i="21"/>
  <c r="BA55" i="21"/>
  <c r="BA54" i="21"/>
  <c r="BA53" i="21"/>
  <c r="BA52" i="21"/>
  <c r="BA51" i="21"/>
  <c r="BA50" i="21"/>
  <c r="BA49" i="21"/>
  <c r="BA48" i="21"/>
  <c r="BA47" i="21"/>
  <c r="BA46" i="21"/>
  <c r="BA45" i="21"/>
  <c r="BA44" i="21"/>
  <c r="BA43" i="21"/>
  <c r="BA42" i="21"/>
  <c r="BA41" i="21"/>
  <c r="BA40" i="21"/>
  <c r="BA35" i="21"/>
  <c r="BA34" i="21"/>
  <c r="BA33" i="21"/>
  <c r="BA32" i="21"/>
  <c r="BA31" i="21"/>
  <c r="BA29" i="21"/>
  <c r="BA15" i="21"/>
  <c r="BA14" i="21"/>
  <c r="BA13" i="21"/>
  <c r="BA12" i="21"/>
  <c r="BA11" i="21"/>
  <c r="BA9" i="21"/>
  <c r="AZ5" i="21"/>
  <c r="AY5" i="21"/>
  <c r="AX5" i="21"/>
  <c r="AW5" i="21"/>
  <c r="BA5" i="19"/>
  <c r="BA5" i="21" s="1"/>
  <c r="BA7" i="14"/>
  <c r="AZ7" i="14"/>
  <c r="AY7" i="14"/>
  <c r="AX7" i="14"/>
  <c r="AW7" i="14"/>
  <c r="AW6" i="14"/>
  <c r="BA5" i="20"/>
  <c r="AZ5" i="20"/>
  <c r="AY5" i="20"/>
  <c r="AX5" i="20"/>
  <c r="AW5" i="20"/>
  <c r="AW4" i="20"/>
  <c r="AW46" i="20" s="1"/>
  <c r="BA32" i="27"/>
  <c r="BA29" i="27"/>
  <c r="BA47" i="20" s="1"/>
  <c r="AZ29" i="27"/>
  <c r="AZ47" i="20" s="1"/>
  <c r="AY29" i="27"/>
  <c r="AY47" i="20" s="1"/>
  <c r="AX29" i="27"/>
  <c r="AX47" i="20" s="1"/>
  <c r="AW29" i="27"/>
  <c r="AW47" i="20" s="1"/>
  <c r="AW28" i="27"/>
  <c r="BA5" i="27"/>
  <c r="AZ5" i="27"/>
  <c r="AY5" i="27"/>
  <c r="AX5" i="27"/>
  <c r="AW5" i="27"/>
  <c r="AW4" i="27"/>
  <c r="AS133" i="19" l="1"/>
  <c r="AP128" i="19"/>
  <c r="AP129" i="19" s="1"/>
  <c r="AP134" i="19"/>
  <c r="AP47" i="27"/>
  <c r="AN137" i="19"/>
  <c r="AS138" i="19"/>
  <c r="BA60" i="21"/>
  <c r="CG26" i="27"/>
  <c r="CF27" i="27"/>
  <c r="CF30" i="27"/>
  <c r="CE30" i="27"/>
  <c r="CE27" i="27"/>
  <c r="CE31" i="27" l="1"/>
  <c r="AP139" i="19"/>
  <c r="CH27" i="27"/>
  <c r="CH30" i="27"/>
  <c r="AW53" i="20"/>
  <c r="CF31" i="27"/>
  <c r="AI72" i="21"/>
  <c r="AH72" i="21"/>
  <c r="AN129" i="24"/>
  <c r="AM130" i="24"/>
  <c r="AM50" i="27"/>
  <c r="AN52" i="27" s="1"/>
  <c r="AM41" i="27"/>
  <c r="AH7" i="27"/>
  <c r="AM7" i="27"/>
  <c r="AM81" i="20"/>
  <c r="AM94" i="19" s="1"/>
  <c r="AM80" i="20"/>
  <c r="AM88" i="20"/>
  <c r="AM87" i="20"/>
  <c r="AM76" i="20"/>
  <c r="AM69" i="20"/>
  <c r="AM90" i="20" s="1"/>
  <c r="AM67" i="20"/>
  <c r="AM84" i="20" s="1"/>
  <c r="AM65" i="20"/>
  <c r="AM89" i="20" s="1"/>
  <c r="AM59" i="20"/>
  <c r="AM62" i="21"/>
  <c r="AM57" i="21"/>
  <c r="AM55" i="21"/>
  <c r="AM53" i="21"/>
  <c r="AM50" i="21"/>
  <c r="AM43" i="21"/>
  <c r="AM48" i="21"/>
  <c r="AM44" i="21"/>
  <c r="AM42" i="21"/>
  <c r="AM35" i="21"/>
  <c r="AM34" i="21"/>
  <c r="AM33" i="21"/>
  <c r="AM32" i="21"/>
  <c r="AM31" i="21"/>
  <c r="AM30" i="21"/>
  <c r="AQ30" i="21" s="1"/>
  <c r="AM29" i="21"/>
  <c r="AM24" i="21"/>
  <c r="AM22" i="21"/>
  <c r="AM21" i="21"/>
  <c r="AM20" i="21"/>
  <c r="AM19" i="21"/>
  <c r="AM18" i="21"/>
  <c r="AM17" i="21"/>
  <c r="AM16" i="21"/>
  <c r="AM15" i="21"/>
  <c r="AM13" i="21"/>
  <c r="AM11" i="21"/>
  <c r="AM10" i="21"/>
  <c r="AM111" i="20" s="1"/>
  <c r="AM93" i="21" s="1"/>
  <c r="AM9" i="21"/>
  <c r="AM8" i="21"/>
  <c r="AM83" i="20" s="1"/>
  <c r="AM7" i="21"/>
  <c r="AM48" i="19"/>
  <c r="AM43" i="19"/>
  <c r="AM42" i="19"/>
  <c r="AM41" i="19"/>
  <c r="AM39" i="19"/>
  <c r="AM35" i="19"/>
  <c r="AM31" i="19"/>
  <c r="AM32" i="19"/>
  <c r="AM29" i="19"/>
  <c r="AM106" i="19" s="1"/>
  <c r="AM28" i="19"/>
  <c r="AM100" i="19" s="1"/>
  <c r="AM21" i="19"/>
  <c r="AM17" i="19"/>
  <c r="AM18" i="19"/>
  <c r="AM20" i="19"/>
  <c r="AM98" i="19" s="1"/>
  <c r="AM19" i="19"/>
  <c r="AM16" i="19"/>
  <c r="AM15" i="19"/>
  <c r="AM11" i="19"/>
  <c r="AM10" i="19"/>
  <c r="AM9" i="19"/>
  <c r="AM8" i="19"/>
  <c r="AM7" i="19"/>
  <c r="AM119" i="24"/>
  <c r="AM108" i="20" s="1"/>
  <c r="AM90" i="24"/>
  <c r="AM95" i="24"/>
  <c r="AM85" i="24"/>
  <c r="AM69" i="24"/>
  <c r="AM57" i="24"/>
  <c r="AM112" i="24"/>
  <c r="AM107" i="24"/>
  <c r="AM77" i="20" s="1"/>
  <c r="AM47" i="24"/>
  <c r="AR48" i="24" s="1"/>
  <c r="AM41" i="24"/>
  <c r="AM34" i="24"/>
  <c r="AM36" i="24" s="1"/>
  <c r="AK34" i="24"/>
  <c r="AP34" i="24" s="1"/>
  <c r="CH31" i="27" l="1"/>
  <c r="AR113" i="19"/>
  <c r="AO18" i="20"/>
  <c r="AM17" i="20"/>
  <c r="AN118" i="19"/>
  <c r="AM8" i="27"/>
  <c r="AM30" i="24"/>
  <c r="AM78" i="24" s="1"/>
  <c r="AM49" i="24"/>
  <c r="AM48" i="24"/>
  <c r="AR108" i="19"/>
  <c r="AO109" i="19"/>
  <c r="AN93" i="24"/>
  <c r="AM83" i="19"/>
  <c r="AM72" i="21"/>
  <c r="AM111" i="19"/>
  <c r="AM113" i="19"/>
  <c r="AM80" i="24"/>
  <c r="AR87" i="24"/>
  <c r="AN88" i="24"/>
  <c r="AR117" i="19"/>
  <c r="AR102" i="19"/>
  <c r="AO103" i="19"/>
  <c r="AN98" i="24"/>
  <c r="AM9" i="27"/>
  <c r="AH50" i="27"/>
  <c r="AH51" i="27" s="1"/>
  <c r="AH11" i="27"/>
  <c r="AR42" i="27"/>
  <c r="AN45" i="27"/>
  <c r="CE20" i="27"/>
  <c r="AM129" i="24"/>
  <c r="AM86" i="20"/>
  <c r="AO113" i="20"/>
  <c r="AX53" i="20"/>
  <c r="AM42" i="27"/>
  <c r="AM65" i="24"/>
  <c r="AN46" i="27" l="1"/>
  <c r="AS46" i="27"/>
  <c r="AO47" i="27"/>
  <c r="AM51" i="27"/>
  <c r="AY53" i="20"/>
  <c r="AK48" i="24"/>
  <c r="AG119" i="24"/>
  <c r="AL119" i="24"/>
  <c r="AL108" i="20" s="1"/>
  <c r="AK119" i="24"/>
  <c r="AK108" i="20" s="1"/>
  <c r="AK107" i="24"/>
  <c r="AF74" i="20"/>
  <c r="AE74" i="20"/>
  <c r="AD74" i="20"/>
  <c r="AC74" i="20"/>
  <c r="AK69" i="20"/>
  <c r="AK67" i="20"/>
  <c r="AK65" i="20"/>
  <c r="AK63" i="20"/>
  <c r="AK61" i="20"/>
  <c r="AK59" i="20"/>
  <c r="AK41" i="27"/>
  <c r="AK42" i="27" l="1"/>
  <c r="AK50" i="27"/>
  <c r="AM43" i="27"/>
  <c r="AP51" i="27" l="1"/>
  <c r="AK51" i="27"/>
  <c r="AK64" i="24"/>
  <c r="AK80" i="20"/>
  <c r="AK81" i="20"/>
  <c r="AK94" i="19" s="1"/>
  <c r="AK62" i="21"/>
  <c r="AK57" i="21"/>
  <c r="AK55" i="21"/>
  <c r="AK53" i="21"/>
  <c r="AK50" i="21"/>
  <c r="AK35" i="21"/>
  <c r="AK32" i="21"/>
  <c r="AK31" i="21"/>
  <c r="AK30" i="21"/>
  <c r="AK24" i="21"/>
  <c r="AK22" i="21"/>
  <c r="AK21" i="21"/>
  <c r="AK20" i="21"/>
  <c r="AK19" i="21"/>
  <c r="AK18" i="21"/>
  <c r="AK17" i="21"/>
  <c r="AK15" i="21"/>
  <c r="AK13" i="21"/>
  <c r="AK11" i="21"/>
  <c r="AK10" i="21"/>
  <c r="AK111" i="20" s="1"/>
  <c r="AK9" i="21"/>
  <c r="AK8" i="21"/>
  <c r="AK7" i="21"/>
  <c r="AK48" i="19"/>
  <c r="AK43" i="19"/>
  <c r="AK42" i="19"/>
  <c r="AK41" i="19"/>
  <c r="AK39" i="19"/>
  <c r="AM118" i="19" s="1"/>
  <c r="AK35" i="19"/>
  <c r="AK31" i="19"/>
  <c r="AK32" i="19"/>
  <c r="AK29" i="19"/>
  <c r="AK106" i="19" s="1"/>
  <c r="AK28" i="19"/>
  <c r="AK100" i="19" s="1"/>
  <c r="AK21" i="19"/>
  <c r="AK17" i="19"/>
  <c r="AK18" i="19"/>
  <c r="AK141" i="19" s="1"/>
  <c r="AK20" i="19"/>
  <c r="AK19" i="19"/>
  <c r="AK16" i="19"/>
  <c r="AK15" i="19"/>
  <c r="AK11" i="19"/>
  <c r="AK77" i="19" s="1"/>
  <c r="AK10" i="19"/>
  <c r="AK136" i="19" s="1"/>
  <c r="AK9" i="19"/>
  <c r="AK71" i="19" s="1"/>
  <c r="AK8" i="19"/>
  <c r="AK7" i="19"/>
  <c r="AK112" i="24"/>
  <c r="AK106" i="24"/>
  <c r="AK95" i="24"/>
  <c r="AM98" i="24" s="1"/>
  <c r="AK90" i="24"/>
  <c r="AM93" i="24" s="1"/>
  <c r="AK85" i="24"/>
  <c r="AM88" i="24" s="1"/>
  <c r="AK69" i="24"/>
  <c r="AK57" i="24"/>
  <c r="AK44" i="21"/>
  <c r="AK43" i="21"/>
  <c r="AK34" i="21"/>
  <c r="AK33" i="21"/>
  <c r="AK23" i="21"/>
  <c r="AK130" i="24"/>
  <c r="AM18" i="20" l="1"/>
  <c r="AK17" i="20"/>
  <c r="AQ18" i="20"/>
  <c r="AM91" i="19"/>
  <c r="AK98" i="19"/>
  <c r="AP143" i="19"/>
  <c r="AP117" i="19"/>
  <c r="AK115" i="19"/>
  <c r="AM113" i="20"/>
  <c r="AK93" i="21"/>
  <c r="AP102" i="19"/>
  <c r="AM103" i="19"/>
  <c r="AK72" i="21"/>
  <c r="AK83" i="19"/>
  <c r="AP138" i="19"/>
  <c r="AP108" i="19"/>
  <c r="AM109" i="19"/>
  <c r="AM82" i="19"/>
  <c r="AK89" i="19"/>
  <c r="AP113" i="19"/>
  <c r="AK111" i="19"/>
  <c r="AK85" i="19"/>
  <c r="AK36" i="24"/>
  <c r="AK30" i="24"/>
  <c r="AA10" i="14"/>
  <c r="AA9" i="14"/>
  <c r="AH12" i="14"/>
  <c r="AI12" i="14"/>
  <c r="AJ34" i="24"/>
  <c r="AI34" i="24"/>
  <c r="AI61" i="24" s="1"/>
  <c r="AJ130" i="24"/>
  <c r="AI130" i="24"/>
  <c r="AH130" i="24"/>
  <c r="AF55" i="21"/>
  <c r="AD57" i="21"/>
  <c r="AD42" i="21"/>
  <c r="AD43" i="21"/>
  <c r="AD44" i="21"/>
  <c r="AD45" i="21"/>
  <c r="AD46" i="21"/>
  <c r="AD47" i="21"/>
  <c r="AD48" i="21"/>
  <c r="AD49" i="21"/>
  <c r="AD50" i="21"/>
  <c r="AF42" i="21"/>
  <c r="AF43" i="21"/>
  <c r="AF44" i="21"/>
  <c r="AF45" i="21"/>
  <c r="AF46" i="21"/>
  <c r="AF47" i="21"/>
  <c r="AF48" i="21"/>
  <c r="AF49" i="21"/>
  <c r="AF50" i="21"/>
  <c r="AI55" i="21"/>
  <c r="AH42" i="21"/>
  <c r="AH43" i="21"/>
  <c r="AI43" i="21"/>
  <c r="AH44" i="21"/>
  <c r="AI44" i="21"/>
  <c r="AH45" i="21"/>
  <c r="AI45" i="21"/>
  <c r="AH46" i="21"/>
  <c r="AI46" i="21"/>
  <c r="AH47" i="21"/>
  <c r="AI47" i="21"/>
  <c r="AH48" i="21"/>
  <c r="AI48" i="21"/>
  <c r="AH49" i="21"/>
  <c r="AI49" i="21"/>
  <c r="AH50" i="21"/>
  <c r="AI50" i="21"/>
  <c r="AJ44" i="21"/>
  <c r="AJ43" i="21"/>
  <c r="AD33" i="21"/>
  <c r="AE33" i="21"/>
  <c r="AF33" i="21"/>
  <c r="AD34" i="21"/>
  <c r="AE34" i="21"/>
  <c r="AF34" i="21"/>
  <c r="AH33" i="21"/>
  <c r="AI33" i="21"/>
  <c r="AJ33" i="21"/>
  <c r="AH34" i="21"/>
  <c r="AI34" i="21"/>
  <c r="AJ34" i="21"/>
  <c r="AI13" i="21"/>
  <c r="AH13" i="21"/>
  <c r="AJ13" i="21"/>
  <c r="AF43" i="19"/>
  <c r="AF42" i="19"/>
  <c r="AF41" i="19"/>
  <c r="AF39" i="19"/>
  <c r="AK117" i="19" s="1"/>
  <c r="AF48" i="19"/>
  <c r="AJ48" i="19"/>
  <c r="AF28" i="19"/>
  <c r="AF29" i="19"/>
  <c r="AF32" i="19"/>
  <c r="AF31" i="19"/>
  <c r="AF35" i="19"/>
  <c r="AF21" i="19"/>
  <c r="AF17" i="19"/>
  <c r="AF18" i="19"/>
  <c r="AF20" i="19"/>
  <c r="AF19" i="19"/>
  <c r="AF16" i="19"/>
  <c r="AF15" i="19"/>
  <c r="AF11" i="19"/>
  <c r="AF10" i="19"/>
  <c r="AF9" i="19"/>
  <c r="AF8" i="19"/>
  <c r="AF7" i="19"/>
  <c r="AG7" i="19" s="1"/>
  <c r="W7" i="19"/>
  <c r="AE7" i="27"/>
  <c r="AV5" i="19"/>
  <c r="AQ5" i="19"/>
  <c r="AL5" i="19"/>
  <c r="AG5" i="19"/>
  <c r="AK113" i="19" l="1"/>
  <c r="AH18" i="20"/>
  <c r="AF17" i="20"/>
  <c r="AL18" i="20"/>
  <c r="AJ36" i="24"/>
  <c r="AO34" i="24"/>
  <c r="AP37" i="24" s="1"/>
  <c r="AK37" i="24"/>
  <c r="AI30" i="24"/>
  <c r="AI32" i="24" s="1"/>
  <c r="AI36" i="24"/>
  <c r="AM96" i="19"/>
  <c r="AM95" i="19"/>
  <c r="AI37" i="24"/>
  <c r="AK120" i="19"/>
  <c r="AJ37" i="24"/>
  <c r="AK32" i="24"/>
  <c r="AA12" i="14"/>
  <c r="AA30" i="14" s="1"/>
  <c r="AP121" i="19" l="1"/>
  <c r="AJ12" i="14"/>
  <c r="AJ30" i="14" s="1"/>
  <c r="AE10" i="14"/>
  <c r="AF10" i="14" s="1"/>
  <c r="AE9" i="14"/>
  <c r="AF9" i="14" s="1"/>
  <c r="AJ91" i="19" l="1"/>
  <c r="AJ82" i="19"/>
  <c r="AJ62" i="21" l="1"/>
  <c r="AJ57" i="21"/>
  <c r="AJ55" i="21"/>
  <c r="AJ53" i="21"/>
  <c r="AJ50" i="21"/>
  <c r="AJ48" i="21"/>
  <c r="AJ42" i="21"/>
  <c r="AJ35" i="21"/>
  <c r="AJ32" i="21"/>
  <c r="AJ31" i="21"/>
  <c r="AJ30" i="21"/>
  <c r="AJ29" i="21"/>
  <c r="AJ24" i="21"/>
  <c r="AJ23" i="21"/>
  <c r="AJ22" i="21"/>
  <c r="AJ21" i="21"/>
  <c r="AJ20" i="21"/>
  <c r="AJ19" i="21"/>
  <c r="AJ18" i="21"/>
  <c r="AJ17" i="21"/>
  <c r="AJ16" i="21"/>
  <c r="AJ15" i="21"/>
  <c r="AJ11" i="21"/>
  <c r="AJ9" i="21"/>
  <c r="AJ8" i="21"/>
  <c r="AJ7" i="21"/>
  <c r="AL7" i="21" s="1"/>
  <c r="AJ81" i="20"/>
  <c r="AJ80" i="20"/>
  <c r="AJ10" i="21"/>
  <c r="AL10" i="21" s="1"/>
  <c r="AJ69" i="20"/>
  <c r="AJ67" i="20"/>
  <c r="AJ65" i="20"/>
  <c r="AJ59" i="20"/>
  <c r="AJ106" i="24"/>
  <c r="AJ69" i="24"/>
  <c r="AJ43" i="19"/>
  <c r="AJ39" i="19"/>
  <c r="AJ42" i="19"/>
  <c r="AJ41" i="19"/>
  <c r="AJ35" i="19"/>
  <c r="AJ31" i="19"/>
  <c r="AJ32" i="19"/>
  <c r="AJ29" i="19"/>
  <c r="AJ106" i="19" s="1"/>
  <c r="AJ28" i="19"/>
  <c r="AJ100" i="19" s="1"/>
  <c r="AJ21" i="19"/>
  <c r="AJ17" i="19"/>
  <c r="AJ18" i="19"/>
  <c r="AJ141" i="19" s="1"/>
  <c r="AJ20" i="19"/>
  <c r="AJ19" i="19"/>
  <c r="AJ16" i="19"/>
  <c r="AJ15" i="19"/>
  <c r="AJ11" i="19"/>
  <c r="AJ77" i="19" s="1"/>
  <c r="AJ10" i="19"/>
  <c r="AJ9" i="19"/>
  <c r="AJ71" i="19" s="1"/>
  <c r="AJ8" i="19"/>
  <c r="AJ7" i="19"/>
  <c r="AJ119" i="24"/>
  <c r="AJ108" i="20" s="1"/>
  <c r="AJ95" i="24"/>
  <c r="AJ98" i="24" s="1"/>
  <c r="AJ90" i="24"/>
  <c r="AJ93" i="24" s="1"/>
  <c r="AJ85" i="24"/>
  <c r="AJ88" i="24" s="1"/>
  <c r="AJ57" i="24"/>
  <c r="AJ112" i="24"/>
  <c r="AJ107" i="24"/>
  <c r="AJ47" i="24"/>
  <c r="AJ39" i="24"/>
  <c r="AE41" i="27"/>
  <c r="AJ41" i="27"/>
  <c r="AJ11" i="27"/>
  <c r="AO12" i="27" s="1"/>
  <c r="AO113" i="19" l="1"/>
  <c r="AJ17" i="20"/>
  <c r="AO73" i="19"/>
  <c r="AK74" i="19"/>
  <c r="AO143" i="19"/>
  <c r="AK144" i="19"/>
  <c r="AO79" i="19"/>
  <c r="AK80" i="19"/>
  <c r="AO102" i="19"/>
  <c r="AK103" i="19"/>
  <c r="AO108" i="19"/>
  <c r="AK109" i="19"/>
  <c r="AO117" i="19"/>
  <c r="AK118" i="19"/>
  <c r="AJ89" i="19"/>
  <c r="AK82" i="19"/>
  <c r="AJ83" i="19"/>
  <c r="AJ72" i="21"/>
  <c r="AL30" i="21"/>
  <c r="AF45" i="27"/>
  <c r="AE45" i="27"/>
  <c r="AO40" i="24"/>
  <c r="AK41" i="24"/>
  <c r="AJ30" i="24"/>
  <c r="AJ48" i="24"/>
  <c r="AO48" i="24"/>
  <c r="AK49" i="24"/>
  <c r="AJ98" i="19"/>
  <c r="AK91" i="19"/>
  <c r="AJ43" i="27"/>
  <c r="AJ45" i="27"/>
  <c r="AJ50" i="27"/>
  <c r="AO42" i="27"/>
  <c r="AK45" i="27"/>
  <c r="AK43" i="27"/>
  <c r="AJ85" i="19"/>
  <c r="AJ86" i="19" s="1"/>
  <c r="AL80" i="20"/>
  <c r="AL85" i="19" s="1"/>
  <c r="AJ94" i="19"/>
  <c r="AJ95" i="19" s="1"/>
  <c r="AL81" i="20"/>
  <c r="AJ111" i="19"/>
  <c r="AJ113" i="19"/>
  <c r="AJ42" i="27"/>
  <c r="AJ132" i="19"/>
  <c r="AJ136" i="19"/>
  <c r="AJ118" i="19"/>
  <c r="AJ117" i="19"/>
  <c r="AJ115" i="19"/>
  <c r="AJ80" i="24"/>
  <c r="AJ96" i="19" l="1"/>
  <c r="AJ87" i="19"/>
  <c r="AO46" i="27"/>
  <c r="AJ47" i="27"/>
  <c r="AJ46" i="27"/>
  <c r="AK95" i="19"/>
  <c r="AK96" i="19"/>
  <c r="AO138" i="19"/>
  <c r="AK139" i="19"/>
  <c r="AE46" i="27"/>
  <c r="AE47" i="27"/>
  <c r="AJ142" i="19"/>
  <c r="AO133" i="19"/>
  <c r="AK46" i="27"/>
  <c r="AF47" i="27"/>
  <c r="AF46" i="27"/>
  <c r="AP46" i="27"/>
  <c r="AK47" i="27"/>
  <c r="AJ32" i="24"/>
  <c r="AJ33" i="24"/>
  <c r="AK33" i="24"/>
  <c r="AK87" i="19"/>
  <c r="AK86" i="19"/>
  <c r="AJ51" i="27"/>
  <c r="AK52" i="27"/>
  <c r="AJ52" i="27"/>
  <c r="AJ137" i="19"/>
  <c r="AJ120" i="19"/>
  <c r="AK122" i="19" s="1"/>
  <c r="AV16" i="6"/>
  <c r="AU16" i="6"/>
  <c r="AT16" i="6"/>
  <c r="AS16" i="6"/>
  <c r="AR16" i="6"/>
  <c r="AV17" i="6"/>
  <c r="AV16" i="21"/>
  <c r="AV15" i="21"/>
  <c r="AV14" i="21"/>
  <c r="AV13" i="21"/>
  <c r="AV12" i="21"/>
  <c r="AV11" i="21"/>
  <c r="AV9" i="21"/>
  <c r="AV46" i="20"/>
  <c r="AV34" i="20"/>
  <c r="AV5" i="20"/>
  <c r="AU5" i="20"/>
  <c r="AT5" i="20"/>
  <c r="AS5" i="20"/>
  <c r="AR5" i="20"/>
  <c r="AR4" i="20"/>
  <c r="AR46" i="20" s="1"/>
  <c r="AV62" i="21"/>
  <c r="AU60" i="21"/>
  <c r="AT60" i="21"/>
  <c r="AS60" i="21"/>
  <c r="AR60" i="21"/>
  <c r="AV57" i="21"/>
  <c r="AV55" i="21"/>
  <c r="AV54" i="21"/>
  <c r="AV53" i="21"/>
  <c r="AV52" i="21"/>
  <c r="AV51" i="21"/>
  <c r="AV50" i="21"/>
  <c r="AV49" i="21"/>
  <c r="AV48" i="21"/>
  <c r="AV47" i="21"/>
  <c r="AV46" i="21"/>
  <c r="AV45" i="21"/>
  <c r="AV44" i="21"/>
  <c r="AV43" i="21"/>
  <c r="AV42" i="21"/>
  <c r="AV41" i="21"/>
  <c r="AV40" i="21"/>
  <c r="AV35" i="21"/>
  <c r="AV34" i="21"/>
  <c r="AV33" i="21"/>
  <c r="AV32" i="21"/>
  <c r="AV31" i="21"/>
  <c r="AV29" i="21"/>
  <c r="AV5" i="21"/>
  <c r="AU5" i="21"/>
  <c r="AT5" i="21"/>
  <c r="AS5" i="21"/>
  <c r="AR5" i="21"/>
  <c r="AV7" i="14"/>
  <c r="AU7" i="14"/>
  <c r="AT7" i="14"/>
  <c r="AS7" i="14"/>
  <c r="AR7" i="14"/>
  <c r="AR6" i="14"/>
  <c r="AV32" i="27"/>
  <c r="AV29" i="27"/>
  <c r="AV47" i="20" s="1"/>
  <c r="AU29" i="27"/>
  <c r="AU47" i="20" s="1"/>
  <c r="AT29" i="27"/>
  <c r="AT47" i="20" s="1"/>
  <c r="AS29" i="27"/>
  <c r="AS47" i="20" s="1"/>
  <c r="AR29" i="27"/>
  <c r="AR47" i="20" s="1"/>
  <c r="AR28" i="27"/>
  <c r="AU5" i="27"/>
  <c r="AT5" i="27"/>
  <c r="AS5" i="27"/>
  <c r="AR5" i="27"/>
  <c r="AR4" i="27"/>
  <c r="AU24" i="6" l="1"/>
  <c r="AU22" i="6"/>
  <c r="AS24" i="6"/>
  <c r="AS22" i="6"/>
  <c r="AT24" i="6"/>
  <c r="AT22" i="6"/>
  <c r="AV22" i="6"/>
  <c r="AV24" i="6"/>
  <c r="AR24" i="6"/>
  <c r="AR22" i="6"/>
  <c r="AU18" i="6"/>
  <c r="AV18" i="6"/>
  <c r="AS18" i="6"/>
  <c r="AT18" i="6"/>
  <c r="AV60" i="21"/>
  <c r="AU20" i="6"/>
  <c r="AV20" i="6" s="1"/>
  <c r="AR20" i="6"/>
  <c r="AS20" i="6"/>
  <c r="AT20" i="6"/>
  <c r="AR18" i="6"/>
  <c r="AI42" i="27"/>
  <c r="AI74" i="20"/>
  <c r="AI111" i="20"/>
  <c r="AI108" i="20"/>
  <c r="AI141" i="19"/>
  <c r="AN143" i="19" s="1"/>
  <c r="AI136" i="19"/>
  <c r="AN138" i="19" s="1"/>
  <c r="AI132" i="19"/>
  <c r="AN133" i="19" s="1"/>
  <c r="AI118" i="19"/>
  <c r="AI117" i="19"/>
  <c r="AI115" i="19"/>
  <c r="AI113" i="19"/>
  <c r="AI111" i="19"/>
  <c r="AI106" i="19"/>
  <c r="AN108" i="19" s="1"/>
  <c r="AI100" i="19"/>
  <c r="AI98" i="19"/>
  <c r="AI91" i="19"/>
  <c r="AI89" i="19"/>
  <c r="AI83" i="19"/>
  <c r="AI82" i="19"/>
  <c r="AI77" i="19"/>
  <c r="AI71" i="19"/>
  <c r="AN73" i="19" s="1"/>
  <c r="AI42" i="21"/>
  <c r="AI120" i="19" l="1"/>
  <c r="AJ122" i="19" s="1"/>
  <c r="AJ80" i="19"/>
  <c r="AN79" i="19"/>
  <c r="AN112" i="20"/>
  <c r="AI93" i="21"/>
  <c r="AJ103" i="19"/>
  <c r="AN102" i="19"/>
  <c r="BA16" i="21"/>
  <c r="AJ74" i="19"/>
  <c r="AJ139" i="19"/>
  <c r="AI142" i="19"/>
  <c r="AJ144" i="19"/>
  <c r="AJ109" i="19"/>
  <c r="AJ128" i="19"/>
  <c r="AJ129" i="19" s="1"/>
  <c r="AJ134" i="19"/>
  <c r="AI137" i="19"/>
  <c r="AH48" i="24"/>
  <c r="AI48" i="24"/>
  <c r="AI106" i="24"/>
  <c r="AI80" i="24"/>
  <c r="AI52" i="27"/>
  <c r="AI11" i="27"/>
  <c r="AL11" i="27" s="1"/>
  <c r="BF16" i="21" l="1"/>
  <c r="AH61" i="24"/>
  <c r="AM63" i="24" s="1"/>
  <c r="BK16" i="21" l="1"/>
  <c r="AH83" i="20"/>
  <c r="AH74" i="20"/>
  <c r="AH141" i="19"/>
  <c r="AI144" i="19" s="1"/>
  <c r="AH136" i="19"/>
  <c r="AH132" i="19"/>
  <c r="AH118" i="19"/>
  <c r="AH117" i="19"/>
  <c r="AH115" i="19"/>
  <c r="AH113" i="19"/>
  <c r="AH111" i="19"/>
  <c r="AH106" i="19"/>
  <c r="AM108" i="19" s="1"/>
  <c r="AH100" i="19"/>
  <c r="AM102" i="19" s="1"/>
  <c r="AH98" i="19"/>
  <c r="AH91" i="19"/>
  <c r="AH89" i="19"/>
  <c r="AH83" i="19"/>
  <c r="AL83" i="19" s="1"/>
  <c r="AH82" i="19"/>
  <c r="AH77" i="19"/>
  <c r="AI80" i="19" s="1"/>
  <c r="AH71" i="19"/>
  <c r="AI74" i="19" s="1"/>
  <c r="AH108" i="20"/>
  <c r="BP16" i="21" l="1"/>
  <c r="AH120" i="19"/>
  <c r="AI122" i="19" s="1"/>
  <c r="AH137" i="19"/>
  <c r="AH142" i="19"/>
  <c r="AI128" i="19"/>
  <c r="AI129" i="19" s="1"/>
  <c r="AI134" i="19"/>
  <c r="AI109" i="19"/>
  <c r="AI139" i="19"/>
  <c r="AI103" i="19"/>
  <c r="G65" i="24"/>
  <c r="F65" i="24"/>
  <c r="D65" i="24"/>
  <c r="AH36" i="24"/>
  <c r="AF52" i="24"/>
  <c r="AE52" i="24"/>
  <c r="AD52" i="24"/>
  <c r="AD16" i="20" s="1"/>
  <c r="AC52" i="24"/>
  <c r="AC16" i="20" s="1"/>
  <c r="AC20" i="20" s="1"/>
  <c r="Q52" i="24"/>
  <c r="Q16" i="20" s="1"/>
  <c r="Q20" i="20" s="1"/>
  <c r="P52" i="24"/>
  <c r="P16" i="20" s="1"/>
  <c r="P20" i="20" s="1"/>
  <c r="O52" i="24"/>
  <c r="O16" i="20" s="1"/>
  <c r="N52" i="24"/>
  <c r="N16" i="20" s="1"/>
  <c r="N20" i="20" s="1"/>
  <c r="L52" i="24"/>
  <c r="L16" i="20" s="1"/>
  <c r="L20" i="20" s="1"/>
  <c r="K52" i="24"/>
  <c r="K16" i="20" s="1"/>
  <c r="K20" i="20" s="1"/>
  <c r="J52" i="24"/>
  <c r="J16" i="20" s="1"/>
  <c r="J20" i="20" s="1"/>
  <c r="I52" i="24"/>
  <c r="I16" i="20" s="1"/>
  <c r="I20" i="20" s="1"/>
  <c r="G39" i="24"/>
  <c r="F39" i="24"/>
  <c r="E39" i="24"/>
  <c r="D39" i="24"/>
  <c r="L39" i="24"/>
  <c r="K39" i="24"/>
  <c r="J39" i="24"/>
  <c r="I39" i="24"/>
  <c r="V39" i="24"/>
  <c r="U39" i="24"/>
  <c r="T39" i="24"/>
  <c r="S39" i="24"/>
  <c r="AA39" i="24"/>
  <c r="Z39" i="24"/>
  <c r="Y39" i="24"/>
  <c r="X39" i="24"/>
  <c r="AF39" i="24"/>
  <c r="AE39" i="24"/>
  <c r="AD39" i="24"/>
  <c r="AC39" i="24"/>
  <c r="Q39" i="24"/>
  <c r="P39" i="24"/>
  <c r="O39" i="24"/>
  <c r="N39" i="24"/>
  <c r="J42" i="24" l="1"/>
  <c r="AE16" i="20"/>
  <c r="AE20" i="20" s="1"/>
  <c r="AF16" i="20"/>
  <c r="AF20" i="20" s="1"/>
  <c r="J23" i="20"/>
  <c r="K23" i="20"/>
  <c r="N23" i="20"/>
  <c r="N22" i="20"/>
  <c r="L23" i="20"/>
  <c r="P22" i="20"/>
  <c r="Q22" i="20"/>
  <c r="Q23" i="20"/>
  <c r="L42" i="24"/>
  <c r="AK40" i="24"/>
  <c r="AJ40" i="24"/>
  <c r="P42" i="24"/>
  <c r="K40" i="24"/>
  <c r="AF40" i="24"/>
  <c r="AF42" i="24"/>
  <c r="K42" i="24"/>
  <c r="AE42" i="24"/>
  <c r="Z40" i="24"/>
  <c r="AA41" i="24"/>
  <c r="N42" i="24"/>
  <c r="Y40" i="24"/>
  <c r="V41" i="24"/>
  <c r="AB39" i="24"/>
  <c r="R52" i="24"/>
  <c r="R16" i="20" s="1"/>
  <c r="Z41" i="24"/>
  <c r="AD42" i="24"/>
  <c r="AC41" i="24"/>
  <c r="W39" i="24"/>
  <c r="M52" i="24"/>
  <c r="M16" i="20" s="1"/>
  <c r="AG52" i="24"/>
  <c r="AG16" i="20" s="1"/>
  <c r="U41" i="24"/>
  <c r="F41" i="24"/>
  <c r="AD40" i="24"/>
  <c r="T40" i="24"/>
  <c r="AG39" i="24"/>
  <c r="S41" i="24"/>
  <c r="N40" i="24"/>
  <c r="Y41" i="24"/>
  <c r="T41" i="24"/>
  <c r="J41" i="24"/>
  <c r="X40" i="24"/>
  <c r="AE40" i="24"/>
  <c r="Q40" i="24"/>
  <c r="G68" i="24"/>
  <c r="E41" i="24"/>
  <c r="M39" i="24"/>
  <c r="S40" i="24"/>
  <c r="K41" i="24"/>
  <c r="U40" i="24"/>
  <c r="R39" i="24"/>
  <c r="J40" i="24"/>
  <c r="H39" i="24"/>
  <c r="L41" i="24"/>
  <c r="N41" i="24"/>
  <c r="V40" i="24"/>
  <c r="AA40" i="24"/>
  <c r="X41" i="24"/>
  <c r="AE41" i="24"/>
  <c r="AF41" i="24"/>
  <c r="AC42" i="24"/>
  <c r="AD41" i="24"/>
  <c r="AC40" i="24"/>
  <c r="L40" i="24"/>
  <c r="O40" i="24"/>
  <c r="O41" i="24"/>
  <c r="O42" i="24"/>
  <c r="G41" i="24"/>
  <c r="Q41" i="24"/>
  <c r="I42" i="24"/>
  <c r="Q42" i="24"/>
  <c r="I40" i="24"/>
  <c r="I41" i="24"/>
  <c r="P40" i="24"/>
  <c r="P41" i="24"/>
  <c r="AF23" i="20" l="1"/>
  <c r="AP30" i="24"/>
  <c r="AB40" i="24"/>
  <c r="M40" i="24"/>
  <c r="R42" i="24"/>
  <c r="M42" i="24"/>
  <c r="R40" i="24"/>
  <c r="W40" i="24"/>
  <c r="AG40" i="24"/>
  <c r="AG42" i="24"/>
  <c r="AP78" i="24" l="1"/>
  <c r="AP32" i="24"/>
  <c r="AH42" i="27"/>
  <c r="AH106" i="24"/>
  <c r="AH95" i="24"/>
  <c r="AM97" i="24" s="1"/>
  <c r="AH90" i="24"/>
  <c r="AM92" i="24" s="1"/>
  <c r="AH85" i="24"/>
  <c r="AM87" i="24" s="1"/>
  <c r="AH69" i="24"/>
  <c r="AM71" i="24" s="1"/>
  <c r="AH57" i="24"/>
  <c r="AH30" i="24"/>
  <c r="AH80" i="24" l="1"/>
  <c r="AH65" i="24"/>
  <c r="AM67" i="24" s="1"/>
  <c r="AM59" i="24"/>
  <c r="AI33" i="24"/>
  <c r="AM32" i="24"/>
  <c r="AI98" i="24"/>
  <c r="AI88" i="24"/>
  <c r="AI93" i="24"/>
  <c r="AH32" i="24"/>
  <c r="AH39" i="24"/>
  <c r="G13" i="17" l="1"/>
  <c r="BE162" i="27"/>
  <c r="AM40" i="24"/>
  <c r="AH40" i="24"/>
  <c r="AH52" i="24"/>
  <c r="AH16" i="20" s="1"/>
  <c r="AH20" i="20" s="1"/>
  <c r="AH41" i="24"/>
  <c r="W50" i="27"/>
  <c r="AH23" i="20" l="1"/>
  <c r="AH22" i="20"/>
  <c r="BO39" i="24"/>
  <c r="BT39" i="24" s="1"/>
  <c r="BT162" i="27" s="1"/>
  <c r="BJ162" i="27"/>
  <c r="AH105" i="20"/>
  <c r="AH66" i="24"/>
  <c r="AH42" i="24"/>
  <c r="AJ129" i="24"/>
  <c r="AI129" i="24"/>
  <c r="AH129" i="24"/>
  <c r="BT65" i="24" l="1"/>
  <c r="BO162" i="27"/>
  <c r="BO65" i="24"/>
  <c r="AR41" i="24"/>
  <c r="AS41" i="24"/>
  <c r="AF141" i="19"/>
  <c r="AK143" i="19" s="1"/>
  <c r="AF136" i="19"/>
  <c r="AK138" i="19" s="1"/>
  <c r="AF132" i="19"/>
  <c r="AF118" i="19"/>
  <c r="AF117" i="19"/>
  <c r="AF115" i="19"/>
  <c r="AF113" i="19"/>
  <c r="AF111" i="19"/>
  <c r="AF106" i="19"/>
  <c r="AK108" i="19" s="1"/>
  <c r="AF100" i="19"/>
  <c r="AK102" i="19" s="1"/>
  <c r="AF98" i="19"/>
  <c r="AF94" i="19"/>
  <c r="AF91" i="19"/>
  <c r="AF89" i="19"/>
  <c r="AF85" i="19"/>
  <c r="AF83" i="19"/>
  <c r="AF82" i="19"/>
  <c r="AF77" i="19"/>
  <c r="AK79" i="19" s="1"/>
  <c r="AF71" i="19"/>
  <c r="AK73" i="19" s="1"/>
  <c r="D4" i="27"/>
  <c r="I4" i="27"/>
  <c r="N4" i="27"/>
  <c r="S4" i="27"/>
  <c r="X4" i="27"/>
  <c r="AC4" i="27"/>
  <c r="AH4" i="27"/>
  <c r="D5" i="27"/>
  <c r="E5" i="27"/>
  <c r="F5" i="27"/>
  <c r="G5" i="27"/>
  <c r="H5" i="27"/>
  <c r="I5" i="27"/>
  <c r="J5" i="27"/>
  <c r="K5" i="27"/>
  <c r="L5" i="27"/>
  <c r="M5" i="27"/>
  <c r="N5" i="27"/>
  <c r="O5" i="27"/>
  <c r="P5" i="27"/>
  <c r="Q5" i="27"/>
  <c r="R5" i="27"/>
  <c r="S5" i="27"/>
  <c r="T5" i="27"/>
  <c r="U5" i="27"/>
  <c r="V5" i="27"/>
  <c r="W5" i="27"/>
  <c r="X5" i="27"/>
  <c r="Y5" i="27"/>
  <c r="Z5" i="27"/>
  <c r="AA5" i="27"/>
  <c r="AB5" i="27"/>
  <c r="AC5" i="27"/>
  <c r="AD5" i="27"/>
  <c r="AE5" i="27"/>
  <c r="AF5" i="27"/>
  <c r="AG5" i="27"/>
  <c r="AH5" i="27"/>
  <c r="AI5" i="27"/>
  <c r="AJ5" i="27"/>
  <c r="AK5" i="27"/>
  <c r="AL5" i="27"/>
  <c r="AM5" i="27"/>
  <c r="AN5" i="27"/>
  <c r="AO5" i="27"/>
  <c r="AP5" i="27"/>
  <c r="AQ5" i="27"/>
  <c r="E11" i="27"/>
  <c r="E13" i="27" s="1"/>
  <c r="F11" i="27"/>
  <c r="G11" i="27"/>
  <c r="I11" i="27"/>
  <c r="I12" i="27" s="1"/>
  <c r="J11" i="27"/>
  <c r="K11" i="27"/>
  <c r="L11" i="27"/>
  <c r="N11" i="27"/>
  <c r="O11" i="27"/>
  <c r="P11" i="27"/>
  <c r="Q11" i="27"/>
  <c r="S11" i="27"/>
  <c r="T11" i="27"/>
  <c r="U11" i="27"/>
  <c r="V11" i="27"/>
  <c r="X11" i="27"/>
  <c r="Y11" i="27"/>
  <c r="Z11" i="27"/>
  <c r="AA11" i="27"/>
  <c r="AC11" i="27"/>
  <c r="AF11" i="27"/>
  <c r="H7" i="27"/>
  <c r="M7" i="27"/>
  <c r="R7" i="27"/>
  <c r="W7" i="27"/>
  <c r="AB7" i="27"/>
  <c r="AD7" i="27"/>
  <c r="AE11" i="27" s="1"/>
  <c r="AG7" i="27"/>
  <c r="I8" i="27"/>
  <c r="J8" i="27"/>
  <c r="K8" i="27"/>
  <c r="L8" i="27"/>
  <c r="N8" i="27"/>
  <c r="O8" i="27"/>
  <c r="P8" i="27"/>
  <c r="Q8" i="27"/>
  <c r="S8" i="27"/>
  <c r="T8" i="27"/>
  <c r="U8" i="27"/>
  <c r="V8" i="27"/>
  <c r="X8" i="27"/>
  <c r="Y8" i="27"/>
  <c r="Z8" i="27"/>
  <c r="AA8" i="27"/>
  <c r="AC8" i="27"/>
  <c r="AE8" i="27"/>
  <c r="AF8" i="27"/>
  <c r="E9" i="27"/>
  <c r="F9" i="27"/>
  <c r="G9" i="27"/>
  <c r="I9" i="27"/>
  <c r="J9" i="27"/>
  <c r="K9" i="27"/>
  <c r="L9" i="27"/>
  <c r="N9" i="27"/>
  <c r="O9" i="27"/>
  <c r="P9" i="27"/>
  <c r="Q9" i="27"/>
  <c r="S9" i="27"/>
  <c r="T9" i="27"/>
  <c r="U9" i="27"/>
  <c r="V9" i="27"/>
  <c r="X9" i="27"/>
  <c r="Y9" i="27"/>
  <c r="Z9" i="27"/>
  <c r="AA9" i="27"/>
  <c r="AC9" i="27"/>
  <c r="AF9" i="27"/>
  <c r="H9" i="20"/>
  <c r="I9" i="20"/>
  <c r="J9" i="20"/>
  <c r="K9" i="20"/>
  <c r="L9" i="20"/>
  <c r="N9" i="20"/>
  <c r="O9" i="20"/>
  <c r="P9" i="20"/>
  <c r="Q9" i="20"/>
  <c r="S9" i="20"/>
  <c r="T9" i="20"/>
  <c r="U9" i="20"/>
  <c r="V9" i="20"/>
  <c r="X9" i="20"/>
  <c r="Y9" i="20"/>
  <c r="Z9" i="20"/>
  <c r="AA9" i="20"/>
  <c r="AC9" i="20"/>
  <c r="AD9" i="20"/>
  <c r="AE9" i="20"/>
  <c r="AF9" i="20"/>
  <c r="H10" i="20"/>
  <c r="I10" i="20"/>
  <c r="J10" i="20"/>
  <c r="K10" i="20"/>
  <c r="L10" i="20"/>
  <c r="M10" i="20"/>
  <c r="O10" i="20"/>
  <c r="P10" i="20"/>
  <c r="Q10" i="20"/>
  <c r="T10" i="20"/>
  <c r="U10" i="20"/>
  <c r="V10" i="20"/>
  <c r="Y10" i="20"/>
  <c r="Z10" i="20"/>
  <c r="AA10" i="20"/>
  <c r="AD10" i="20"/>
  <c r="AE10" i="20"/>
  <c r="AF10" i="20"/>
  <c r="M34" i="20"/>
  <c r="R34" i="20"/>
  <c r="W34" i="20"/>
  <c r="AB34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AM4" i="20"/>
  <c r="AM46" i="20" s="1"/>
  <c r="AH4" i="20"/>
  <c r="AH46" i="20" s="1"/>
  <c r="AC4" i="20"/>
  <c r="X4" i="20"/>
  <c r="S4" i="20"/>
  <c r="N4" i="20"/>
  <c r="I4" i="20"/>
  <c r="D4" i="20"/>
  <c r="BT67" i="24" l="1"/>
  <c r="AF95" i="19"/>
  <c r="AA13" i="27"/>
  <c r="AF120" i="19"/>
  <c r="AK121" i="19" s="1"/>
  <c r="W8" i="27"/>
  <c r="O13" i="27"/>
  <c r="AW41" i="24"/>
  <c r="T13" i="27"/>
  <c r="AH74" i="19"/>
  <c r="AH139" i="19"/>
  <c r="AH80" i="19"/>
  <c r="AF137" i="19"/>
  <c r="AH103" i="19"/>
  <c r="AH144" i="19"/>
  <c r="U12" i="27"/>
  <c r="AH109" i="19"/>
  <c r="AF86" i="19"/>
  <c r="AH128" i="19"/>
  <c r="AH129" i="19" s="1"/>
  <c r="AH134" i="19"/>
  <c r="AF96" i="19"/>
  <c r="AF87" i="19"/>
  <c r="AF142" i="19"/>
  <c r="V12" i="27"/>
  <c r="X13" i="27"/>
  <c r="S13" i="27"/>
  <c r="M8" i="27"/>
  <c r="M11" i="27"/>
  <c r="J13" i="27"/>
  <c r="AF12" i="27"/>
  <c r="AB8" i="27"/>
  <c r="K13" i="27"/>
  <c r="Y12" i="27"/>
  <c r="I13" i="27"/>
  <c r="V13" i="27"/>
  <c r="U13" i="27"/>
  <c r="S12" i="27"/>
  <c r="Q13" i="27"/>
  <c r="P12" i="27"/>
  <c r="AD11" i="27"/>
  <c r="R11" i="27"/>
  <c r="H11" i="27"/>
  <c r="AG8" i="27"/>
  <c r="AE9" i="27"/>
  <c r="R8" i="27"/>
  <c r="N12" i="27"/>
  <c r="Z12" i="27"/>
  <c r="AD9" i="27"/>
  <c r="L13" i="27"/>
  <c r="J12" i="27"/>
  <c r="L12" i="27"/>
  <c r="AF13" i="27"/>
  <c r="AE12" i="27"/>
  <c r="P13" i="27"/>
  <c r="AC12" i="27"/>
  <c r="Q12" i="27"/>
  <c r="AB11" i="27"/>
  <c r="AC13" i="27"/>
  <c r="N13" i="27"/>
  <c r="AA12" i="27"/>
  <c r="O12" i="27"/>
  <c r="Y13" i="27"/>
  <c r="X12" i="27"/>
  <c r="W11" i="27"/>
  <c r="Z13" i="27"/>
  <c r="K12" i="27"/>
  <c r="G13" i="27"/>
  <c r="AD8" i="27"/>
  <c r="F13" i="27"/>
  <c r="T12" i="27"/>
  <c r="D28" i="27"/>
  <c r="I28" i="27"/>
  <c r="N28" i="27"/>
  <c r="S28" i="27"/>
  <c r="X28" i="27"/>
  <c r="AC28" i="27"/>
  <c r="AH28" i="27"/>
  <c r="AM28" i="27"/>
  <c r="D29" i="27"/>
  <c r="E29" i="27"/>
  <c r="F29" i="27"/>
  <c r="G29" i="27"/>
  <c r="H29" i="27"/>
  <c r="I29" i="27"/>
  <c r="J29" i="27"/>
  <c r="K29" i="27"/>
  <c r="L29" i="27"/>
  <c r="M29" i="27"/>
  <c r="N29" i="27"/>
  <c r="O29" i="27"/>
  <c r="P29" i="27"/>
  <c r="Q29" i="27"/>
  <c r="R29" i="27"/>
  <c r="S29" i="27"/>
  <c r="T29" i="27"/>
  <c r="U29" i="27"/>
  <c r="V29" i="27"/>
  <c r="W29" i="27"/>
  <c r="X29" i="27"/>
  <c r="Y29" i="27"/>
  <c r="Z29" i="27"/>
  <c r="AA29" i="27"/>
  <c r="AB29" i="27"/>
  <c r="AC29" i="27"/>
  <c r="AD29" i="27"/>
  <c r="AE29" i="27"/>
  <c r="AF29" i="27"/>
  <c r="AG29" i="27"/>
  <c r="AH29" i="27"/>
  <c r="AI29" i="27"/>
  <c r="AJ29" i="27"/>
  <c r="AK29" i="27"/>
  <c r="AL29" i="27"/>
  <c r="AM29" i="27"/>
  <c r="AN29" i="27"/>
  <c r="AO29" i="27"/>
  <c r="AP29" i="27"/>
  <c r="AQ29" i="27"/>
  <c r="H32" i="27"/>
  <c r="M32" i="27"/>
  <c r="R32" i="27"/>
  <c r="W32" i="27"/>
  <c r="AB32" i="27"/>
  <c r="AG32" i="27"/>
  <c r="AL32" i="27"/>
  <c r="AL130" i="24" s="1"/>
  <c r="AQ32" i="27"/>
  <c r="M41" i="27"/>
  <c r="R41" i="27"/>
  <c r="W41" i="27"/>
  <c r="AB41" i="27"/>
  <c r="AG41" i="27"/>
  <c r="AH45" i="27" s="1"/>
  <c r="AJ57" i="27" s="1"/>
  <c r="AH43" i="27"/>
  <c r="Q42" i="27"/>
  <c r="S42" i="27"/>
  <c r="T42" i="27"/>
  <c r="U42" i="27"/>
  <c r="V42" i="27"/>
  <c r="X42" i="27"/>
  <c r="Y42" i="27"/>
  <c r="Z42" i="27"/>
  <c r="AA42" i="27"/>
  <c r="AC42" i="27"/>
  <c r="AD42" i="27"/>
  <c r="AE42" i="27"/>
  <c r="AF42" i="27"/>
  <c r="N43" i="27"/>
  <c r="O43" i="27"/>
  <c r="P43" i="27"/>
  <c r="Q43" i="27"/>
  <c r="S43" i="27"/>
  <c r="T43" i="27"/>
  <c r="U43" i="27"/>
  <c r="V43" i="27"/>
  <c r="X43" i="27"/>
  <c r="Y43" i="27"/>
  <c r="Z43" i="27"/>
  <c r="AA43" i="27"/>
  <c r="AC43" i="27"/>
  <c r="AD43" i="27"/>
  <c r="AE43" i="27"/>
  <c r="AF43" i="27"/>
  <c r="AB50" i="27"/>
  <c r="AB51" i="27" s="1"/>
  <c r="AG50" i="27"/>
  <c r="AH52" i="27" s="1"/>
  <c r="V51" i="27"/>
  <c r="X51" i="27"/>
  <c r="Y51" i="27"/>
  <c r="Z51" i="27"/>
  <c r="AA51" i="27"/>
  <c r="S52" i="27"/>
  <c r="T52" i="27"/>
  <c r="U52" i="27"/>
  <c r="V52" i="27"/>
  <c r="X52" i="27"/>
  <c r="Y52" i="27"/>
  <c r="Z52" i="27"/>
  <c r="AA52" i="27"/>
  <c r="AH122" i="19" l="1"/>
  <c r="AL45" i="27"/>
  <c r="AH47" i="27"/>
  <c r="AI47" i="27"/>
  <c r="AC45" i="27"/>
  <c r="BB41" i="24"/>
  <c r="AK129" i="24"/>
  <c r="AD12" i="27"/>
  <c r="AL50" i="27"/>
  <c r="AM52" i="27" s="1"/>
  <c r="R12" i="27"/>
  <c r="M12" i="27"/>
  <c r="AE13" i="27"/>
  <c r="AD13" i="27"/>
  <c r="W12" i="27"/>
  <c r="AG11" i="27"/>
  <c r="AG12" i="27" s="1"/>
  <c r="AB12" i="27"/>
  <c r="AG42" i="27"/>
  <c r="W42" i="27"/>
  <c r="AB42" i="27"/>
  <c r="R42" i="27"/>
  <c r="AL41" i="27"/>
  <c r="AI43" i="27"/>
  <c r="AG51" i="27"/>
  <c r="AF90" i="20"/>
  <c r="AF89" i="20"/>
  <c r="AF88" i="20"/>
  <c r="AF87" i="20"/>
  <c r="AF84" i="20"/>
  <c r="AF83" i="20"/>
  <c r="AF111" i="20"/>
  <c r="AK112" i="20" s="1"/>
  <c r="AF108" i="20"/>
  <c r="AG108" i="20"/>
  <c r="AG81" i="20"/>
  <c r="AG94" i="19" s="1"/>
  <c r="AG80" i="20"/>
  <c r="AG69" i="20"/>
  <c r="AG90" i="20" s="1"/>
  <c r="AG65" i="20"/>
  <c r="AG89" i="20" s="1"/>
  <c r="AG63" i="20"/>
  <c r="AG88" i="20" s="1"/>
  <c r="AG61" i="20"/>
  <c r="AG87" i="20" s="1"/>
  <c r="AG59" i="20"/>
  <c r="AG46" i="20"/>
  <c r="AG62" i="21"/>
  <c r="AG57" i="21"/>
  <c r="AG55" i="21"/>
  <c r="AG54" i="21"/>
  <c r="AG53" i="21"/>
  <c r="AG52" i="21"/>
  <c r="AG51" i="21"/>
  <c r="AG50" i="21"/>
  <c r="AG49" i="21"/>
  <c r="AG48" i="21"/>
  <c r="AG47" i="21"/>
  <c r="AG46" i="21"/>
  <c r="AG45" i="21"/>
  <c r="AG44" i="21"/>
  <c r="AG43" i="21"/>
  <c r="AG42" i="21"/>
  <c r="AG41" i="21"/>
  <c r="AG40" i="21"/>
  <c r="AG35" i="21"/>
  <c r="AG34" i="21"/>
  <c r="AG33" i="21"/>
  <c r="AG32" i="21"/>
  <c r="AG31" i="21"/>
  <c r="AG30" i="21"/>
  <c r="AG72" i="21" s="1"/>
  <c r="AG29" i="21"/>
  <c r="AG24" i="21"/>
  <c r="AG21" i="21"/>
  <c r="AG20" i="21"/>
  <c r="AG19" i="21"/>
  <c r="AG18" i="21"/>
  <c r="AG17" i="21"/>
  <c r="AG16" i="21"/>
  <c r="AG15" i="21"/>
  <c r="AG14" i="21"/>
  <c r="AG13" i="21"/>
  <c r="AG12" i="21"/>
  <c r="AG11" i="21"/>
  <c r="AG10" i="21"/>
  <c r="AG111" i="20" s="1"/>
  <c r="AG9" i="21"/>
  <c r="AG8" i="21"/>
  <c r="AG83" i="20" s="1"/>
  <c r="AG7" i="21"/>
  <c r="AG74" i="20" s="1"/>
  <c r="AF106" i="24"/>
  <c r="AF76" i="20" s="1"/>
  <c r="AF95" i="24"/>
  <c r="AH98" i="24" s="1"/>
  <c r="AF90" i="24"/>
  <c r="AH93" i="24" s="1"/>
  <c r="AF85" i="24"/>
  <c r="AH88" i="24" s="1"/>
  <c r="AF69" i="24"/>
  <c r="AF80" i="24" s="1"/>
  <c r="AF61" i="24"/>
  <c r="AF57" i="24"/>
  <c r="AF78" i="24" s="1"/>
  <c r="AF129" i="24"/>
  <c r="AF130" i="24"/>
  <c r="AF112" i="24"/>
  <c r="AF107" i="24"/>
  <c r="AF77" i="20" s="1"/>
  <c r="AF48" i="24"/>
  <c r="AF36" i="24"/>
  <c r="AF32" i="24"/>
  <c r="BL39" i="24" l="1"/>
  <c r="BQ39" i="24" s="1"/>
  <c r="BQ162" i="27" s="1"/>
  <c r="BG41" i="24"/>
  <c r="AG85" i="19"/>
  <c r="AF65" i="24"/>
  <c r="AF66" i="24" s="1"/>
  <c r="AC46" i="27"/>
  <c r="AC47" i="27"/>
  <c r="AD47" i="27"/>
  <c r="AL61" i="27"/>
  <c r="AL59" i="27"/>
  <c r="AL58" i="27"/>
  <c r="AH46" i="27"/>
  <c r="AT45" i="27"/>
  <c r="AU45" i="27"/>
  <c r="AL42" i="27"/>
  <c r="AM45" i="27"/>
  <c r="AO57" i="27" s="1"/>
  <c r="AL129" i="24"/>
  <c r="AW45" i="27"/>
  <c r="AW156" i="27" s="1"/>
  <c r="AW157" i="27" s="1"/>
  <c r="AW159" i="27" s="1"/>
  <c r="AR129" i="24"/>
  <c r="AT129" i="24"/>
  <c r="AS129" i="24"/>
  <c r="AG60" i="21"/>
  <c r="AS43" i="27"/>
  <c r="AF79" i="24"/>
  <c r="AT43" i="27"/>
  <c r="AN43" i="27"/>
  <c r="AQ50" i="27"/>
  <c r="AL51" i="27"/>
  <c r="AG113" i="20"/>
  <c r="AF86" i="20"/>
  <c r="AG51" i="20"/>
  <c r="AG86" i="20"/>
  <c r="AG37" i="21"/>
  <c r="AL17" i="6"/>
  <c r="AQ17" i="6"/>
  <c r="AG17" i="6"/>
  <c r="BQ65" i="24" l="1"/>
  <c r="BQ41" i="24"/>
  <c r="BL162" i="27"/>
  <c r="BL41" i="24"/>
  <c r="BL65" i="24"/>
  <c r="AW46" i="27"/>
  <c r="AW48" i="27"/>
  <c r="AT57" i="27"/>
  <c r="AH68" i="24"/>
  <c r="AQ45" i="27"/>
  <c r="AQ46" i="27" s="1"/>
  <c r="AM47" i="27"/>
  <c r="AN47" i="27"/>
  <c r="BE153" i="27"/>
  <c r="BE154" i="27" s="1"/>
  <c r="AW47" i="27"/>
  <c r="AU46" i="27"/>
  <c r="AU47" i="27"/>
  <c r="AT47" i="27"/>
  <c r="AT46" i="27"/>
  <c r="AV45" i="27"/>
  <c r="AY45" i="27"/>
  <c r="AX45" i="27"/>
  <c r="AM46" i="27"/>
  <c r="AR46" i="27"/>
  <c r="AW129" i="24"/>
  <c r="AY129" i="24"/>
  <c r="AX129" i="24"/>
  <c r="AX43" i="27"/>
  <c r="AY43" i="27"/>
  <c r="AQ51" i="27"/>
  <c r="AN51" i="27"/>
  <c r="BQ68" i="24" l="1"/>
  <c r="BQ67" i="24"/>
  <c r="AY48" i="27"/>
  <c r="AY156" i="27"/>
  <c r="AY157" i="27" s="1"/>
  <c r="AY159" i="27" s="1"/>
  <c r="AY161" i="27" s="1"/>
  <c r="AY163" i="27" s="1"/>
  <c r="AX48" i="27"/>
  <c r="AX156" i="27"/>
  <c r="AX157" i="27" s="1"/>
  <c r="AX159" i="27" s="1"/>
  <c r="AX161" i="27" s="1"/>
  <c r="AX163" i="27" s="1"/>
  <c r="BD45" i="27"/>
  <c r="BI46" i="27" s="1"/>
  <c r="BC45" i="27"/>
  <c r="BC156" i="27" s="1"/>
  <c r="BC157" i="27" s="1"/>
  <c r="BC159" i="27" s="1"/>
  <c r="BC161" i="27" s="1"/>
  <c r="BC163" i="27" s="1"/>
  <c r="AV46" i="27"/>
  <c r="BB129" i="24"/>
  <c r="BD43" i="27"/>
  <c r="BD129" i="24"/>
  <c r="AY47" i="27"/>
  <c r="AY46" i="27"/>
  <c r="AX47" i="27"/>
  <c r="AX46" i="27"/>
  <c r="BC129" i="24"/>
  <c r="BC43" i="27"/>
  <c r="AO51" i="27"/>
  <c r="AD129" i="24"/>
  <c r="AC129" i="24"/>
  <c r="AA129" i="24"/>
  <c r="Z129" i="24"/>
  <c r="Y129" i="24"/>
  <c r="X129" i="24"/>
  <c r="V129" i="24"/>
  <c r="U129" i="24"/>
  <c r="T129" i="24"/>
  <c r="S129" i="24"/>
  <c r="AE129" i="24"/>
  <c r="BH2" i="24" l="1"/>
  <c r="BH3" i="24" s="1"/>
  <c r="BI4" i="24" s="1"/>
  <c r="BI6" i="24" s="1"/>
  <c r="BI7" i="24" s="1"/>
  <c r="BI2" i="24"/>
  <c r="BI3" i="24" s="1"/>
  <c r="BJ4" i="24" s="1"/>
  <c r="BJ6" i="24" s="1"/>
  <c r="BJ7" i="24" s="1"/>
  <c r="BJ43" i="24"/>
  <c r="BH4" i="24"/>
  <c r="BH6" i="24" s="1"/>
  <c r="BH7" i="24" s="1"/>
  <c r="BD156" i="27"/>
  <c r="BD157" i="27" s="1"/>
  <c r="BD159" i="27" s="1"/>
  <c r="BD161" i="27" s="1"/>
  <c r="BM41" i="27"/>
  <c r="BR41" i="27" s="1"/>
  <c r="BI153" i="27"/>
  <c r="BI154" i="27" s="1"/>
  <c r="BN41" i="27"/>
  <c r="BS41" i="27" s="1"/>
  <c r="BJ153" i="27"/>
  <c r="BJ154" i="27" s="1"/>
  <c r="BL41" i="27"/>
  <c r="BQ41" i="27" s="1"/>
  <c r="BH153" i="27"/>
  <c r="BH154" i="27" s="1"/>
  <c r="BI129" i="24"/>
  <c r="BH129" i="24"/>
  <c r="BG129" i="24"/>
  <c r="BH45" i="27"/>
  <c r="BH43" i="27"/>
  <c r="BC46" i="27"/>
  <c r="BD47" i="27"/>
  <c r="BD46" i="27"/>
  <c r="BH156" i="27" l="1"/>
  <c r="BH157" i="27" s="1"/>
  <c r="BH159" i="27" s="1"/>
  <c r="BI47" i="27"/>
  <c r="BQ129" i="24"/>
  <c r="BR43" i="24"/>
  <c r="BQ2" i="24"/>
  <c r="BQ3" i="24" s="1"/>
  <c r="BR4" i="24" s="1"/>
  <c r="BR6" i="24" s="1"/>
  <c r="BR7" i="24" s="1"/>
  <c r="BR153" i="27"/>
  <c r="BR154" i="27" s="1"/>
  <c r="BS45" i="27"/>
  <c r="BR129" i="24"/>
  <c r="BS43" i="24"/>
  <c r="BR2" i="24"/>
  <c r="BR3" i="24" s="1"/>
  <c r="BS4" i="24" s="1"/>
  <c r="BS6" i="24" s="1"/>
  <c r="BS7" i="24" s="1"/>
  <c r="BR43" i="27"/>
  <c r="BR45" i="27"/>
  <c r="BS153" i="27"/>
  <c r="BS154" i="27" s="1"/>
  <c r="BS129" i="24"/>
  <c r="BT43" i="24"/>
  <c r="BS2" i="24"/>
  <c r="BS3" i="24" s="1"/>
  <c r="BT4" i="24" s="1"/>
  <c r="BT6" i="24" s="1"/>
  <c r="BT7" i="24" s="1"/>
  <c r="BT153" i="27"/>
  <c r="BT154" i="27" s="1"/>
  <c r="BS43" i="27"/>
  <c r="BL2" i="24"/>
  <c r="BL3" i="24" s="1"/>
  <c r="BM4" i="24" s="1"/>
  <c r="BM6" i="24" s="1"/>
  <c r="BM7" i="24" s="1"/>
  <c r="BM43" i="24"/>
  <c r="BN2" i="24"/>
  <c r="BN3" i="24" s="1"/>
  <c r="BO4" i="24" s="1"/>
  <c r="BO6" i="24" s="1"/>
  <c r="BO7" i="24" s="1"/>
  <c r="BO43" i="24"/>
  <c r="BM2" i="24"/>
  <c r="BM3" i="24" s="1"/>
  <c r="BN4" i="24" s="1"/>
  <c r="BN6" i="24" s="1"/>
  <c r="BN7" i="24" s="1"/>
  <c r="BN43" i="24"/>
  <c r="BJ45" i="24"/>
  <c r="BJ44" i="24"/>
  <c r="I10" i="17"/>
  <c r="J10" i="17"/>
  <c r="P10" i="17"/>
  <c r="O10" i="17"/>
  <c r="L10" i="17"/>
  <c r="M10" i="17"/>
  <c r="BM43" i="27"/>
  <c r="BN43" i="27"/>
  <c r="BN45" i="27"/>
  <c r="BN156" i="27" s="1"/>
  <c r="BN157" i="27" s="1"/>
  <c r="BN159" i="27" s="1"/>
  <c r="BM45" i="27"/>
  <c r="BM156" i="27" s="1"/>
  <c r="BM157" i="27" s="1"/>
  <c r="BM159" i="27" s="1"/>
  <c r="BH161" i="27"/>
  <c r="BL129" i="24"/>
  <c r="BM153" i="27"/>
  <c r="BM154" i="27" s="1"/>
  <c r="BN129" i="24"/>
  <c r="BO153" i="27"/>
  <c r="BO154" i="27" s="1"/>
  <c r="BI156" i="27"/>
  <c r="BI157" i="27" s="1"/>
  <c r="BI159" i="27" s="1"/>
  <c r="BI161" i="27" s="1"/>
  <c r="BM129" i="24"/>
  <c r="BN153" i="27"/>
  <c r="BN154" i="27" s="1"/>
  <c r="BH46" i="27"/>
  <c r="AE130" i="24"/>
  <c r="AE111" i="20"/>
  <c r="AF113" i="20" s="1"/>
  <c r="AE108" i="20"/>
  <c r="AE141" i="19"/>
  <c r="AE136" i="19"/>
  <c r="AE132" i="19"/>
  <c r="AE118" i="19"/>
  <c r="AE117" i="19"/>
  <c r="AE115" i="19"/>
  <c r="AE113" i="19"/>
  <c r="AE111" i="19"/>
  <c r="AE106" i="19"/>
  <c r="AE100" i="19"/>
  <c r="AE98" i="19"/>
  <c r="AE91" i="19"/>
  <c r="AE89" i="19"/>
  <c r="AE83" i="19"/>
  <c r="AE82" i="19"/>
  <c r="AE77" i="19"/>
  <c r="AE71" i="19"/>
  <c r="AE22" i="21"/>
  <c r="AG22" i="21" s="1"/>
  <c r="AE48" i="24"/>
  <c r="AE36" i="24"/>
  <c r="AE32" i="24"/>
  <c r="AE106" i="24"/>
  <c r="AE107" i="24"/>
  <c r="AE95" i="24"/>
  <c r="AF98" i="24" s="1"/>
  <c r="AE90" i="24"/>
  <c r="AF93" i="24" s="1"/>
  <c r="AE85" i="24"/>
  <c r="AF88" i="24" s="1"/>
  <c r="AE69" i="24"/>
  <c r="AE80" i="24" s="1"/>
  <c r="AE61" i="24"/>
  <c r="AE79" i="24" s="1"/>
  <c r="AE57" i="24"/>
  <c r="AE78" i="24" s="1"/>
  <c r="AE112" i="24"/>
  <c r="BT44" i="24" l="1"/>
  <c r="BT45" i="24"/>
  <c r="BS46" i="27"/>
  <c r="BS156" i="27"/>
  <c r="BS157" i="27" s="1"/>
  <c r="BS159" i="27" s="1"/>
  <c r="BS161" i="27" s="1"/>
  <c r="BS47" i="27"/>
  <c r="BR46" i="27"/>
  <c r="BR156" i="27"/>
  <c r="BR157" i="27" s="1"/>
  <c r="BR159" i="27" s="1"/>
  <c r="BR161" i="27" s="1"/>
  <c r="BO44" i="24"/>
  <c r="BO45" i="24"/>
  <c r="BN46" i="27"/>
  <c r="BM161" i="27"/>
  <c r="BM46" i="27"/>
  <c r="BN47" i="27"/>
  <c r="BN161" i="27"/>
  <c r="AE120" i="19"/>
  <c r="AJ121" i="19" s="1"/>
  <c r="AJ138" i="19"/>
  <c r="AF139" i="19"/>
  <c r="AJ133" i="19"/>
  <c r="AF128" i="19"/>
  <c r="AF129" i="19" s="1"/>
  <c r="AF134" i="19"/>
  <c r="AE142" i="19"/>
  <c r="AJ143" i="19"/>
  <c r="AF144" i="19"/>
  <c r="AJ108" i="19"/>
  <c r="AF109" i="19"/>
  <c r="AE65" i="24"/>
  <c r="AJ73" i="19"/>
  <c r="AF74" i="19"/>
  <c r="AJ79" i="19"/>
  <c r="AF80" i="19"/>
  <c r="AJ102" i="19"/>
  <c r="AF103" i="19"/>
  <c r="AE137" i="19"/>
  <c r="AG31" i="19"/>
  <c r="AL31" i="19" s="1"/>
  <c r="AQ31" i="19" s="1"/>
  <c r="AV31" i="19" s="1"/>
  <c r="BA31" i="19" s="1"/>
  <c r="BF31" i="19" s="1"/>
  <c r="BK31" i="19" s="1"/>
  <c r="BL31" i="19" s="1"/>
  <c r="BM31" i="19" s="1"/>
  <c r="BN31" i="19" s="1"/>
  <c r="BO31" i="19" s="1"/>
  <c r="BP31" i="19" s="1"/>
  <c r="BQ31" i="19" s="1"/>
  <c r="BR31" i="19" s="1"/>
  <c r="BS31" i="19" s="1"/>
  <c r="BT31" i="19" s="1"/>
  <c r="BU31" i="19" s="1"/>
  <c r="AC35" i="19"/>
  <c r="AG17" i="19"/>
  <c r="AL17" i="19" s="1"/>
  <c r="AQ17" i="19" s="1"/>
  <c r="AV17" i="19" s="1"/>
  <c r="BA17" i="19" s="1"/>
  <c r="BF17" i="19" s="1"/>
  <c r="BK17" i="19" s="1"/>
  <c r="BL17" i="19" s="1"/>
  <c r="BM17" i="19" s="1"/>
  <c r="BN17" i="19" s="1"/>
  <c r="BO17" i="19" s="1"/>
  <c r="BP17" i="19" s="1"/>
  <c r="BQ17" i="19" s="1"/>
  <c r="BR17" i="19" s="1"/>
  <c r="BS17" i="19" s="1"/>
  <c r="BT17" i="19" s="1"/>
  <c r="BU17" i="19" s="1"/>
  <c r="M31" i="19"/>
  <c r="M42" i="19"/>
  <c r="M17" i="19"/>
  <c r="R17" i="19"/>
  <c r="W17" i="19"/>
  <c r="AB17" i="19"/>
  <c r="AG42" i="19"/>
  <c r="AL42" i="19" s="1"/>
  <c r="AQ42" i="19" s="1"/>
  <c r="AV42" i="19" s="1"/>
  <c r="BA42" i="19" s="1"/>
  <c r="BF42" i="19" s="1"/>
  <c r="BK42" i="19" s="1"/>
  <c r="BL42" i="19" s="1"/>
  <c r="BM42" i="19" s="1"/>
  <c r="BN42" i="19" s="1"/>
  <c r="BO42" i="19" s="1"/>
  <c r="BP42" i="19" s="1"/>
  <c r="BQ42" i="19" s="1"/>
  <c r="BR42" i="19" s="1"/>
  <c r="BS42" i="19" s="1"/>
  <c r="BT42" i="19" s="1"/>
  <c r="BU42" i="19" s="1"/>
  <c r="AB31" i="19"/>
  <c r="W31" i="19"/>
  <c r="R31" i="19"/>
  <c r="R42" i="19"/>
  <c r="W42" i="19"/>
  <c r="AB42" i="19"/>
  <c r="AC43" i="19"/>
  <c r="AD42" i="19"/>
  <c r="AD31" i="19"/>
  <c r="AC21" i="19"/>
  <c r="AD21" i="19"/>
  <c r="AF122" i="19" l="1"/>
  <c r="AE66" i="24"/>
  <c r="AF68" i="24"/>
  <c r="AM16" i="6"/>
  <c r="AN16" i="6"/>
  <c r="AO16" i="6"/>
  <c r="AQ16" i="6"/>
  <c r="AP20" i="6"/>
  <c r="AQ20" i="6" s="1"/>
  <c r="AN24" i="6" l="1"/>
  <c r="AN22" i="6"/>
  <c r="AQ24" i="6"/>
  <c r="AQ22" i="6"/>
  <c r="AO22" i="6"/>
  <c r="AO24" i="6"/>
  <c r="AM24" i="6"/>
  <c r="AM22" i="6"/>
  <c r="AM20" i="6"/>
  <c r="AN20" i="6"/>
  <c r="AQ18" i="6"/>
  <c r="AO20" i="6"/>
  <c r="AM18" i="6"/>
  <c r="AN18" i="6"/>
  <c r="AO18" i="6"/>
  <c r="AP18" i="6"/>
  <c r="AQ9" i="23"/>
  <c r="AQ8" i="23"/>
  <c r="AQ6" i="23"/>
  <c r="AP6" i="23"/>
  <c r="AO6" i="23"/>
  <c r="AN6" i="23"/>
  <c r="AM6" i="23"/>
  <c r="AM5" i="23"/>
  <c r="AQ7" i="14"/>
  <c r="AP7" i="14"/>
  <c r="AO7" i="14"/>
  <c r="AN7" i="14"/>
  <c r="AM7" i="14"/>
  <c r="AM6" i="14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AD37" i="21"/>
  <c r="AC37" i="21"/>
  <c r="AA37" i="21"/>
  <c r="Z37" i="21"/>
  <c r="Y37" i="21"/>
  <c r="X37" i="21"/>
  <c r="AC26" i="21"/>
  <c r="AA26" i="21"/>
  <c r="Z26" i="21"/>
  <c r="Y26" i="21"/>
  <c r="X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AQ62" i="21"/>
  <c r="AP60" i="21"/>
  <c r="AO60" i="21"/>
  <c r="AN60" i="21"/>
  <c r="AM60" i="21"/>
  <c r="AQ57" i="21"/>
  <c r="AQ55" i="21"/>
  <c r="AQ54" i="21"/>
  <c r="AQ53" i="21"/>
  <c r="AQ52" i="21"/>
  <c r="AQ51" i="21"/>
  <c r="AQ50" i="21"/>
  <c r="AQ49" i="21"/>
  <c r="AQ48" i="21"/>
  <c r="AQ47" i="21"/>
  <c r="AQ46" i="21"/>
  <c r="AQ45" i="21"/>
  <c r="AQ44" i="21"/>
  <c r="AQ43" i="21"/>
  <c r="AQ42" i="21"/>
  <c r="AQ41" i="21"/>
  <c r="AQ40" i="21"/>
  <c r="AQ35" i="21"/>
  <c r="AQ34" i="21"/>
  <c r="AQ33" i="21"/>
  <c r="AQ32" i="21"/>
  <c r="AQ31" i="21"/>
  <c r="AQ72" i="21" s="1"/>
  <c r="AQ29" i="21"/>
  <c r="AQ16" i="21"/>
  <c r="AQ15" i="21"/>
  <c r="AQ14" i="21"/>
  <c r="AQ13" i="21"/>
  <c r="AQ12" i="21"/>
  <c r="AQ11" i="21"/>
  <c r="AQ9" i="21"/>
  <c r="AQ5" i="21"/>
  <c r="AP5" i="21"/>
  <c r="AN5" i="21"/>
  <c r="AM5" i="21"/>
  <c r="S37" i="19"/>
  <c r="S46" i="19" s="1"/>
  <c r="Q37" i="19"/>
  <c r="Q46" i="19" s="1"/>
  <c r="P37" i="19"/>
  <c r="P46" i="19" s="1"/>
  <c r="O37" i="19"/>
  <c r="O46" i="19" s="1"/>
  <c r="N37" i="19"/>
  <c r="N46" i="19" s="1"/>
  <c r="AA37" i="19"/>
  <c r="AA46" i="19" s="1"/>
  <c r="Z37" i="19"/>
  <c r="Z46" i="19" s="1"/>
  <c r="Y37" i="19"/>
  <c r="Y46" i="19" s="1"/>
  <c r="X37" i="19"/>
  <c r="X46" i="19" s="1"/>
  <c r="V37" i="19"/>
  <c r="V46" i="19" s="1"/>
  <c r="T37" i="19"/>
  <c r="T46" i="19" s="1"/>
  <c r="AD13" i="19"/>
  <c r="AC13" i="19"/>
  <c r="AA13" i="19"/>
  <c r="AA23" i="19" s="1"/>
  <c r="Z13" i="19"/>
  <c r="Z23" i="19" s="1"/>
  <c r="Y13" i="19"/>
  <c r="Y23" i="19" s="1"/>
  <c r="X13" i="19"/>
  <c r="X23" i="19" s="1"/>
  <c r="V13" i="19"/>
  <c r="V23" i="19" s="1"/>
  <c r="S13" i="19"/>
  <c r="S23" i="19" s="1"/>
  <c r="Q13" i="19"/>
  <c r="Q23" i="19" s="1"/>
  <c r="P13" i="19"/>
  <c r="P23" i="19" s="1"/>
  <c r="O13" i="19"/>
  <c r="O23" i="19" s="1"/>
  <c r="N13" i="19"/>
  <c r="N23" i="19" s="1"/>
  <c r="T13" i="19"/>
  <c r="T23" i="19" s="1"/>
  <c r="AQ46" i="20"/>
  <c r="AQ47" i="20"/>
  <c r="AP47" i="20"/>
  <c r="AO47" i="20"/>
  <c r="AN47" i="20"/>
  <c r="AM47" i="20"/>
  <c r="AQ60" i="21" l="1"/>
  <c r="AD141" i="19" l="1"/>
  <c r="AD136" i="19"/>
  <c r="AD132" i="19"/>
  <c r="AD118" i="19"/>
  <c r="AD117" i="19"/>
  <c r="AD115" i="19"/>
  <c r="AD113" i="19"/>
  <c r="AD111" i="19"/>
  <c r="AD106" i="19"/>
  <c r="AD100" i="19"/>
  <c r="AD98" i="19"/>
  <c r="AD94" i="19"/>
  <c r="AD91" i="19"/>
  <c r="AD89" i="19"/>
  <c r="Q129" i="24"/>
  <c r="P129" i="24"/>
  <c r="O129" i="24"/>
  <c r="N129" i="24"/>
  <c r="AG129" i="24"/>
  <c r="W129" i="24"/>
  <c r="M129" i="24"/>
  <c r="AD111" i="20"/>
  <c r="AD108" i="20"/>
  <c r="AD67" i="20"/>
  <c r="AG67" i="20" s="1"/>
  <c r="AG84" i="20" s="1"/>
  <c r="AD83" i="19"/>
  <c r="AD82" i="19"/>
  <c r="AD77" i="19"/>
  <c r="AD71" i="19"/>
  <c r="AD23" i="19"/>
  <c r="AD32" i="24"/>
  <c r="AD36" i="24"/>
  <c r="AD48" i="24"/>
  <c r="AD130" i="24"/>
  <c r="AD107" i="24"/>
  <c r="AD106" i="24"/>
  <c r="AD95" i="24"/>
  <c r="AD90" i="24"/>
  <c r="AD85" i="24"/>
  <c r="AD69" i="24"/>
  <c r="AD80" i="24" s="1"/>
  <c r="AD61" i="24"/>
  <c r="AD57" i="24"/>
  <c r="AD78" i="24" s="1"/>
  <c r="AI79" i="19" l="1"/>
  <c r="AE80" i="19"/>
  <c r="AD79" i="24"/>
  <c r="AD65" i="24"/>
  <c r="AI133" i="19"/>
  <c r="AE128" i="19"/>
  <c r="AE129" i="19" s="1"/>
  <c r="AE134" i="19"/>
  <c r="AI102" i="19"/>
  <c r="AE103" i="19"/>
  <c r="AI138" i="19"/>
  <c r="AE139" i="19"/>
  <c r="AI108" i="19"/>
  <c r="AE109" i="19"/>
  <c r="AI143" i="19"/>
  <c r="AE144" i="19"/>
  <c r="AI73" i="19"/>
  <c r="AE74" i="19"/>
  <c r="AE113" i="20"/>
  <c r="AI112" i="20"/>
  <c r="AB129" i="24"/>
  <c r="AE93" i="24"/>
  <c r="AE98" i="24"/>
  <c r="AE88" i="24"/>
  <c r="R129" i="24"/>
  <c r="AM65" i="19"/>
  <c r="AD120" i="19"/>
  <c r="AD95" i="19"/>
  <c r="AD142" i="19"/>
  <c r="AD137" i="19"/>
  <c r="AD96" i="19"/>
  <c r="G84" i="17"/>
  <c r="G68" i="17"/>
  <c r="G62" i="17"/>
  <c r="AI121" i="19" l="1"/>
  <c r="AE122" i="19"/>
  <c r="AD66" i="24"/>
  <c r="AE68" i="24"/>
  <c r="AN65" i="19"/>
  <c r="AO65" i="19" l="1"/>
  <c r="AC130" i="24"/>
  <c r="AC48" i="24"/>
  <c r="AC36" i="24"/>
  <c r="AC32" i="24"/>
  <c r="AC141" i="19"/>
  <c r="AC136" i="19"/>
  <c r="AC132" i="19"/>
  <c r="AH133" i="19" s="1"/>
  <c r="AC118" i="19"/>
  <c r="AC117" i="19"/>
  <c r="AC115" i="19"/>
  <c r="AC113" i="19"/>
  <c r="AC111" i="19"/>
  <c r="AC106" i="19"/>
  <c r="AC100" i="19"/>
  <c r="AC98" i="19"/>
  <c r="AC94" i="19"/>
  <c r="AC91" i="19"/>
  <c r="AC89" i="19"/>
  <c r="AC85" i="19"/>
  <c r="AC83" i="19"/>
  <c r="AG83" i="19" s="1"/>
  <c r="AC82" i="19"/>
  <c r="AC77" i="19"/>
  <c r="AC71" i="19"/>
  <c r="AC111" i="20"/>
  <c r="AD113" i="20" s="1"/>
  <c r="AC108" i="20"/>
  <c r="AC37" i="19"/>
  <c r="AC23" i="19"/>
  <c r="AC106" i="24"/>
  <c r="AC95" i="24"/>
  <c r="AD98" i="24" s="1"/>
  <c r="AC90" i="24"/>
  <c r="AD93" i="24" s="1"/>
  <c r="AC85" i="24"/>
  <c r="AD88" i="24" s="1"/>
  <c r="AC69" i="24"/>
  <c r="AC80" i="24" s="1"/>
  <c r="AC61" i="24"/>
  <c r="AC57" i="24"/>
  <c r="AC78" i="24" s="1"/>
  <c r="AD103" i="19" l="1"/>
  <c r="AH102" i="19"/>
  <c r="AD139" i="19"/>
  <c r="AH138" i="19"/>
  <c r="AD74" i="19"/>
  <c r="AH73" i="19"/>
  <c r="AD80" i="19"/>
  <c r="AH79" i="19"/>
  <c r="AD109" i="19"/>
  <c r="AH108" i="19"/>
  <c r="AD144" i="19"/>
  <c r="AH143" i="19"/>
  <c r="AC79" i="24"/>
  <c r="AC65" i="24"/>
  <c r="AR108" i="20"/>
  <c r="AR65" i="19"/>
  <c r="AP108" i="20"/>
  <c r="AC46" i="19"/>
  <c r="AD128" i="19"/>
  <c r="AD129" i="19" s="1"/>
  <c r="AD134" i="19"/>
  <c r="AC120" i="19"/>
  <c r="AC87" i="19"/>
  <c r="AC96" i="19"/>
  <c r="AC95" i="19"/>
  <c r="AC86" i="19"/>
  <c r="AC137" i="19"/>
  <c r="AC142" i="19"/>
  <c r="AC66" i="24" l="1"/>
  <c r="AG65" i="24"/>
  <c r="AH67" i="24"/>
  <c r="AD68" i="24"/>
  <c r="AD122" i="19"/>
  <c r="AH121" i="19"/>
  <c r="AS108" i="20"/>
  <c r="AQ108" i="20"/>
  <c r="AQ65" i="19"/>
  <c r="X67" i="21"/>
  <c r="AL44" i="21"/>
  <c r="AB44" i="21"/>
  <c r="AG66" i="24" l="1"/>
  <c r="AT65" i="19"/>
  <c r="AT108" i="20"/>
  <c r="G88" i="17"/>
  <c r="G94" i="17"/>
  <c r="G80" i="17"/>
  <c r="AB7" i="19"/>
  <c r="AV119" i="24" l="1"/>
  <c r="AV65" i="19" s="1"/>
  <c r="AU108" i="20"/>
  <c r="AA130" i="24"/>
  <c r="AV108" i="20" l="1"/>
  <c r="AW108" i="20"/>
  <c r="AW65" i="19"/>
  <c r="AA141" i="19"/>
  <c r="AA136" i="19"/>
  <c r="AA132" i="19"/>
  <c r="AF133" i="19" s="1"/>
  <c r="AA118" i="19"/>
  <c r="AA117" i="19"/>
  <c r="AA115" i="19"/>
  <c r="AA113" i="19"/>
  <c r="AA111" i="19"/>
  <c r="AA106" i="19"/>
  <c r="AA100" i="19"/>
  <c r="AA98" i="19"/>
  <c r="AA94" i="19"/>
  <c r="AA91" i="19"/>
  <c r="AA89" i="19"/>
  <c r="AA85" i="19"/>
  <c r="AA83" i="19"/>
  <c r="AA82" i="19"/>
  <c r="AA77" i="19"/>
  <c r="AA71" i="19"/>
  <c r="AA111" i="20"/>
  <c r="AA108" i="20"/>
  <c r="AB81" i="20"/>
  <c r="AB94" i="19" s="1"/>
  <c r="AB80" i="20"/>
  <c r="AA74" i="20"/>
  <c r="AB30" i="21"/>
  <c r="AB10" i="21"/>
  <c r="AB111" i="20" s="1"/>
  <c r="AG112" i="20" s="1"/>
  <c r="AB8" i="21"/>
  <c r="AB7" i="21"/>
  <c r="AA106" i="24"/>
  <c r="AA69" i="24"/>
  <c r="AA80" i="24" s="1"/>
  <c r="AA61" i="24"/>
  <c r="AA57" i="24"/>
  <c r="AA78" i="24" s="1"/>
  <c r="AA95" i="24"/>
  <c r="AA90" i="24"/>
  <c r="AC93" i="24" s="1"/>
  <c r="AA85" i="24"/>
  <c r="AC88" i="24" s="1"/>
  <c r="AA48" i="24"/>
  <c r="AA36" i="24"/>
  <c r="AA32" i="24"/>
  <c r="AB85" i="19" l="1"/>
  <c r="AX108" i="20"/>
  <c r="AX65" i="19"/>
  <c r="AC74" i="19"/>
  <c r="AF73" i="19"/>
  <c r="AC80" i="19"/>
  <c r="AF79" i="19"/>
  <c r="AC103" i="19"/>
  <c r="AF102" i="19"/>
  <c r="AC139" i="19"/>
  <c r="AF138" i="19"/>
  <c r="AC109" i="19"/>
  <c r="AF108" i="19"/>
  <c r="AC144" i="19"/>
  <c r="AF143" i="19"/>
  <c r="AA79" i="24"/>
  <c r="AA65" i="24"/>
  <c r="AC113" i="20"/>
  <c r="AF112" i="20"/>
  <c r="AB74" i="20"/>
  <c r="AB113" i="20"/>
  <c r="AC98" i="24"/>
  <c r="AC128" i="19"/>
  <c r="AC129" i="19" s="1"/>
  <c r="AC134" i="19"/>
  <c r="AA120" i="19"/>
  <c r="AA87" i="19"/>
  <c r="AA96" i="19"/>
  <c r="AA86" i="19"/>
  <c r="AA95" i="19"/>
  <c r="AA137" i="19"/>
  <c r="AA142" i="19"/>
  <c r="AY108" i="20" l="1"/>
  <c r="AY65" i="19"/>
  <c r="AC122" i="19"/>
  <c r="AF121" i="19"/>
  <c r="AF67" i="24"/>
  <c r="AC68" i="24"/>
  <c r="AL62" i="21"/>
  <c r="AL57" i="21"/>
  <c r="AL55" i="21"/>
  <c r="AL54" i="21"/>
  <c r="AL53" i="21"/>
  <c r="AL52" i="21"/>
  <c r="AL51" i="21"/>
  <c r="AL50" i="21"/>
  <c r="AL49" i="21"/>
  <c r="AL48" i="21"/>
  <c r="AL47" i="21"/>
  <c r="AL46" i="21"/>
  <c r="AL45" i="21"/>
  <c r="AL43" i="21"/>
  <c r="AL42" i="21"/>
  <c r="AL41" i="21"/>
  <c r="AL40" i="21"/>
  <c r="AL35" i="21"/>
  <c r="AL34" i="21"/>
  <c r="AL33" i="21"/>
  <c r="AL32" i="21"/>
  <c r="AL31" i="21"/>
  <c r="AL72" i="21" s="1"/>
  <c r="AL29" i="21"/>
  <c r="AL16" i="21"/>
  <c r="AL15" i="21"/>
  <c r="AL14" i="21"/>
  <c r="AL13" i="21"/>
  <c r="AL12" i="21"/>
  <c r="AL11" i="21"/>
  <c r="AL9" i="21"/>
  <c r="BB65" i="19" l="1"/>
  <c r="BB108" i="20"/>
  <c r="AZ108" i="20"/>
  <c r="AZ65" i="19"/>
  <c r="AL60" i="21"/>
  <c r="Z141" i="19"/>
  <c r="Z136" i="19"/>
  <c r="Z132" i="19"/>
  <c r="AE133" i="19" s="1"/>
  <c r="Z118" i="19"/>
  <c r="Z117" i="19"/>
  <c r="Z115" i="19"/>
  <c r="Z113" i="19"/>
  <c r="Z111" i="19"/>
  <c r="Z106" i="19"/>
  <c r="Z100" i="19"/>
  <c r="Z98" i="19"/>
  <c r="Z94" i="19"/>
  <c r="Z91" i="19"/>
  <c r="Z89" i="19"/>
  <c r="Z85" i="19"/>
  <c r="Z83" i="19"/>
  <c r="Z82" i="19"/>
  <c r="Z77" i="19"/>
  <c r="Z71" i="19"/>
  <c r="BC65" i="19" l="1"/>
  <c r="BC108" i="20"/>
  <c r="BA108" i="20"/>
  <c r="BA65" i="19"/>
  <c r="AA74" i="19"/>
  <c r="AE73" i="19"/>
  <c r="AA139" i="19"/>
  <c r="AE138" i="19"/>
  <c r="AA80" i="19"/>
  <c r="AE79" i="19"/>
  <c r="AA103" i="19"/>
  <c r="AE102" i="19"/>
  <c r="AA109" i="19"/>
  <c r="AE108" i="19"/>
  <c r="AA144" i="19"/>
  <c r="AE143" i="19"/>
  <c r="Z120" i="19"/>
  <c r="AA128" i="19"/>
  <c r="AA129" i="19" s="1"/>
  <c r="AA134" i="19"/>
  <c r="Z87" i="19"/>
  <c r="Z96" i="19"/>
  <c r="Z95" i="19"/>
  <c r="Z86" i="19"/>
  <c r="Z137" i="19"/>
  <c r="Z142" i="19"/>
  <c r="Z43" i="21"/>
  <c r="AB43" i="21" s="1"/>
  <c r="Z42" i="21"/>
  <c r="AB42" i="21" s="1"/>
  <c r="W43" i="21"/>
  <c r="W42" i="21"/>
  <c r="Y53" i="19"/>
  <c r="X53" i="19"/>
  <c r="V53" i="19"/>
  <c r="T53" i="19"/>
  <c r="S53" i="19"/>
  <c r="Q53" i="19"/>
  <c r="P53" i="19"/>
  <c r="O53" i="19"/>
  <c r="N53" i="19"/>
  <c r="L53" i="19"/>
  <c r="K53" i="19"/>
  <c r="J53" i="19"/>
  <c r="I53" i="19"/>
  <c r="H53" i="19"/>
  <c r="G53" i="19"/>
  <c r="F53" i="19"/>
  <c r="E53" i="19"/>
  <c r="D53" i="19"/>
  <c r="Z53" i="19"/>
  <c r="W41" i="19"/>
  <c r="U41" i="19"/>
  <c r="R41" i="19"/>
  <c r="M41" i="19"/>
  <c r="BD65" i="19" l="1"/>
  <c r="BD108" i="20"/>
  <c r="AA122" i="19"/>
  <c r="AE121" i="19"/>
  <c r="AG41" i="19"/>
  <c r="AB41" i="19"/>
  <c r="BL108" i="20" l="1"/>
  <c r="BL65" i="19"/>
  <c r="BG108" i="20"/>
  <c r="BG65" i="19"/>
  <c r="BE108" i="20"/>
  <c r="BE65" i="19"/>
  <c r="AL41" i="19"/>
  <c r="Z130" i="24"/>
  <c r="AH90" i="20"/>
  <c r="AE90" i="20"/>
  <c r="AD90" i="20"/>
  <c r="AC90" i="20"/>
  <c r="AA90" i="20"/>
  <c r="Z90" i="20"/>
  <c r="Y90" i="20"/>
  <c r="X90" i="20"/>
  <c r="V90" i="20"/>
  <c r="U90" i="20"/>
  <c r="T90" i="20"/>
  <c r="S90" i="20"/>
  <c r="Q90" i="20"/>
  <c r="P90" i="20"/>
  <c r="O90" i="20"/>
  <c r="N90" i="20"/>
  <c r="L90" i="20"/>
  <c r="K90" i="20"/>
  <c r="J90" i="20"/>
  <c r="I90" i="20"/>
  <c r="H90" i="20"/>
  <c r="G71" i="20"/>
  <c r="F71" i="20"/>
  <c r="E71" i="20"/>
  <c r="D71" i="20"/>
  <c r="AB69" i="20"/>
  <c r="AB90" i="20" s="1"/>
  <c r="W69" i="20"/>
  <c r="W90" i="20" s="1"/>
  <c r="R69" i="20"/>
  <c r="R90" i="20" s="1"/>
  <c r="M69" i="20"/>
  <c r="M90" i="20" s="1"/>
  <c r="Z84" i="20"/>
  <c r="Y84" i="20"/>
  <c r="X84" i="20"/>
  <c r="V84" i="20"/>
  <c r="U84" i="20"/>
  <c r="T84" i="20"/>
  <c r="S84" i="20"/>
  <c r="Q84" i="20"/>
  <c r="P84" i="20"/>
  <c r="O84" i="20"/>
  <c r="N84" i="20"/>
  <c r="L84" i="20"/>
  <c r="K84" i="20"/>
  <c r="J84" i="20"/>
  <c r="I84" i="20"/>
  <c r="H84" i="20"/>
  <c r="AC84" i="20"/>
  <c r="AA84" i="20"/>
  <c r="AB67" i="20"/>
  <c r="AB84" i="20" s="1"/>
  <c r="W67" i="20"/>
  <c r="W84" i="20" s="1"/>
  <c r="R67" i="20"/>
  <c r="R84" i="20" s="1"/>
  <c r="M67" i="20"/>
  <c r="M84" i="20" s="1"/>
  <c r="V89" i="20"/>
  <c r="U89" i="20"/>
  <c r="T89" i="20"/>
  <c r="S89" i="20"/>
  <c r="Q89" i="20"/>
  <c r="P89" i="20"/>
  <c r="O89" i="20"/>
  <c r="N89" i="20"/>
  <c r="L89" i="20"/>
  <c r="K89" i="20"/>
  <c r="J89" i="20"/>
  <c r="I89" i="20"/>
  <c r="H89" i="20"/>
  <c r="V88" i="20"/>
  <c r="U88" i="20"/>
  <c r="T88" i="20"/>
  <c r="S88" i="20"/>
  <c r="Q88" i="20"/>
  <c r="P88" i="20"/>
  <c r="O88" i="20"/>
  <c r="N88" i="20"/>
  <c r="L88" i="20"/>
  <c r="K88" i="20"/>
  <c r="J88" i="20"/>
  <c r="I88" i="20"/>
  <c r="H88" i="20"/>
  <c r="V87" i="20"/>
  <c r="U87" i="20"/>
  <c r="T87" i="20"/>
  <c r="S87" i="20"/>
  <c r="Q87" i="20"/>
  <c r="P87" i="20"/>
  <c r="O87" i="20"/>
  <c r="N87" i="20"/>
  <c r="L87" i="20"/>
  <c r="K87" i="20"/>
  <c r="J87" i="20"/>
  <c r="I87" i="20"/>
  <c r="H87" i="20"/>
  <c r="Z89" i="20"/>
  <c r="Y89" i="20"/>
  <c r="Z88" i="20"/>
  <c r="Y88" i="20"/>
  <c r="Z87" i="20"/>
  <c r="Y87" i="20"/>
  <c r="X89" i="20"/>
  <c r="X88" i="20"/>
  <c r="AB65" i="20"/>
  <c r="AB89" i="20" s="1"/>
  <c r="W65" i="20"/>
  <c r="W89" i="20" s="1"/>
  <c r="R65" i="20"/>
  <c r="R89" i="20" s="1"/>
  <c r="M65" i="20"/>
  <c r="M89" i="20" s="1"/>
  <c r="AC88" i="20"/>
  <c r="W63" i="20"/>
  <c r="W88" i="20" s="1"/>
  <c r="R63" i="20"/>
  <c r="R88" i="20" s="1"/>
  <c r="M63" i="20"/>
  <c r="M88" i="20" s="1"/>
  <c r="AA87" i="20"/>
  <c r="X61" i="20"/>
  <c r="X87" i="20" s="1"/>
  <c r="W61" i="20"/>
  <c r="W87" i="20" s="1"/>
  <c r="R61" i="20"/>
  <c r="R87" i="20" s="1"/>
  <c r="M61" i="20"/>
  <c r="M87" i="20" s="1"/>
  <c r="Z111" i="20"/>
  <c r="Z108" i="20"/>
  <c r="Z74" i="20"/>
  <c r="Z106" i="24"/>
  <c r="Z95" i="24"/>
  <c r="AA98" i="24" s="1"/>
  <c r="Z90" i="24"/>
  <c r="Z85" i="24"/>
  <c r="AA88" i="24" s="1"/>
  <c r="Z69" i="24"/>
  <c r="Z80" i="24" s="1"/>
  <c r="Z61" i="24"/>
  <c r="Z57" i="24"/>
  <c r="Z78" i="24" s="1"/>
  <c r="Z32" i="24"/>
  <c r="Z36" i="24"/>
  <c r="Z48" i="24"/>
  <c r="BM108" i="20" l="1"/>
  <c r="BM65" i="19"/>
  <c r="BH108" i="20"/>
  <c r="BH65" i="19"/>
  <c r="BF108" i="20"/>
  <c r="BF65" i="19"/>
  <c r="Z79" i="24"/>
  <c r="Z65" i="24"/>
  <c r="AQ41" i="19"/>
  <c r="AI90" i="20"/>
  <c r="AA113" i="20"/>
  <c r="AE112" i="20"/>
  <c r="AD84" i="20"/>
  <c r="AA88" i="20"/>
  <c r="AA89" i="20"/>
  <c r="AB61" i="20"/>
  <c r="AB87" i="20" s="1"/>
  <c r="AB63" i="20"/>
  <c r="AB88" i="20" s="1"/>
  <c r="AC87" i="20"/>
  <c r="BN108" i="20" l="1"/>
  <c r="BN65" i="19"/>
  <c r="BP119" i="24"/>
  <c r="BI65" i="19"/>
  <c r="AE67" i="24"/>
  <c r="AA68" i="24"/>
  <c r="AJ90" i="20"/>
  <c r="AE84" i="20"/>
  <c r="AL65" i="20"/>
  <c r="AD88" i="20"/>
  <c r="AC89" i="20"/>
  <c r="AL9" i="23"/>
  <c r="AL8" i="23"/>
  <c r="AL6" i="23"/>
  <c r="AK6" i="23"/>
  <c r="AJ6" i="23"/>
  <c r="AI6" i="23"/>
  <c r="AH6" i="23"/>
  <c r="AH5" i="23"/>
  <c r="AL7" i="14"/>
  <c r="AK7" i="14"/>
  <c r="AJ7" i="14"/>
  <c r="AI7" i="14"/>
  <c r="AH7" i="14"/>
  <c r="AH6" i="14"/>
  <c r="AL46" i="20"/>
  <c r="AL47" i="20"/>
  <c r="AK47" i="20"/>
  <c r="AJ47" i="20"/>
  <c r="AI47" i="20"/>
  <c r="AH47" i="20"/>
  <c r="AK60" i="21"/>
  <c r="AJ60" i="21"/>
  <c r="AI60" i="21"/>
  <c r="AH60" i="21"/>
  <c r="AL5" i="21"/>
  <c r="AK5" i="21"/>
  <c r="AJ5" i="21"/>
  <c r="AI5" i="21"/>
  <c r="AH5" i="21"/>
  <c r="BP134" i="24" l="1"/>
  <c r="BU134" i="24"/>
  <c r="BP108" i="20"/>
  <c r="BP65" i="19"/>
  <c r="BO108" i="20"/>
  <c r="BO65" i="19"/>
  <c r="BJ108" i="20"/>
  <c r="BJ65" i="19"/>
  <c r="AN89" i="20"/>
  <c r="AD87" i="20"/>
  <c r="AD89" i="20"/>
  <c r="AE88" i="20"/>
  <c r="BK108" i="20" l="1"/>
  <c r="BK65" i="19"/>
  <c r="AL69" i="20"/>
  <c r="AL90" i="20" s="1"/>
  <c r="AK90" i="20"/>
  <c r="AO89" i="20"/>
  <c r="AH84" i="20"/>
  <c r="AE89" i="20"/>
  <c r="AE87" i="20"/>
  <c r="Y141" i="19"/>
  <c r="Y136" i="19"/>
  <c r="Y132" i="19"/>
  <c r="AD133" i="19" s="1"/>
  <c r="Y118" i="19"/>
  <c r="Y117" i="19"/>
  <c r="Y115" i="19"/>
  <c r="Y113" i="19"/>
  <c r="Y111" i="19"/>
  <c r="Y106" i="19"/>
  <c r="Y100" i="19"/>
  <c r="Y98" i="19"/>
  <c r="Y94" i="19"/>
  <c r="Y91" i="19"/>
  <c r="Y89" i="19"/>
  <c r="Y85" i="19"/>
  <c r="Y83" i="19"/>
  <c r="Y82" i="19"/>
  <c r="Y77" i="19"/>
  <c r="Y71" i="19"/>
  <c r="BA41" i="19" l="1"/>
  <c r="AV41" i="19"/>
  <c r="AQ65" i="20"/>
  <c r="AQ89" i="20" s="1"/>
  <c r="AN90" i="20"/>
  <c r="Z144" i="19"/>
  <c r="AD143" i="19"/>
  <c r="Z74" i="19"/>
  <c r="AD73" i="19"/>
  <c r="Z139" i="19"/>
  <c r="AD138" i="19"/>
  <c r="Y120" i="19"/>
  <c r="Z103" i="19"/>
  <c r="AD102" i="19"/>
  <c r="Z109" i="19"/>
  <c r="AD108" i="19"/>
  <c r="Z80" i="19"/>
  <c r="AD79" i="19"/>
  <c r="Y86" i="19"/>
  <c r="Z128" i="19"/>
  <c r="Z129" i="19" s="1"/>
  <c r="Z134" i="19"/>
  <c r="Y95" i="19"/>
  <c r="AI84" i="20"/>
  <c r="AH88" i="20"/>
  <c r="Y87" i="19"/>
  <c r="Y96" i="19"/>
  <c r="Y137" i="19"/>
  <c r="Y142" i="19"/>
  <c r="BF41" i="19" l="1"/>
  <c r="AR89" i="20"/>
  <c r="AO90" i="20"/>
  <c r="Z122" i="19"/>
  <c r="AD121" i="19"/>
  <c r="AJ84" i="20"/>
  <c r="AH89" i="20"/>
  <c r="AI88" i="20"/>
  <c r="AH87" i="20"/>
  <c r="Y111" i="20"/>
  <c r="Y108" i="20"/>
  <c r="Y74" i="20"/>
  <c r="Y90" i="24"/>
  <c r="Z93" i="24" s="1"/>
  <c r="Y95" i="24"/>
  <c r="Y85" i="24"/>
  <c r="Z88" i="24" s="1"/>
  <c r="Y69" i="24"/>
  <c r="Y80" i="24" s="1"/>
  <c r="Y61" i="24"/>
  <c r="Y57" i="24"/>
  <c r="Y78" i="24" s="1"/>
  <c r="Y32" i="24"/>
  <c r="Y48" i="24"/>
  <c r="Y36" i="24"/>
  <c r="BK41" i="19" l="1"/>
  <c r="BL41" i="19"/>
  <c r="BM41" i="19" s="1"/>
  <c r="BN41" i="19" s="1"/>
  <c r="BO41" i="19" s="1"/>
  <c r="Y79" i="24"/>
  <c r="Y65" i="24"/>
  <c r="AT65" i="20"/>
  <c r="AS89" i="20"/>
  <c r="AQ69" i="20"/>
  <c r="AQ90" i="20" s="1"/>
  <c r="Z113" i="20"/>
  <c r="AD112" i="20"/>
  <c r="Z98" i="24"/>
  <c r="AK84" i="20"/>
  <c r="AL67" i="20"/>
  <c r="AL84" i="20" s="1"/>
  <c r="AI87" i="20"/>
  <c r="AJ88" i="20"/>
  <c r="AI89" i="20"/>
  <c r="Y130" i="24"/>
  <c r="BP41" i="19" l="1"/>
  <c r="BQ41" i="19"/>
  <c r="BR41" i="19" s="1"/>
  <c r="BS41" i="19" s="1"/>
  <c r="BT41" i="19" s="1"/>
  <c r="BU41" i="19" s="1"/>
  <c r="AD67" i="24"/>
  <c r="Z68" i="24"/>
  <c r="AR90" i="20"/>
  <c r="AT89" i="20"/>
  <c r="AU65" i="20"/>
  <c r="AK88" i="20"/>
  <c r="AN84" i="20"/>
  <c r="AK89" i="20"/>
  <c r="AJ89" i="20"/>
  <c r="AL89" i="20"/>
  <c r="AL63" i="20"/>
  <c r="AL88" i="20" s="1"/>
  <c r="AL61" i="20"/>
  <c r="AL87" i="20" s="1"/>
  <c r="AJ87" i="20"/>
  <c r="AU89" i="20" l="1"/>
  <c r="AW65" i="20"/>
  <c r="AV65" i="20"/>
  <c r="AV89" i="20" s="1"/>
  <c r="AS90" i="20"/>
  <c r="AK87" i="20"/>
  <c r="AO84" i="20"/>
  <c r="AN63" i="20"/>
  <c r="AX65" i="20" l="1"/>
  <c r="AW89" i="20"/>
  <c r="AT90" i="20"/>
  <c r="AN88" i="20"/>
  <c r="AO63" i="20"/>
  <c r="AQ67" i="20"/>
  <c r="AQ84" i="20" s="1"/>
  <c r="AN61" i="20"/>
  <c r="X141" i="19"/>
  <c r="X136" i="19"/>
  <c r="AC138" i="19" s="1"/>
  <c r="X132" i="19"/>
  <c r="AC133" i="19" s="1"/>
  <c r="AU90" i="20" l="1"/>
  <c r="AX89" i="20"/>
  <c r="AY65" i="20"/>
  <c r="AV69" i="20"/>
  <c r="AV90" i="20" s="1"/>
  <c r="AR84" i="20"/>
  <c r="AN87" i="20"/>
  <c r="AO61" i="20"/>
  <c r="AO88" i="20"/>
  <c r="AP63" i="20"/>
  <c r="AP88" i="20" s="1"/>
  <c r="Y144" i="19"/>
  <c r="AC143" i="19"/>
  <c r="AH65" i="19"/>
  <c r="Y128" i="19"/>
  <c r="Y129" i="19" s="1"/>
  <c r="Y134" i="19"/>
  <c r="X137" i="19"/>
  <c r="Y139" i="19"/>
  <c r="X142" i="19"/>
  <c r="AQ63" i="20" l="1"/>
  <c r="AQ88" i="20" s="1"/>
  <c r="AY89" i="20"/>
  <c r="AZ65" i="20"/>
  <c r="AW90" i="20"/>
  <c r="AS84" i="20"/>
  <c r="AR63" i="20"/>
  <c r="AP61" i="20"/>
  <c r="AP87" i="20" s="1"/>
  <c r="AO87" i="20"/>
  <c r="AI65" i="19"/>
  <c r="X118" i="19"/>
  <c r="X117" i="19"/>
  <c r="X115" i="19"/>
  <c r="X113" i="19"/>
  <c r="X111" i="19"/>
  <c r="X106" i="19"/>
  <c r="X100" i="19"/>
  <c r="X98" i="19"/>
  <c r="X94" i="19"/>
  <c r="X91" i="19"/>
  <c r="X89" i="19"/>
  <c r="X85" i="19"/>
  <c r="X83" i="19"/>
  <c r="AB83" i="19" s="1"/>
  <c r="X82" i="19"/>
  <c r="X77" i="19"/>
  <c r="X71" i="19"/>
  <c r="AZ89" i="20" l="1"/>
  <c r="BB65" i="20"/>
  <c r="BA65" i="20"/>
  <c r="BA89" i="20" s="1"/>
  <c r="AY69" i="20"/>
  <c r="AT84" i="20"/>
  <c r="AU67" i="20"/>
  <c r="AS63" i="20"/>
  <c r="AR88" i="20"/>
  <c r="AR61" i="20"/>
  <c r="AQ61" i="20"/>
  <c r="AQ87" i="20" s="1"/>
  <c r="Y109" i="19"/>
  <c r="AC108" i="19"/>
  <c r="Y74" i="19"/>
  <c r="AC73" i="19"/>
  <c r="Y80" i="19"/>
  <c r="AC79" i="19"/>
  <c r="Y103" i="19"/>
  <c r="AC102" i="19"/>
  <c r="AJ65" i="19"/>
  <c r="X95" i="19"/>
  <c r="X86" i="19"/>
  <c r="X120" i="19"/>
  <c r="AB18" i="21"/>
  <c r="X87" i="19"/>
  <c r="X96" i="19"/>
  <c r="BC65" i="20" l="1"/>
  <c r="BB89" i="20"/>
  <c r="AU84" i="20"/>
  <c r="AW67" i="20"/>
  <c r="BA69" i="20"/>
  <c r="BA90" i="20" s="1"/>
  <c r="AY90" i="20"/>
  <c r="AV67" i="20"/>
  <c r="AV84" i="20" s="1"/>
  <c r="AS88" i="20"/>
  <c r="AT63" i="20"/>
  <c r="AR87" i="20"/>
  <c r="AS61" i="20"/>
  <c r="Y122" i="19"/>
  <c r="AC121" i="19"/>
  <c r="AL65" i="19"/>
  <c r="AK65" i="19"/>
  <c r="H141" i="19"/>
  <c r="G141" i="19"/>
  <c r="F141" i="19"/>
  <c r="E141" i="19"/>
  <c r="D141" i="19"/>
  <c r="D144" i="19" s="1"/>
  <c r="H136" i="19"/>
  <c r="G136" i="19"/>
  <c r="F136" i="19"/>
  <c r="E136" i="19"/>
  <c r="D136" i="19"/>
  <c r="H132" i="19"/>
  <c r="G132" i="19"/>
  <c r="I128" i="19" s="1"/>
  <c r="F132" i="19"/>
  <c r="G128" i="19" s="1"/>
  <c r="E132" i="19"/>
  <c r="F128" i="19" s="1"/>
  <c r="D132" i="19"/>
  <c r="H128" i="19"/>
  <c r="D128" i="19"/>
  <c r="L141" i="19"/>
  <c r="K141" i="19"/>
  <c r="J141" i="19"/>
  <c r="I141" i="19"/>
  <c r="L136" i="19"/>
  <c r="K136" i="19"/>
  <c r="J136" i="19"/>
  <c r="I136" i="19"/>
  <c r="L132" i="19"/>
  <c r="N128" i="19" s="1"/>
  <c r="K132" i="19"/>
  <c r="J132" i="19"/>
  <c r="K128" i="19" s="1"/>
  <c r="I132" i="19"/>
  <c r="Q141" i="19"/>
  <c r="P141" i="19"/>
  <c r="O141" i="19"/>
  <c r="N141" i="19"/>
  <c r="Q136" i="19"/>
  <c r="P136" i="19"/>
  <c r="O136" i="19"/>
  <c r="N136" i="19"/>
  <c r="Q132" i="19"/>
  <c r="S128" i="19" s="1"/>
  <c r="P132" i="19"/>
  <c r="O132" i="19"/>
  <c r="P128" i="19" s="1"/>
  <c r="N132" i="19"/>
  <c r="V136" i="19"/>
  <c r="T136" i="19"/>
  <c r="Y138" i="19" s="1"/>
  <c r="V141" i="19"/>
  <c r="AA143" i="19" s="1"/>
  <c r="T141" i="19"/>
  <c r="Y143" i="19" s="1"/>
  <c r="S141" i="19"/>
  <c r="S136" i="19"/>
  <c r="V132" i="19"/>
  <c r="AA133" i="19" s="1"/>
  <c r="T132" i="19"/>
  <c r="S132" i="19"/>
  <c r="AZ90" i="20" l="1"/>
  <c r="BD65" i="20"/>
  <c r="BC89" i="20"/>
  <c r="AW84" i="20"/>
  <c r="AX67" i="20"/>
  <c r="N138" i="19"/>
  <c r="AT88" i="20"/>
  <c r="AU63" i="20"/>
  <c r="AS87" i="20"/>
  <c r="AT61" i="20"/>
  <c r="I138" i="19"/>
  <c r="G129" i="19"/>
  <c r="V138" i="19"/>
  <c r="AA138" i="19"/>
  <c r="V133" i="19"/>
  <c r="H129" i="19"/>
  <c r="K133" i="19"/>
  <c r="P129" i="19"/>
  <c r="P133" i="19"/>
  <c r="U128" i="19"/>
  <c r="Y133" i="19"/>
  <c r="F129" i="19"/>
  <c r="K129" i="19"/>
  <c r="G137" i="19"/>
  <c r="T139" i="19"/>
  <c r="Q128" i="19"/>
  <c r="Q129" i="19" s="1"/>
  <c r="Q134" i="19"/>
  <c r="L128" i="19"/>
  <c r="L129" i="19" s="1"/>
  <c r="Q133" i="19"/>
  <c r="L133" i="19"/>
  <c r="E142" i="19"/>
  <c r="D129" i="19"/>
  <c r="F139" i="19"/>
  <c r="F137" i="19"/>
  <c r="S134" i="19"/>
  <c r="X133" i="19"/>
  <c r="O134" i="19"/>
  <c r="O139" i="19"/>
  <c r="O137" i="19"/>
  <c r="N143" i="19"/>
  <c r="N142" i="19"/>
  <c r="J134" i="19"/>
  <c r="K139" i="19"/>
  <c r="K137" i="19"/>
  <c r="L144" i="19"/>
  <c r="L142" i="19"/>
  <c r="E134" i="19"/>
  <c r="F134" i="19"/>
  <c r="F144" i="19"/>
  <c r="F142" i="19"/>
  <c r="T134" i="19"/>
  <c r="S138" i="19"/>
  <c r="X138" i="19"/>
  <c r="S137" i="19"/>
  <c r="X144" i="19"/>
  <c r="V142" i="19"/>
  <c r="X139" i="19"/>
  <c r="V137" i="19"/>
  <c r="P134" i="19"/>
  <c r="P139" i="19"/>
  <c r="P137" i="19"/>
  <c r="O138" i="19"/>
  <c r="O142" i="19"/>
  <c r="O143" i="19"/>
  <c r="K134" i="19"/>
  <c r="L138" i="19"/>
  <c r="L137" i="19"/>
  <c r="I143" i="19"/>
  <c r="I142" i="19"/>
  <c r="D137" i="19"/>
  <c r="H137" i="19"/>
  <c r="G144" i="19"/>
  <c r="G142" i="19"/>
  <c r="X143" i="19"/>
  <c r="S142" i="19"/>
  <c r="Q138" i="19"/>
  <c r="Q137" i="19"/>
  <c r="P144" i="19"/>
  <c r="P142" i="19"/>
  <c r="P143" i="19"/>
  <c r="M128" i="19"/>
  <c r="L134" i="19"/>
  <c r="I137" i="19"/>
  <c r="J142" i="19"/>
  <c r="J143" i="19"/>
  <c r="G134" i="19"/>
  <c r="E139" i="19"/>
  <c r="E137" i="19"/>
  <c r="D142" i="19"/>
  <c r="H142" i="19"/>
  <c r="X128" i="19"/>
  <c r="X129" i="19" s="1"/>
  <c r="X134" i="19"/>
  <c r="T143" i="19"/>
  <c r="T142" i="19"/>
  <c r="T137" i="19"/>
  <c r="N137" i="19"/>
  <c r="N139" i="19"/>
  <c r="Q144" i="19"/>
  <c r="Q142" i="19"/>
  <c r="J139" i="19"/>
  <c r="J137" i="19"/>
  <c r="K144" i="19"/>
  <c r="K142" i="19"/>
  <c r="I129" i="19"/>
  <c r="I144" i="19"/>
  <c r="D139" i="19"/>
  <c r="E144" i="19"/>
  <c r="D134" i="19"/>
  <c r="G139" i="19"/>
  <c r="E128" i="19"/>
  <c r="E129" i="19" s="1"/>
  <c r="L139" i="19"/>
  <c r="N129" i="19"/>
  <c r="N144" i="19"/>
  <c r="I133" i="19"/>
  <c r="J138" i="19"/>
  <c r="I139" i="19"/>
  <c r="K143" i="19"/>
  <c r="J144" i="19"/>
  <c r="J133" i="19"/>
  <c r="I134" i="19"/>
  <c r="K138" i="19"/>
  <c r="L143" i="19"/>
  <c r="J128" i="19"/>
  <c r="J129" i="19" s="1"/>
  <c r="Q139" i="19"/>
  <c r="S143" i="19"/>
  <c r="S144" i="19"/>
  <c r="O133" i="19"/>
  <c r="N134" i="19"/>
  <c r="P138" i="19"/>
  <c r="Q143" i="19"/>
  <c r="N133" i="19"/>
  <c r="O144" i="19"/>
  <c r="O128" i="19"/>
  <c r="O129" i="19" s="1"/>
  <c r="S133" i="19"/>
  <c r="T138" i="19"/>
  <c r="S139" i="19"/>
  <c r="T144" i="19"/>
  <c r="T128" i="19"/>
  <c r="T129" i="19" s="1"/>
  <c r="S129" i="19"/>
  <c r="T133" i="19"/>
  <c r="V143" i="19"/>
  <c r="BB90" i="20" l="1"/>
  <c r="BE65" i="20"/>
  <c r="BD89" i="20"/>
  <c r="AU88" i="20"/>
  <c r="AW63" i="20"/>
  <c r="AX84" i="20"/>
  <c r="AY67" i="20"/>
  <c r="AV63" i="20"/>
  <c r="AV88" i="20" s="1"/>
  <c r="AU61" i="20"/>
  <c r="AT87" i="20"/>
  <c r="W59" i="20"/>
  <c r="R59" i="20"/>
  <c r="M59" i="20"/>
  <c r="X111" i="20"/>
  <c r="X108" i="20"/>
  <c r="X74" i="20"/>
  <c r="W18" i="21"/>
  <c r="W44" i="21"/>
  <c r="W18" i="19"/>
  <c r="W141" i="19" s="1"/>
  <c r="U18" i="19"/>
  <c r="R18" i="19"/>
  <c r="R141" i="19" s="1"/>
  <c r="M18" i="19"/>
  <c r="M141" i="19" s="1"/>
  <c r="W10" i="19"/>
  <c r="U10" i="19"/>
  <c r="U13" i="19" s="1"/>
  <c r="R10" i="19"/>
  <c r="M10" i="19"/>
  <c r="X95" i="24"/>
  <c r="Y98" i="24" s="1"/>
  <c r="X90" i="24"/>
  <c r="Y93" i="24" s="1"/>
  <c r="X85" i="24"/>
  <c r="Y88" i="24" s="1"/>
  <c r="X69" i="24"/>
  <c r="X80" i="24" s="1"/>
  <c r="X61" i="24"/>
  <c r="X57" i="24"/>
  <c r="X78" i="24" s="1"/>
  <c r="X32" i="24"/>
  <c r="X36" i="24"/>
  <c r="X48" i="24"/>
  <c r="BE89" i="20" l="1"/>
  <c r="BC90" i="20"/>
  <c r="BF65" i="20"/>
  <c r="BF89" i="20" s="1"/>
  <c r="AU87" i="20"/>
  <c r="AW61" i="20"/>
  <c r="AW88" i="20"/>
  <c r="AX63" i="20"/>
  <c r="AZ67" i="20"/>
  <c r="AY84" i="20"/>
  <c r="AV61" i="20"/>
  <c r="AV87" i="20" s="1"/>
  <c r="X79" i="24"/>
  <c r="X65" i="24"/>
  <c r="AL18" i="19"/>
  <c r="AL141" i="19" s="1"/>
  <c r="U141" i="19"/>
  <c r="Z143" i="19" s="1"/>
  <c r="U23" i="19"/>
  <c r="Y113" i="20"/>
  <c r="AC112" i="20"/>
  <c r="R143" i="19"/>
  <c r="U132" i="19"/>
  <c r="U136" i="19"/>
  <c r="Z138" i="19" s="1"/>
  <c r="W136" i="19"/>
  <c r="W132" i="19"/>
  <c r="W143" i="19"/>
  <c r="R136" i="19"/>
  <c r="R132" i="19"/>
  <c r="M132" i="19"/>
  <c r="M142" i="19" s="1"/>
  <c r="M136" i="19"/>
  <c r="M143" i="19"/>
  <c r="AB18" i="19"/>
  <c r="AB141" i="19" s="1"/>
  <c r="BH65" i="20" l="1"/>
  <c r="BG89" i="20"/>
  <c r="AZ84" i="20"/>
  <c r="BB67" i="20"/>
  <c r="BA67" i="20"/>
  <c r="BA84" i="20" s="1"/>
  <c r="BD90" i="20"/>
  <c r="BF69" i="20"/>
  <c r="BF90" i="20" s="1"/>
  <c r="AW87" i="20"/>
  <c r="AX61" i="20"/>
  <c r="AX88" i="20"/>
  <c r="AY63" i="20"/>
  <c r="AB65" i="24"/>
  <c r="AC67" i="24"/>
  <c r="Y68" i="24"/>
  <c r="AM141" i="19"/>
  <c r="U143" i="19"/>
  <c r="V144" i="19"/>
  <c r="U144" i="19"/>
  <c r="W142" i="19"/>
  <c r="AB128" i="19"/>
  <c r="AB143" i="19"/>
  <c r="U142" i="19"/>
  <c r="Z133" i="19"/>
  <c r="AB59" i="20"/>
  <c r="V134" i="19"/>
  <c r="V128" i="19"/>
  <c r="V129" i="19" s="1"/>
  <c r="U133" i="19"/>
  <c r="U134" i="19"/>
  <c r="U129" i="19"/>
  <c r="W128" i="19"/>
  <c r="W129" i="19" s="1"/>
  <c r="R133" i="19"/>
  <c r="W133" i="19"/>
  <c r="R142" i="19"/>
  <c r="M137" i="19"/>
  <c r="M138" i="19"/>
  <c r="U137" i="19"/>
  <c r="V139" i="19"/>
  <c r="U139" i="19"/>
  <c r="U138" i="19"/>
  <c r="R128" i="19"/>
  <c r="R129" i="19" s="1"/>
  <c r="M129" i="19"/>
  <c r="M133" i="19"/>
  <c r="R137" i="19"/>
  <c r="R138" i="19"/>
  <c r="W137" i="19"/>
  <c r="W138" i="19"/>
  <c r="AM144" i="19" l="1"/>
  <c r="AN144" i="19"/>
  <c r="BH89" i="20"/>
  <c r="BI65" i="20"/>
  <c r="BI89" i="20" s="1"/>
  <c r="AM143" i="19"/>
  <c r="AR143" i="19"/>
  <c r="BB84" i="20"/>
  <c r="AY88" i="20"/>
  <c r="AZ63" i="20"/>
  <c r="AX87" i="20"/>
  <c r="AY61" i="20"/>
  <c r="AG67" i="24"/>
  <c r="BJ65" i="20" l="1"/>
  <c r="BK65" i="20" s="1"/>
  <c r="BK89" i="20" s="1"/>
  <c r="BG90" i="20"/>
  <c r="AZ88" i="20"/>
  <c r="BB63" i="20"/>
  <c r="BC84" i="20"/>
  <c r="BA63" i="20"/>
  <c r="BA88" i="20" s="1"/>
  <c r="AZ61" i="20"/>
  <c r="AY87" i="20"/>
  <c r="AL59" i="20"/>
  <c r="BJ89" i="20" l="1"/>
  <c r="BL65" i="20"/>
  <c r="BH90" i="20"/>
  <c r="BI90" i="20"/>
  <c r="AZ87" i="20"/>
  <c r="BD84" i="20"/>
  <c r="BF67" i="20"/>
  <c r="BF84" i="20" s="1"/>
  <c r="BC63" i="20"/>
  <c r="BB88" i="20"/>
  <c r="BA61" i="20"/>
  <c r="BA87" i="20" s="1"/>
  <c r="AQ59" i="20"/>
  <c r="AQ18" i="19"/>
  <c r="AQ141" i="19" s="1"/>
  <c r="AQ143" i="19" s="1"/>
  <c r="AK128" i="19"/>
  <c r="AK132" i="19"/>
  <c r="AL10" i="19"/>
  <c r="AG18" i="19"/>
  <c r="AG141" i="19" s="1"/>
  <c r="BM65" i="20" l="1"/>
  <c r="BL89" i="20"/>
  <c r="BE84" i="20"/>
  <c r="BK69" i="20"/>
  <c r="BK90" i="20" s="1"/>
  <c r="AM128" i="19"/>
  <c r="AP133" i="19"/>
  <c r="AK137" i="19"/>
  <c r="AK142" i="19"/>
  <c r="BC88" i="20"/>
  <c r="BD63" i="20"/>
  <c r="BB87" i="20"/>
  <c r="AV59" i="20"/>
  <c r="AG143" i="19"/>
  <c r="AM136" i="19"/>
  <c r="AM132" i="19"/>
  <c r="AK134" i="19"/>
  <c r="AK129" i="19"/>
  <c r="AL132" i="19"/>
  <c r="AL136" i="19"/>
  <c r="AL143" i="19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AG5" i="21"/>
  <c r="X130" i="24"/>
  <c r="BJ90" i="20" l="1"/>
  <c r="BL69" i="20"/>
  <c r="BN65" i="20"/>
  <c r="BM89" i="20"/>
  <c r="BG84" i="20"/>
  <c r="BC87" i="20"/>
  <c r="BD61" i="20"/>
  <c r="AM129" i="19"/>
  <c r="AR133" i="19"/>
  <c r="AO128" i="19"/>
  <c r="AO129" i="19" s="1"/>
  <c r="AO134" i="19"/>
  <c r="BD88" i="20"/>
  <c r="BE63" i="20"/>
  <c r="AM138" i="19"/>
  <c r="AR138" i="19"/>
  <c r="AQ128" i="19"/>
  <c r="AN128" i="19"/>
  <c r="AN129" i="19" s="1"/>
  <c r="AN134" i="19"/>
  <c r="AX59" i="20"/>
  <c r="AZ59" i="20" s="1"/>
  <c r="AM134" i="19"/>
  <c r="AM137" i="19"/>
  <c r="AM133" i="19"/>
  <c r="AM142" i="19"/>
  <c r="AL142" i="19"/>
  <c r="AL137" i="19"/>
  <c r="AN139" i="19" s="1"/>
  <c r="V32" i="24"/>
  <c r="U32" i="24"/>
  <c r="T32" i="24"/>
  <c r="S32" i="24"/>
  <c r="V48" i="24"/>
  <c r="V36" i="24"/>
  <c r="W62" i="21"/>
  <c r="W57" i="21"/>
  <c r="W55" i="21"/>
  <c r="W54" i="21"/>
  <c r="W53" i="21"/>
  <c r="W52" i="21"/>
  <c r="W51" i="21"/>
  <c r="W50" i="21"/>
  <c r="W49" i="21"/>
  <c r="W48" i="21"/>
  <c r="W47" i="21"/>
  <c r="W46" i="21"/>
  <c r="W45" i="21"/>
  <c r="W41" i="21"/>
  <c r="W40" i="21"/>
  <c r="W35" i="21"/>
  <c r="W34" i="21"/>
  <c r="W33" i="21"/>
  <c r="W32" i="21"/>
  <c r="W31" i="21"/>
  <c r="W30" i="21"/>
  <c r="W72" i="21" s="1"/>
  <c r="W29" i="21"/>
  <c r="W24" i="21"/>
  <c r="W23" i="21"/>
  <c r="W22" i="21"/>
  <c r="W21" i="21"/>
  <c r="W20" i="21"/>
  <c r="W19" i="21"/>
  <c r="W17" i="21"/>
  <c r="W16" i="21"/>
  <c r="W15" i="21"/>
  <c r="W14" i="21"/>
  <c r="W13" i="21"/>
  <c r="W12" i="21"/>
  <c r="W11" i="21"/>
  <c r="W10" i="21"/>
  <c r="W8" i="21"/>
  <c r="W7" i="21"/>
  <c r="W9" i="21"/>
  <c r="BN89" i="20" l="1"/>
  <c r="BO65" i="20"/>
  <c r="BL90" i="20"/>
  <c r="BM69" i="20"/>
  <c r="BE88" i="20"/>
  <c r="BH84" i="20"/>
  <c r="AM139" i="19"/>
  <c r="AO139" i="19"/>
  <c r="BE61" i="20"/>
  <c r="BD87" i="20"/>
  <c r="BF63" i="20"/>
  <c r="BF88" i="20" s="1"/>
  <c r="BA59" i="20"/>
  <c r="AV18" i="19"/>
  <c r="AV141" i="19" s="1"/>
  <c r="AV143" i="19" s="1"/>
  <c r="W37" i="21"/>
  <c r="W74" i="20"/>
  <c r="W26" i="21"/>
  <c r="W60" i="21"/>
  <c r="W81" i="20"/>
  <c r="W80" i="20"/>
  <c r="V118" i="19"/>
  <c r="V117" i="19"/>
  <c r="V115" i="19"/>
  <c r="V113" i="19"/>
  <c r="V111" i="19"/>
  <c r="V106" i="19"/>
  <c r="V100" i="19"/>
  <c r="V98" i="19"/>
  <c r="V94" i="19"/>
  <c r="V91" i="19"/>
  <c r="V89" i="19"/>
  <c r="V85" i="19"/>
  <c r="V83" i="19"/>
  <c r="V82" i="19"/>
  <c r="V77" i="19"/>
  <c r="V71" i="19"/>
  <c r="V111" i="20"/>
  <c r="V108" i="20"/>
  <c r="V74" i="20"/>
  <c r="AB34" i="21"/>
  <c r="BO89" i="20" l="1"/>
  <c r="BQ65" i="20"/>
  <c r="BP65" i="20"/>
  <c r="BP89" i="20" s="1"/>
  <c r="BN69" i="20"/>
  <c r="BM90" i="20"/>
  <c r="BK67" i="20"/>
  <c r="BK84" i="20" s="1"/>
  <c r="BG88" i="20"/>
  <c r="BH63" i="20"/>
  <c r="BG87" i="20"/>
  <c r="BH61" i="20"/>
  <c r="BL59" i="20"/>
  <c r="BE87" i="20"/>
  <c r="BF61" i="20"/>
  <c r="BF87" i="20" s="1"/>
  <c r="BF59" i="20"/>
  <c r="W64" i="21"/>
  <c r="X74" i="19"/>
  <c r="AA73" i="19"/>
  <c r="X80" i="19"/>
  <c r="AA79" i="19"/>
  <c r="X103" i="19"/>
  <c r="AA102" i="19"/>
  <c r="X109" i="19"/>
  <c r="AA108" i="19"/>
  <c r="X113" i="20"/>
  <c r="AA112" i="20"/>
  <c r="V95" i="19"/>
  <c r="V120" i="19"/>
  <c r="W85" i="19"/>
  <c r="V87" i="19"/>
  <c r="V96" i="19"/>
  <c r="V86" i="19"/>
  <c r="V112" i="24"/>
  <c r="V95" i="24"/>
  <c r="X98" i="24" s="1"/>
  <c r="V90" i="24"/>
  <c r="X93" i="24" s="1"/>
  <c r="V85" i="24"/>
  <c r="X88" i="24" s="1"/>
  <c r="V69" i="24"/>
  <c r="V80" i="24" s="1"/>
  <c r="V61" i="24"/>
  <c r="V57" i="24"/>
  <c r="V78" i="24" s="1"/>
  <c r="V130" i="24"/>
  <c r="BR65" i="20" l="1"/>
  <c r="BQ89" i="20"/>
  <c r="BJ84" i="20"/>
  <c r="BL67" i="20"/>
  <c r="BM59" i="20"/>
  <c r="BN59" i="20" s="1"/>
  <c r="BO59" i="20" s="1"/>
  <c r="BQ59" i="20" s="1"/>
  <c r="BR59" i="20" s="1"/>
  <c r="BS59" i="20" s="1"/>
  <c r="BT59" i="20" s="1"/>
  <c r="BU59" i="20" s="1"/>
  <c r="BN90" i="20"/>
  <c r="BO69" i="20"/>
  <c r="BK59" i="20"/>
  <c r="BH87" i="20"/>
  <c r="BI61" i="20"/>
  <c r="BI87" i="20" s="1"/>
  <c r="BH88" i="20"/>
  <c r="BI63" i="20"/>
  <c r="BI88" i="20" s="1"/>
  <c r="V79" i="24"/>
  <c r="V65" i="24"/>
  <c r="X122" i="19"/>
  <c r="AA121" i="19"/>
  <c r="L108" i="20"/>
  <c r="K108" i="20"/>
  <c r="J108" i="20"/>
  <c r="I108" i="20"/>
  <c r="BO90" i="20" l="1"/>
  <c r="BQ69" i="20"/>
  <c r="BS65" i="20"/>
  <c r="BR89" i="20"/>
  <c r="BP69" i="20"/>
  <c r="BP90" i="20" s="1"/>
  <c r="BP59" i="20"/>
  <c r="BL84" i="20"/>
  <c r="BM67" i="20"/>
  <c r="BJ63" i="20"/>
  <c r="BK63" i="20" s="1"/>
  <c r="BK88" i="20" s="1"/>
  <c r="BJ61" i="20"/>
  <c r="BL61" i="20" s="1"/>
  <c r="BB141" i="19"/>
  <c r="BG143" i="19" s="1"/>
  <c r="BA18" i="19"/>
  <c r="BA141" i="19" s="1"/>
  <c r="BA143" i="19" s="1"/>
  <c r="AA67" i="24"/>
  <c r="X68" i="24"/>
  <c r="T130" i="24"/>
  <c r="S130" i="24"/>
  <c r="Q130" i="24"/>
  <c r="P130" i="24"/>
  <c r="O130" i="24"/>
  <c r="N130" i="24"/>
  <c r="L130" i="24"/>
  <c r="K130" i="24"/>
  <c r="J130" i="24"/>
  <c r="I130" i="24"/>
  <c r="U130" i="24"/>
  <c r="L129" i="24"/>
  <c r="BT65" i="20" l="1"/>
  <c r="BT89" i="20" s="1"/>
  <c r="BS89" i="20"/>
  <c r="BQ90" i="20"/>
  <c r="BR69" i="20"/>
  <c r="BB143" i="19"/>
  <c r="BC144" i="19"/>
  <c r="BB144" i="19"/>
  <c r="BJ88" i="20"/>
  <c r="BL63" i="20"/>
  <c r="BM84" i="20"/>
  <c r="BN67" i="20"/>
  <c r="BL87" i="20"/>
  <c r="BM61" i="20"/>
  <c r="BJ87" i="20"/>
  <c r="BK61" i="20"/>
  <c r="BK87" i="20" s="1"/>
  <c r="S53" i="20"/>
  <c r="Q53" i="20"/>
  <c r="P53" i="20"/>
  <c r="O53" i="20"/>
  <c r="N53" i="20"/>
  <c r="L53" i="20"/>
  <c r="K53" i="20"/>
  <c r="J53" i="20"/>
  <c r="I53" i="20"/>
  <c r="U77" i="20"/>
  <c r="S77" i="20"/>
  <c r="Q77" i="20"/>
  <c r="P77" i="20"/>
  <c r="O77" i="20"/>
  <c r="N77" i="20"/>
  <c r="L77" i="20"/>
  <c r="K77" i="20"/>
  <c r="J77" i="20"/>
  <c r="I77" i="20"/>
  <c r="U76" i="20"/>
  <c r="S76" i="20"/>
  <c r="Q76" i="20"/>
  <c r="P76" i="20"/>
  <c r="O76" i="20"/>
  <c r="N76" i="20"/>
  <c r="L76" i="20"/>
  <c r="K76" i="20"/>
  <c r="J76" i="20"/>
  <c r="I76" i="20"/>
  <c r="BU65" i="20" l="1"/>
  <c r="BU89" i="20" s="1"/>
  <c r="BR90" i="20"/>
  <c r="BS69" i="20"/>
  <c r="BM87" i="20"/>
  <c r="BN61" i="20"/>
  <c r="BN84" i="20"/>
  <c r="BO67" i="20"/>
  <c r="BL88" i="20"/>
  <c r="BM63" i="20"/>
  <c r="Z52" i="24"/>
  <c r="Z16" i="20" s="1"/>
  <c r="Z20" i="20" s="1"/>
  <c r="Y52" i="24"/>
  <c r="Y16" i="20" s="1"/>
  <c r="G124" i="19"/>
  <c r="E68" i="19"/>
  <c r="F68" i="19"/>
  <c r="G68" i="19"/>
  <c r="D68" i="19"/>
  <c r="E67" i="19"/>
  <c r="F67" i="19"/>
  <c r="G67" i="19"/>
  <c r="D67" i="19"/>
  <c r="BO84" i="20" l="1"/>
  <c r="BQ67" i="20"/>
  <c r="BS90" i="20"/>
  <c r="BT69" i="20"/>
  <c r="BT90" i="20" s="1"/>
  <c r="AE22" i="20"/>
  <c r="BP67" i="20"/>
  <c r="BP84" i="20" s="1"/>
  <c r="BN63" i="20"/>
  <c r="BM88" i="20"/>
  <c r="BN87" i="20"/>
  <c r="BO61" i="20"/>
  <c r="BF18" i="19"/>
  <c r="BF141" i="19" s="1"/>
  <c r="BF143" i="19" s="1"/>
  <c r="AR34" i="24"/>
  <c r="Y66" i="24"/>
  <c r="Y42" i="24"/>
  <c r="Z42" i="24"/>
  <c r="Z66" i="24"/>
  <c r="AT34" i="24"/>
  <c r="Z8" i="20"/>
  <c r="Z21" i="27"/>
  <c r="Z17" i="27" s="1"/>
  <c r="Y8" i="20"/>
  <c r="Y21" i="27"/>
  <c r="Y17" i="27" s="1"/>
  <c r="Z105" i="20"/>
  <c r="Y105" i="20"/>
  <c r="Y114" i="20" s="1"/>
  <c r="AI49" i="24"/>
  <c r="AJ49" i="24"/>
  <c r="W47" i="24"/>
  <c r="W34" i="24"/>
  <c r="AC5" i="23"/>
  <c r="X5" i="23"/>
  <c r="S5" i="23"/>
  <c r="N5" i="23"/>
  <c r="I5" i="23"/>
  <c r="D5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D6" i="23"/>
  <c r="AC6" i="14"/>
  <c r="X6" i="14"/>
  <c r="S6" i="14"/>
  <c r="N6" i="14"/>
  <c r="I6" i="14"/>
  <c r="D6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D7" i="14"/>
  <c r="AG47" i="20"/>
  <c r="U108" i="20"/>
  <c r="S108" i="20"/>
  <c r="Q108" i="20"/>
  <c r="P108" i="20"/>
  <c r="O108" i="20"/>
  <c r="N108" i="20"/>
  <c r="E65" i="19"/>
  <c r="F65" i="19"/>
  <c r="G65" i="19"/>
  <c r="I65" i="19"/>
  <c r="J65" i="19"/>
  <c r="K65" i="19"/>
  <c r="L65" i="19"/>
  <c r="N65" i="19"/>
  <c r="O65" i="19"/>
  <c r="P65" i="19"/>
  <c r="Q65" i="19"/>
  <c r="S65" i="19"/>
  <c r="U65" i="19"/>
  <c r="D65" i="19"/>
  <c r="G98" i="24"/>
  <c r="G93" i="24"/>
  <c r="G88" i="24"/>
  <c r="G72" i="24"/>
  <c r="F72" i="24"/>
  <c r="E72" i="24"/>
  <c r="P64" i="24"/>
  <c r="L64" i="24"/>
  <c r="G64" i="24"/>
  <c r="F64" i="24"/>
  <c r="E64" i="24"/>
  <c r="P63" i="24"/>
  <c r="L63" i="24"/>
  <c r="K63" i="24"/>
  <c r="G60" i="24"/>
  <c r="U33" i="24"/>
  <c r="T33" i="24"/>
  <c r="S33" i="24"/>
  <c r="Q33" i="24"/>
  <c r="P33" i="24"/>
  <c r="O33" i="24"/>
  <c r="N33" i="24"/>
  <c r="L33" i="24"/>
  <c r="K33" i="24"/>
  <c r="J33" i="24"/>
  <c r="I33" i="24"/>
  <c r="G33" i="24"/>
  <c r="F33" i="24"/>
  <c r="E33" i="24"/>
  <c r="Q32" i="24"/>
  <c r="P32" i="24"/>
  <c r="O32" i="24"/>
  <c r="N32" i="24"/>
  <c r="L32" i="24"/>
  <c r="K32" i="24"/>
  <c r="J32" i="24"/>
  <c r="I32" i="24"/>
  <c r="U37" i="24"/>
  <c r="T37" i="24"/>
  <c r="S37" i="24"/>
  <c r="Q37" i="24"/>
  <c r="P37" i="24"/>
  <c r="O37" i="24"/>
  <c r="N37" i="24"/>
  <c r="L37" i="24"/>
  <c r="K37" i="24"/>
  <c r="J37" i="24"/>
  <c r="I37" i="24"/>
  <c r="G37" i="24"/>
  <c r="F37" i="24"/>
  <c r="E37" i="24"/>
  <c r="U36" i="24"/>
  <c r="T36" i="24"/>
  <c r="S36" i="24"/>
  <c r="Q36" i="24"/>
  <c r="P36" i="24"/>
  <c r="O36" i="24"/>
  <c r="N36" i="24"/>
  <c r="L36" i="24"/>
  <c r="K36" i="24"/>
  <c r="J36" i="24"/>
  <c r="I36" i="24"/>
  <c r="E49" i="24"/>
  <c r="F49" i="24"/>
  <c r="G49" i="24"/>
  <c r="I49" i="24"/>
  <c r="L48" i="24"/>
  <c r="K48" i="24"/>
  <c r="J48" i="24"/>
  <c r="I48" i="24"/>
  <c r="U49" i="24"/>
  <c r="T49" i="24"/>
  <c r="S49" i="24"/>
  <c r="Q49" i="24"/>
  <c r="P49" i="24"/>
  <c r="O49" i="24"/>
  <c r="N49" i="24"/>
  <c r="L49" i="24"/>
  <c r="K49" i="24"/>
  <c r="J49" i="24"/>
  <c r="U48" i="24"/>
  <c r="T48" i="24"/>
  <c r="S48" i="24"/>
  <c r="Q48" i="24"/>
  <c r="P48" i="24"/>
  <c r="O48" i="24"/>
  <c r="N48" i="24"/>
  <c r="T119" i="24"/>
  <c r="T108" i="20" s="1"/>
  <c r="R119" i="24"/>
  <c r="M119" i="24"/>
  <c r="H119" i="24"/>
  <c r="H108" i="20" s="1"/>
  <c r="U112" i="24"/>
  <c r="U53" i="20" s="1"/>
  <c r="T112" i="24"/>
  <c r="T53" i="20" s="1"/>
  <c r="R112" i="24"/>
  <c r="R53" i="20" s="1"/>
  <c r="M112" i="24"/>
  <c r="M53" i="20" s="1"/>
  <c r="H112" i="24"/>
  <c r="H53" i="20" s="1"/>
  <c r="T107" i="24"/>
  <c r="T77" i="20" s="1"/>
  <c r="R107" i="24"/>
  <c r="R77" i="20" s="1"/>
  <c r="M107" i="24"/>
  <c r="M77" i="20" s="1"/>
  <c r="H107" i="24"/>
  <c r="H77" i="20" s="1"/>
  <c r="T106" i="24"/>
  <c r="T76" i="20" s="1"/>
  <c r="R106" i="24"/>
  <c r="R76" i="20" s="1"/>
  <c r="M106" i="24"/>
  <c r="M76" i="20" s="1"/>
  <c r="H106" i="24"/>
  <c r="H76" i="20" s="1"/>
  <c r="G100" i="24"/>
  <c r="G64" i="19" s="1"/>
  <c r="F100" i="24"/>
  <c r="F64" i="19" s="1"/>
  <c r="U95" i="24"/>
  <c r="V98" i="24" s="1"/>
  <c r="T95" i="24"/>
  <c r="S95" i="24"/>
  <c r="Q95" i="24"/>
  <c r="P95" i="24"/>
  <c r="O95" i="24"/>
  <c r="N95" i="24"/>
  <c r="L95" i="24"/>
  <c r="K95" i="24"/>
  <c r="K97" i="24" s="1"/>
  <c r="J95" i="24"/>
  <c r="I95" i="24"/>
  <c r="I98" i="24" s="1"/>
  <c r="E95" i="24"/>
  <c r="D95" i="24"/>
  <c r="U90" i="24"/>
  <c r="V93" i="24" s="1"/>
  <c r="T90" i="24"/>
  <c r="S90" i="24"/>
  <c r="Q90" i="24"/>
  <c r="P90" i="24"/>
  <c r="O90" i="24"/>
  <c r="N90" i="24"/>
  <c r="L90" i="24"/>
  <c r="L92" i="24" s="1"/>
  <c r="K90" i="24"/>
  <c r="K92" i="24" s="1"/>
  <c r="J90" i="24"/>
  <c r="I90" i="24"/>
  <c r="E90" i="24"/>
  <c r="D90" i="24"/>
  <c r="U85" i="24"/>
  <c r="T85" i="24"/>
  <c r="S85" i="24"/>
  <c r="Q85" i="24"/>
  <c r="P85" i="24"/>
  <c r="O85" i="24"/>
  <c r="N85" i="24"/>
  <c r="L85" i="24"/>
  <c r="L87" i="24" s="1"/>
  <c r="K85" i="24"/>
  <c r="J85" i="24"/>
  <c r="I85" i="24"/>
  <c r="E85" i="24"/>
  <c r="D85" i="24"/>
  <c r="G80" i="24"/>
  <c r="F80" i="24"/>
  <c r="E80" i="24"/>
  <c r="D80" i="24"/>
  <c r="P79" i="24"/>
  <c r="O79" i="24"/>
  <c r="L79" i="24"/>
  <c r="K79" i="24"/>
  <c r="G79" i="24"/>
  <c r="F79" i="24"/>
  <c r="E79" i="24"/>
  <c r="D79" i="24"/>
  <c r="G78" i="24"/>
  <c r="F78" i="24"/>
  <c r="D78" i="24"/>
  <c r="G74" i="24"/>
  <c r="G63" i="19" s="1"/>
  <c r="F74" i="24"/>
  <c r="F63" i="19" s="1"/>
  <c r="D74" i="24"/>
  <c r="D63" i="19" s="1"/>
  <c r="U69" i="24"/>
  <c r="U80" i="24" s="1"/>
  <c r="T69" i="24"/>
  <c r="S69" i="24"/>
  <c r="Q69" i="24"/>
  <c r="P69" i="24"/>
  <c r="P80" i="24" s="1"/>
  <c r="O69" i="24"/>
  <c r="N69" i="24"/>
  <c r="L69" i="24"/>
  <c r="L71" i="24" s="1"/>
  <c r="K69" i="24"/>
  <c r="K71" i="24" s="1"/>
  <c r="J69" i="24"/>
  <c r="J80" i="24" s="1"/>
  <c r="I69" i="24"/>
  <c r="I80" i="24" s="1"/>
  <c r="H69" i="24"/>
  <c r="U61" i="24"/>
  <c r="T61" i="24"/>
  <c r="S61" i="24"/>
  <c r="Q61" i="24"/>
  <c r="N61" i="24"/>
  <c r="J61" i="24"/>
  <c r="I61" i="24"/>
  <c r="H61" i="24"/>
  <c r="U57" i="24"/>
  <c r="U78" i="24" s="1"/>
  <c r="T57" i="24"/>
  <c r="S57" i="24"/>
  <c r="Q57" i="24"/>
  <c r="P57" i="24"/>
  <c r="O57" i="24"/>
  <c r="O65" i="24" s="1"/>
  <c r="N57" i="24"/>
  <c r="L57" i="24"/>
  <c r="K57" i="24"/>
  <c r="K65" i="24" s="1"/>
  <c r="J57" i="24"/>
  <c r="I57" i="24"/>
  <c r="I78" i="24" s="1"/>
  <c r="E57" i="24"/>
  <c r="U52" i="24"/>
  <c r="U16" i="20" s="1"/>
  <c r="U20" i="20" s="1"/>
  <c r="T52" i="24"/>
  <c r="T16" i="20" s="1"/>
  <c r="S52" i="24"/>
  <c r="S16" i="20" s="1"/>
  <c r="S20" i="20" s="1"/>
  <c r="G52" i="24"/>
  <c r="G16" i="20" s="1"/>
  <c r="F52" i="24"/>
  <c r="F16" i="20" s="1"/>
  <c r="E52" i="24"/>
  <c r="E16" i="20" s="1"/>
  <c r="D52" i="24"/>
  <c r="D16" i="20" s="1"/>
  <c r="V49" i="24"/>
  <c r="R47" i="24"/>
  <c r="M47" i="24"/>
  <c r="H47" i="24"/>
  <c r="R34" i="24"/>
  <c r="M34" i="24"/>
  <c r="H34" i="24"/>
  <c r="X33" i="24"/>
  <c r="R30" i="24"/>
  <c r="M30" i="24"/>
  <c r="H30" i="24"/>
  <c r="BU69" i="20" l="1"/>
  <c r="BU90" i="20" s="1"/>
  <c r="BO87" i="20"/>
  <c r="BQ61" i="20"/>
  <c r="BR67" i="20"/>
  <c r="BQ84" i="20"/>
  <c r="BP61" i="20"/>
  <c r="BP87" i="20" s="1"/>
  <c r="U22" i="20"/>
  <c r="S22" i="20"/>
  <c r="S23" i="20"/>
  <c r="Z22" i="20"/>
  <c r="BN88" i="20"/>
  <c r="BO63" i="20"/>
  <c r="L98" i="24"/>
  <c r="BH141" i="19"/>
  <c r="AY34" i="24"/>
  <c r="AW34" i="24"/>
  <c r="S79" i="24"/>
  <c r="S65" i="24"/>
  <c r="S66" i="24" s="1"/>
  <c r="T65" i="24"/>
  <c r="T66" i="24" s="1"/>
  <c r="K66" i="24"/>
  <c r="K67" i="24"/>
  <c r="U63" i="24"/>
  <c r="U65" i="24"/>
  <c r="U66" i="24" s="1"/>
  <c r="L78" i="24"/>
  <c r="L65" i="24"/>
  <c r="I64" i="24"/>
  <c r="I65" i="24"/>
  <c r="O66" i="24"/>
  <c r="J63" i="24"/>
  <c r="J65" i="24"/>
  <c r="O67" i="24" s="1"/>
  <c r="P78" i="24"/>
  <c r="P65" i="24"/>
  <c r="N79" i="24"/>
  <c r="N65" i="24"/>
  <c r="H57" i="24"/>
  <c r="H78" i="24" s="1"/>
  <c r="E65" i="24"/>
  <c r="E66" i="24" s="1"/>
  <c r="Q63" i="24"/>
  <c r="Q65" i="24"/>
  <c r="AM74" i="24"/>
  <c r="AN49" i="24"/>
  <c r="AR52" i="24"/>
  <c r="AR30" i="24"/>
  <c r="AO49" i="24"/>
  <c r="F21" i="27"/>
  <c r="F17" i="27" s="1"/>
  <c r="F42" i="24"/>
  <c r="F66" i="24"/>
  <c r="S42" i="24"/>
  <c r="T42" i="24"/>
  <c r="U42" i="24"/>
  <c r="G21" i="27"/>
  <c r="G17" i="27" s="1"/>
  <c r="G66" i="24"/>
  <c r="G42" i="24"/>
  <c r="D21" i="27"/>
  <c r="D17" i="27" s="1"/>
  <c r="D66" i="24"/>
  <c r="D42" i="24"/>
  <c r="E21" i="27"/>
  <c r="E17" i="27" s="1"/>
  <c r="E42" i="24"/>
  <c r="Q21" i="27"/>
  <c r="Q17" i="27" s="1"/>
  <c r="Q8" i="20"/>
  <c r="S21" i="27"/>
  <c r="S17" i="27" s="1"/>
  <c r="S8" i="20"/>
  <c r="T21" i="27"/>
  <c r="T17" i="27" s="1"/>
  <c r="Y18" i="27" s="1"/>
  <c r="T8" i="20"/>
  <c r="U21" i="27"/>
  <c r="U17" i="27" s="1"/>
  <c r="U8" i="20"/>
  <c r="I21" i="27"/>
  <c r="I17" i="27" s="1"/>
  <c r="I8" i="20"/>
  <c r="J21" i="27"/>
  <c r="J17" i="27" s="1"/>
  <c r="J8" i="20"/>
  <c r="K21" i="27"/>
  <c r="K17" i="27" s="1"/>
  <c r="K8" i="20"/>
  <c r="L21" i="27"/>
  <c r="L17" i="27" s="1"/>
  <c r="L8" i="20"/>
  <c r="N8" i="20"/>
  <c r="N21" i="27"/>
  <c r="N17" i="27" s="1"/>
  <c r="Y35" i="20"/>
  <c r="Y12" i="20"/>
  <c r="Y40" i="20"/>
  <c r="Y31" i="27"/>
  <c r="O8" i="20"/>
  <c r="O21" i="27"/>
  <c r="O17" i="27" s="1"/>
  <c r="Z19" i="27"/>
  <c r="P21" i="27"/>
  <c r="P17" i="27" s="1"/>
  <c r="P8" i="20"/>
  <c r="Z12" i="20"/>
  <c r="Z40" i="20"/>
  <c r="Z35" i="20"/>
  <c r="Z31" i="27"/>
  <c r="Z114" i="20"/>
  <c r="O60" i="24"/>
  <c r="T64" i="24"/>
  <c r="O88" i="24"/>
  <c r="N93" i="24"/>
  <c r="Z107" i="20"/>
  <c r="Q98" i="24"/>
  <c r="J60" i="24"/>
  <c r="K60" i="24"/>
  <c r="E88" i="24"/>
  <c r="T88" i="24"/>
  <c r="J97" i="24"/>
  <c r="T60" i="24"/>
  <c r="O97" i="24"/>
  <c r="AI72" i="24"/>
  <c r="AJ72" i="24"/>
  <c r="K88" i="24"/>
  <c r="P88" i="24"/>
  <c r="U88" i="24"/>
  <c r="V88" i="24"/>
  <c r="J93" i="24"/>
  <c r="O93" i="24"/>
  <c r="T93" i="24"/>
  <c r="N98" i="24"/>
  <c r="S98" i="24"/>
  <c r="Q59" i="24"/>
  <c r="Q87" i="24"/>
  <c r="P92" i="24"/>
  <c r="K64" i="24"/>
  <c r="Q78" i="24"/>
  <c r="J87" i="24"/>
  <c r="I92" i="24"/>
  <c r="J105" i="20"/>
  <c r="K105" i="20"/>
  <c r="L105" i="20"/>
  <c r="I105" i="20"/>
  <c r="R48" i="24"/>
  <c r="L60" i="24"/>
  <c r="U64" i="24"/>
  <c r="P87" i="24"/>
  <c r="T92" i="24"/>
  <c r="O71" i="24"/>
  <c r="T71" i="24"/>
  <c r="S92" i="24"/>
  <c r="O59" i="24"/>
  <c r="Q64" i="24"/>
  <c r="N97" i="24"/>
  <c r="F98" i="24"/>
  <c r="Q72" i="24"/>
  <c r="L88" i="24"/>
  <c r="P93" i="24"/>
  <c r="J98" i="24"/>
  <c r="T98" i="24"/>
  <c r="J59" i="24"/>
  <c r="T59" i="24"/>
  <c r="Q60" i="24"/>
  <c r="U92" i="24"/>
  <c r="S97" i="24"/>
  <c r="P59" i="24"/>
  <c r="L72" i="24"/>
  <c r="Q88" i="24"/>
  <c r="K93" i="24"/>
  <c r="O98" i="24"/>
  <c r="H79" i="24"/>
  <c r="N60" i="24"/>
  <c r="S59" i="24"/>
  <c r="N71" i="24"/>
  <c r="S71" i="24"/>
  <c r="I87" i="24"/>
  <c r="N87" i="24"/>
  <c r="S87" i="24"/>
  <c r="E93" i="24"/>
  <c r="Q92" i="24"/>
  <c r="I97" i="24"/>
  <c r="P97" i="24"/>
  <c r="U97" i="24"/>
  <c r="K59" i="24"/>
  <c r="U59" i="24"/>
  <c r="Q71" i="24"/>
  <c r="K87" i="24"/>
  <c r="U87" i="24"/>
  <c r="O92" i="24"/>
  <c r="T97" i="24"/>
  <c r="AA33" i="24"/>
  <c r="M36" i="24"/>
  <c r="J97" i="20"/>
  <c r="O97" i="20"/>
  <c r="T97" i="20"/>
  <c r="K97" i="20"/>
  <c r="P97" i="20"/>
  <c r="U97" i="20"/>
  <c r="L97" i="20"/>
  <c r="Q97" i="20"/>
  <c r="W90" i="24"/>
  <c r="X76" i="20"/>
  <c r="V76" i="20"/>
  <c r="I97" i="20"/>
  <c r="N97" i="20"/>
  <c r="S97" i="20"/>
  <c r="X77" i="20"/>
  <c r="V77" i="20"/>
  <c r="J72" i="24"/>
  <c r="N88" i="24"/>
  <c r="J92" i="24"/>
  <c r="Q93" i="24"/>
  <c r="P98" i="24"/>
  <c r="I60" i="24"/>
  <c r="S60" i="24"/>
  <c r="O63" i="24"/>
  <c r="T63" i="24"/>
  <c r="I71" i="24"/>
  <c r="P72" i="24"/>
  <c r="U72" i="24"/>
  <c r="J88" i="24"/>
  <c r="I93" i="24"/>
  <c r="S93" i="24"/>
  <c r="H85" i="24"/>
  <c r="W119" i="24"/>
  <c r="W108" i="20" s="1"/>
  <c r="I59" i="24"/>
  <c r="N59" i="24"/>
  <c r="F60" i="24"/>
  <c r="P60" i="24"/>
  <c r="U60" i="24"/>
  <c r="J64" i="24"/>
  <c r="O64" i="24"/>
  <c r="P71" i="24"/>
  <c r="U71" i="24"/>
  <c r="I72" i="24"/>
  <c r="N72" i="24"/>
  <c r="S72" i="24"/>
  <c r="O87" i="24"/>
  <c r="T87" i="24"/>
  <c r="N92" i="24"/>
  <c r="F93" i="24"/>
  <c r="U93" i="24"/>
  <c r="L97" i="24"/>
  <c r="Q97" i="24"/>
  <c r="E98" i="24"/>
  <c r="I63" i="24"/>
  <c r="N63" i="24"/>
  <c r="S63" i="24"/>
  <c r="O72" i="24"/>
  <c r="T72" i="24"/>
  <c r="I88" i="24"/>
  <c r="S88" i="24"/>
  <c r="L93" i="24"/>
  <c r="K98" i="24"/>
  <c r="U98" i="24"/>
  <c r="K72" i="24"/>
  <c r="L59" i="24"/>
  <c r="E60" i="24"/>
  <c r="N64" i="24"/>
  <c r="S64" i="24"/>
  <c r="J71" i="24"/>
  <c r="F88" i="24"/>
  <c r="T65" i="19"/>
  <c r="U53" i="24"/>
  <c r="Q53" i="24"/>
  <c r="R36" i="24"/>
  <c r="D70" i="24"/>
  <c r="D34" i="14"/>
  <c r="D21" i="6"/>
  <c r="D84" i="21"/>
  <c r="D62" i="19"/>
  <c r="I70" i="24"/>
  <c r="I34" i="14"/>
  <c r="I21" i="6"/>
  <c r="I84" i="21"/>
  <c r="I62" i="19"/>
  <c r="N35" i="24"/>
  <c r="N21" i="6"/>
  <c r="N34" i="14"/>
  <c r="N105" i="20"/>
  <c r="N84" i="21"/>
  <c r="N62" i="19"/>
  <c r="S91" i="24"/>
  <c r="S21" i="6"/>
  <c r="S34" i="14"/>
  <c r="S105" i="20"/>
  <c r="S84" i="21"/>
  <c r="S62" i="19"/>
  <c r="H65" i="19"/>
  <c r="V65" i="19"/>
  <c r="I53" i="24"/>
  <c r="I54" i="24"/>
  <c r="N54" i="24"/>
  <c r="S54" i="24"/>
  <c r="Y33" i="24"/>
  <c r="R32" i="24"/>
  <c r="E70" i="24"/>
  <c r="E34" i="14"/>
  <c r="E21" i="6"/>
  <c r="E84" i="21"/>
  <c r="E62" i="19"/>
  <c r="J35" i="24"/>
  <c r="J21" i="6"/>
  <c r="J34" i="14"/>
  <c r="J84" i="21"/>
  <c r="J62" i="19"/>
  <c r="O50" i="24"/>
  <c r="O21" i="6"/>
  <c r="O34" i="14"/>
  <c r="O105" i="20"/>
  <c r="O84" i="21"/>
  <c r="O62" i="19"/>
  <c r="T70" i="24"/>
  <c r="T105" i="20"/>
  <c r="Y106" i="20" s="1"/>
  <c r="T21" i="6"/>
  <c r="T34" i="14"/>
  <c r="T84" i="21"/>
  <c r="T62" i="19"/>
  <c r="M108" i="20"/>
  <c r="M65" i="19"/>
  <c r="J53" i="24"/>
  <c r="N53" i="24"/>
  <c r="E54" i="24"/>
  <c r="J54" i="24"/>
  <c r="O54" i="24"/>
  <c r="T54" i="24"/>
  <c r="F96" i="24"/>
  <c r="F21" i="6"/>
  <c r="F34" i="14"/>
  <c r="F84" i="21"/>
  <c r="F62" i="19"/>
  <c r="K50" i="24"/>
  <c r="K21" i="6"/>
  <c r="K34" i="14"/>
  <c r="K84" i="21"/>
  <c r="K62" i="19"/>
  <c r="P70" i="24"/>
  <c r="P105" i="20"/>
  <c r="P21" i="6"/>
  <c r="P34" i="14"/>
  <c r="P84" i="21"/>
  <c r="P62" i="19"/>
  <c r="U70" i="24"/>
  <c r="U34" i="14"/>
  <c r="U105" i="20"/>
  <c r="Z106" i="20" s="1"/>
  <c r="U21" i="6"/>
  <c r="U84" i="21"/>
  <c r="U62" i="19"/>
  <c r="R108" i="20"/>
  <c r="R65" i="19"/>
  <c r="K53" i="24"/>
  <c r="O53" i="24"/>
  <c r="S53" i="24"/>
  <c r="F54" i="24"/>
  <c r="K54" i="24"/>
  <c r="P54" i="24"/>
  <c r="U54" i="24"/>
  <c r="G70" i="24"/>
  <c r="G21" i="6"/>
  <c r="G34" i="14"/>
  <c r="G84" i="21"/>
  <c r="G62" i="19"/>
  <c r="L70" i="24"/>
  <c r="L21" i="6"/>
  <c r="L34" i="14"/>
  <c r="L84" i="21"/>
  <c r="L62" i="19"/>
  <c r="Q70" i="24"/>
  <c r="Q34" i="14"/>
  <c r="Q105" i="20"/>
  <c r="Q21" i="6"/>
  <c r="Q84" i="21"/>
  <c r="Q62" i="19"/>
  <c r="L53" i="24"/>
  <c r="P53" i="24"/>
  <c r="T53" i="24"/>
  <c r="G54" i="24"/>
  <c r="L54" i="24"/>
  <c r="Q54" i="24"/>
  <c r="V92" i="24"/>
  <c r="Z59" i="24"/>
  <c r="V63" i="24"/>
  <c r="V64" i="24"/>
  <c r="M48" i="24"/>
  <c r="T31" i="24"/>
  <c r="P31" i="24"/>
  <c r="L31" i="24"/>
  <c r="U35" i="24"/>
  <c r="Q35" i="24"/>
  <c r="I35" i="24"/>
  <c r="N50" i="24"/>
  <c r="J50" i="24"/>
  <c r="F31" i="24"/>
  <c r="F35" i="24"/>
  <c r="F50" i="24"/>
  <c r="Z33" i="24"/>
  <c r="F58" i="24"/>
  <c r="J58" i="24"/>
  <c r="N58" i="24"/>
  <c r="F62" i="24"/>
  <c r="J62" i="24"/>
  <c r="N62" i="24"/>
  <c r="F70" i="24"/>
  <c r="J70" i="24"/>
  <c r="N70" i="24"/>
  <c r="S31" i="24"/>
  <c r="O31" i="24"/>
  <c r="K31" i="24"/>
  <c r="T35" i="24"/>
  <c r="P35" i="24"/>
  <c r="L35" i="24"/>
  <c r="U50" i="24"/>
  <c r="Q50" i="24"/>
  <c r="I50" i="24"/>
  <c r="G31" i="24"/>
  <c r="G35" i="24"/>
  <c r="G50" i="24"/>
  <c r="V37" i="24"/>
  <c r="V33" i="24"/>
  <c r="G58" i="24"/>
  <c r="K58" i="24"/>
  <c r="O58" i="24"/>
  <c r="S58" i="24"/>
  <c r="G62" i="24"/>
  <c r="K62" i="24"/>
  <c r="O62" i="24"/>
  <c r="S62" i="24"/>
  <c r="K70" i="24"/>
  <c r="O70" i="24"/>
  <c r="S70" i="24"/>
  <c r="N31" i="24"/>
  <c r="J31" i="24"/>
  <c r="S35" i="24"/>
  <c r="O35" i="24"/>
  <c r="K35" i="24"/>
  <c r="T50" i="24"/>
  <c r="P50" i="24"/>
  <c r="L50" i="24"/>
  <c r="D31" i="24"/>
  <c r="D35" i="24"/>
  <c r="D50" i="24"/>
  <c r="M32" i="24"/>
  <c r="D58" i="24"/>
  <c r="L58" i="24"/>
  <c r="P58" i="24"/>
  <c r="T58" i="24"/>
  <c r="D62" i="24"/>
  <c r="L62" i="24"/>
  <c r="P62" i="24"/>
  <c r="T62" i="24"/>
  <c r="U31" i="24"/>
  <c r="Q31" i="24"/>
  <c r="I31" i="24"/>
  <c r="S50" i="24"/>
  <c r="E31" i="24"/>
  <c r="E35" i="24"/>
  <c r="E50" i="24"/>
  <c r="E58" i="24"/>
  <c r="I58" i="24"/>
  <c r="Q58" i="24"/>
  <c r="U58" i="24"/>
  <c r="E62" i="24"/>
  <c r="I62" i="24"/>
  <c r="Q62" i="24"/>
  <c r="U62" i="24"/>
  <c r="V87" i="24"/>
  <c r="I96" i="24"/>
  <c r="N74" i="24"/>
  <c r="N63" i="19" s="1"/>
  <c r="K100" i="24"/>
  <c r="K101" i="24" s="1"/>
  <c r="O91" i="24"/>
  <c r="T91" i="24"/>
  <c r="Q74" i="24"/>
  <c r="Q63" i="19" s="1"/>
  <c r="Q80" i="24"/>
  <c r="L91" i="24"/>
  <c r="R61" i="24"/>
  <c r="R79" i="24" s="1"/>
  <c r="N80" i="24"/>
  <c r="U74" i="24"/>
  <c r="U63" i="19" s="1"/>
  <c r="P100" i="24"/>
  <c r="J100" i="24"/>
  <c r="J101" i="24" s="1"/>
  <c r="O100" i="24"/>
  <c r="F86" i="24"/>
  <c r="T86" i="24"/>
  <c r="F101" i="24"/>
  <c r="H80" i="24"/>
  <c r="T96" i="24"/>
  <c r="F76" i="24"/>
  <c r="Y76" i="20"/>
  <c r="J74" i="24"/>
  <c r="J63" i="19" s="1"/>
  <c r="P74" i="24"/>
  <c r="P63" i="19" s="1"/>
  <c r="N78" i="24"/>
  <c r="I86" i="24"/>
  <c r="W30" i="24"/>
  <c r="O78" i="24"/>
  <c r="S78" i="24"/>
  <c r="Q79" i="24"/>
  <c r="U79" i="24"/>
  <c r="O80" i="24"/>
  <c r="O74" i="24"/>
  <c r="O63" i="19" s="1"/>
  <c r="S80" i="24"/>
  <c r="S74" i="24"/>
  <c r="S63" i="19" s="1"/>
  <c r="D76" i="24"/>
  <c r="J78" i="24"/>
  <c r="L80" i="24"/>
  <c r="E100" i="24"/>
  <c r="K86" i="24"/>
  <c r="E86" i="24"/>
  <c r="J86" i="24"/>
  <c r="P86" i="24"/>
  <c r="U86" i="24"/>
  <c r="H90" i="24"/>
  <c r="F91" i="24"/>
  <c r="K91" i="24"/>
  <c r="P91" i="24"/>
  <c r="R95" i="24"/>
  <c r="D100" i="24"/>
  <c r="D64" i="19" s="1"/>
  <c r="T100" i="24"/>
  <c r="T64" i="19" s="1"/>
  <c r="G96" i="24"/>
  <c r="G86" i="24"/>
  <c r="H52" i="24"/>
  <c r="H16" i="20" s="1"/>
  <c r="K78" i="24"/>
  <c r="I79" i="24"/>
  <c r="M61" i="24"/>
  <c r="K80" i="24"/>
  <c r="K74" i="24"/>
  <c r="K63" i="19" s="1"/>
  <c r="E74" i="24"/>
  <c r="I74" i="24"/>
  <c r="I63" i="19" s="1"/>
  <c r="T74" i="24"/>
  <c r="T63" i="19" s="1"/>
  <c r="L86" i="24"/>
  <c r="Q86" i="24"/>
  <c r="I91" i="24"/>
  <c r="M90" i="24"/>
  <c r="Q91" i="24"/>
  <c r="U91" i="24"/>
  <c r="G91" i="24"/>
  <c r="O96" i="24"/>
  <c r="S96" i="24"/>
  <c r="D96" i="24"/>
  <c r="N96" i="24"/>
  <c r="G76" i="24"/>
  <c r="T80" i="24"/>
  <c r="R85" i="24"/>
  <c r="R90" i="24"/>
  <c r="N91" i="24"/>
  <c r="K96" i="24"/>
  <c r="E96" i="24"/>
  <c r="J96" i="24"/>
  <c r="P96" i="24"/>
  <c r="U96" i="24"/>
  <c r="G101" i="24"/>
  <c r="L100" i="24"/>
  <c r="L64" i="19" s="1"/>
  <c r="W106" i="24"/>
  <c r="W76" i="20" s="1"/>
  <c r="AB30" i="24"/>
  <c r="V52" i="24"/>
  <c r="V16" i="20" s="1"/>
  <c r="V20" i="20" s="1"/>
  <c r="R57" i="24"/>
  <c r="R69" i="24"/>
  <c r="L74" i="24"/>
  <c r="E78" i="24"/>
  <c r="T78" i="24"/>
  <c r="J79" i="24"/>
  <c r="T79" i="24"/>
  <c r="O86" i="24"/>
  <c r="S86" i="24"/>
  <c r="D86" i="24"/>
  <c r="N86" i="24"/>
  <c r="D91" i="24"/>
  <c r="J91" i="24"/>
  <c r="H95" i="24"/>
  <c r="L96" i="24"/>
  <c r="Q96" i="24"/>
  <c r="N100" i="24"/>
  <c r="N64" i="19" s="1"/>
  <c r="S100" i="24"/>
  <c r="S64" i="19" s="1"/>
  <c r="W107" i="24"/>
  <c r="W77" i="20" s="1"/>
  <c r="M57" i="24"/>
  <c r="W61" i="24"/>
  <c r="M69" i="24"/>
  <c r="M85" i="24"/>
  <c r="E91" i="24"/>
  <c r="M95" i="24"/>
  <c r="I100" i="24"/>
  <c r="I64" i="19" s="1"/>
  <c r="Q100" i="24"/>
  <c r="Q64" i="19" s="1"/>
  <c r="U100" i="24"/>
  <c r="U64" i="19" s="1"/>
  <c r="BH143" i="19" l="1"/>
  <c r="BH144" i="19"/>
  <c r="BO88" i="20"/>
  <c r="BQ63" i="20"/>
  <c r="BS67" i="20"/>
  <c r="BR84" i="20"/>
  <c r="BR61" i="20"/>
  <c r="BQ87" i="20"/>
  <c r="AR16" i="20"/>
  <c r="AR20" i="20" s="1"/>
  <c r="AR13" i="24"/>
  <c r="AR14" i="24" s="1"/>
  <c r="V23" i="20"/>
  <c r="V22" i="20"/>
  <c r="BP63" i="20"/>
  <c r="BP88" i="20" s="1"/>
  <c r="BD34" i="24"/>
  <c r="BI141" i="19"/>
  <c r="BL18" i="19"/>
  <c r="BB34" i="24"/>
  <c r="AW52" i="24"/>
  <c r="L19" i="30" s="1"/>
  <c r="N19" i="30" s="1"/>
  <c r="O19" i="30" s="1"/>
  <c r="AW30" i="24"/>
  <c r="AO71" i="24"/>
  <c r="AR74" i="24"/>
  <c r="AT71" i="24"/>
  <c r="K68" i="24"/>
  <c r="U67" i="24"/>
  <c r="U68" i="24"/>
  <c r="Z67" i="24"/>
  <c r="V68" i="24"/>
  <c r="E68" i="24"/>
  <c r="H65" i="24"/>
  <c r="H66" i="24" s="1"/>
  <c r="F68" i="24"/>
  <c r="R65" i="24"/>
  <c r="N66" i="24"/>
  <c r="N67" i="24"/>
  <c r="N68" i="24"/>
  <c r="O68" i="24"/>
  <c r="I68" i="24"/>
  <c r="M65" i="24"/>
  <c r="I67" i="24"/>
  <c r="I66" i="24"/>
  <c r="P66" i="24"/>
  <c r="P68" i="24"/>
  <c r="P67" i="24"/>
  <c r="T68" i="24"/>
  <c r="T67" i="24"/>
  <c r="Y67" i="24"/>
  <c r="L68" i="24"/>
  <c r="L67" i="24"/>
  <c r="L66" i="24"/>
  <c r="S67" i="24"/>
  <c r="S68" i="24"/>
  <c r="W65" i="24"/>
  <c r="X67" i="24"/>
  <c r="Q68" i="24"/>
  <c r="Q66" i="24"/>
  <c r="Q67" i="24"/>
  <c r="V67" i="24"/>
  <c r="J67" i="24"/>
  <c r="J66" i="24"/>
  <c r="J68" i="24"/>
  <c r="AN74" i="24"/>
  <c r="AR50" i="24"/>
  <c r="AR21" i="6"/>
  <c r="AR71" i="24"/>
  <c r="AR70" i="24"/>
  <c r="AS49" i="24"/>
  <c r="AS52" i="24"/>
  <c r="AT49" i="24"/>
  <c r="AR42" i="24"/>
  <c r="AR8" i="20"/>
  <c r="AR31" i="27" s="1"/>
  <c r="AR34" i="14"/>
  <c r="AR97" i="20"/>
  <c r="AR21" i="27"/>
  <c r="AR62" i="19"/>
  <c r="AR84" i="21"/>
  <c r="AR105" i="20"/>
  <c r="AR35" i="24"/>
  <c r="AR62" i="24"/>
  <c r="AR32" i="24"/>
  <c r="AR31" i="24"/>
  <c r="AN71" i="24"/>
  <c r="AO72" i="24"/>
  <c r="G19" i="27"/>
  <c r="AN72" i="24"/>
  <c r="F19" i="27"/>
  <c r="W52" i="24"/>
  <c r="W16" i="20" s="1"/>
  <c r="V42" i="24"/>
  <c r="V66" i="24"/>
  <c r="E19" i="27"/>
  <c r="H42" i="24"/>
  <c r="Z30" i="20"/>
  <c r="Z28" i="20" s="1"/>
  <c r="Z27" i="20" s="1"/>
  <c r="I19" i="27"/>
  <c r="I18" i="27"/>
  <c r="N18" i="27"/>
  <c r="N19" i="27"/>
  <c r="P40" i="20"/>
  <c r="P31" i="27"/>
  <c r="P12" i="20"/>
  <c r="P35" i="20"/>
  <c r="N35" i="20"/>
  <c r="N40" i="20"/>
  <c r="N31" i="27"/>
  <c r="U12" i="20"/>
  <c r="Z13" i="20" s="1"/>
  <c r="U40" i="20"/>
  <c r="U31" i="27"/>
  <c r="U35" i="20"/>
  <c r="Z36" i="20" s="1"/>
  <c r="V8" i="20"/>
  <c r="V21" i="27"/>
  <c r="V17" i="27" s="1"/>
  <c r="P19" i="27"/>
  <c r="P18" i="27"/>
  <c r="U18" i="27"/>
  <c r="U19" i="27"/>
  <c r="I40" i="20"/>
  <c r="I12" i="20"/>
  <c r="I35" i="20"/>
  <c r="I31" i="27"/>
  <c r="Z18" i="27"/>
  <c r="L40" i="20"/>
  <c r="L31" i="27"/>
  <c r="L35" i="20"/>
  <c r="L12" i="20"/>
  <c r="T35" i="20"/>
  <c r="T12" i="20"/>
  <c r="T31" i="27"/>
  <c r="Y33" i="27" s="1"/>
  <c r="T40" i="20"/>
  <c r="M8" i="20"/>
  <c r="M21" i="27"/>
  <c r="M17" i="27" s="1"/>
  <c r="L18" i="27"/>
  <c r="L19" i="27"/>
  <c r="T18" i="27"/>
  <c r="T19" i="27"/>
  <c r="Z14" i="20"/>
  <c r="O19" i="27"/>
  <c r="O18" i="27"/>
  <c r="K35" i="20"/>
  <c r="K12" i="20"/>
  <c r="K31" i="27"/>
  <c r="K40" i="20"/>
  <c r="S40" i="20"/>
  <c r="S35" i="20"/>
  <c r="S31" i="27"/>
  <c r="H21" i="27"/>
  <c r="H17" i="27" s="1"/>
  <c r="H8" i="20"/>
  <c r="R21" i="27"/>
  <c r="R17" i="27" s="1"/>
  <c r="R8" i="20"/>
  <c r="O12" i="20"/>
  <c r="O40" i="20"/>
  <c r="O35" i="20"/>
  <c r="O31" i="27"/>
  <c r="K18" i="27"/>
  <c r="K19" i="27"/>
  <c r="S18" i="27"/>
  <c r="S19" i="27"/>
  <c r="Z34" i="27"/>
  <c r="J35" i="20"/>
  <c r="J12" i="20"/>
  <c r="J40" i="20"/>
  <c r="J31" i="27"/>
  <c r="Q35" i="20"/>
  <c r="Q40" i="20"/>
  <c r="Q12" i="20"/>
  <c r="Q31" i="27"/>
  <c r="Z37" i="20"/>
  <c r="Y30" i="20"/>
  <c r="J19" i="27"/>
  <c r="J18" i="27"/>
  <c r="Q18" i="27"/>
  <c r="Q19" i="27"/>
  <c r="W65" i="19"/>
  <c r="AH49" i="24"/>
  <c r="AH37" i="24"/>
  <c r="Z60" i="24"/>
  <c r="X59" i="24"/>
  <c r="V105" i="20"/>
  <c r="H105" i="20"/>
  <c r="Y77" i="20"/>
  <c r="M87" i="24"/>
  <c r="H100" i="24"/>
  <c r="H64" i="19" s="1"/>
  <c r="N76" i="24"/>
  <c r="N82" i="24" s="1"/>
  <c r="Q76" i="24"/>
  <c r="Q82" i="24" s="1"/>
  <c r="H97" i="20"/>
  <c r="V53" i="20"/>
  <c r="X53" i="20"/>
  <c r="M97" i="20"/>
  <c r="R97" i="20"/>
  <c r="V97" i="24"/>
  <c r="V97" i="20"/>
  <c r="I76" i="24"/>
  <c r="M97" i="24"/>
  <c r="O76" i="24"/>
  <c r="O82" i="24" s="1"/>
  <c r="W95" i="24"/>
  <c r="W97" i="24" s="1"/>
  <c r="U76" i="24"/>
  <c r="U82" i="24" s="1"/>
  <c r="W69" i="24"/>
  <c r="W80" i="24" s="1"/>
  <c r="Y92" i="24"/>
  <c r="R92" i="24"/>
  <c r="X92" i="24"/>
  <c r="L63" i="19"/>
  <c r="R21" i="6"/>
  <c r="R34" i="14"/>
  <c r="R105" i="20"/>
  <c r="R84" i="21"/>
  <c r="R62" i="19"/>
  <c r="R53" i="24"/>
  <c r="J64" i="19"/>
  <c r="V21" i="6"/>
  <c r="V34" i="14"/>
  <c r="V84" i="21"/>
  <c r="V62" i="19"/>
  <c r="V54" i="24"/>
  <c r="V53" i="24"/>
  <c r="H74" i="24"/>
  <c r="H63" i="19" s="1"/>
  <c r="E63" i="19"/>
  <c r="E64" i="19"/>
  <c r="P64" i="19"/>
  <c r="Y60" i="24"/>
  <c r="X65" i="19"/>
  <c r="M34" i="14"/>
  <c r="M105" i="20"/>
  <c r="M21" i="6"/>
  <c r="M84" i="21"/>
  <c r="M62" i="19"/>
  <c r="M53" i="24"/>
  <c r="H58" i="24"/>
  <c r="H21" i="6"/>
  <c r="H34" i="14"/>
  <c r="H84" i="21"/>
  <c r="H62" i="19"/>
  <c r="O101" i="24"/>
  <c r="O64" i="19"/>
  <c r="K64" i="19"/>
  <c r="M35" i="24"/>
  <c r="W36" i="24"/>
  <c r="AB32" i="24"/>
  <c r="R97" i="24"/>
  <c r="M58" i="24"/>
  <c r="M59" i="24"/>
  <c r="M92" i="24"/>
  <c r="M62" i="24"/>
  <c r="M63" i="24"/>
  <c r="W48" i="24"/>
  <c r="V60" i="24"/>
  <c r="V59" i="24"/>
  <c r="V58" i="24"/>
  <c r="H35" i="24"/>
  <c r="AA59" i="24"/>
  <c r="AA60" i="24"/>
  <c r="H31" i="24"/>
  <c r="M31" i="24"/>
  <c r="R31" i="24"/>
  <c r="V72" i="24"/>
  <c r="V70" i="24"/>
  <c r="V71" i="24"/>
  <c r="R50" i="24"/>
  <c r="H62" i="24"/>
  <c r="H70" i="24"/>
  <c r="M80" i="24"/>
  <c r="M70" i="24"/>
  <c r="M71" i="24"/>
  <c r="R87" i="24"/>
  <c r="W32" i="24"/>
  <c r="R63" i="24"/>
  <c r="R62" i="24"/>
  <c r="R35" i="24"/>
  <c r="V31" i="24"/>
  <c r="V50" i="24"/>
  <c r="H50" i="24"/>
  <c r="R70" i="24"/>
  <c r="R71" i="24"/>
  <c r="R59" i="24"/>
  <c r="R58" i="24"/>
  <c r="X60" i="24"/>
  <c r="V35" i="24"/>
  <c r="Y59" i="24"/>
  <c r="W92" i="24"/>
  <c r="V62" i="24"/>
  <c r="M50" i="24"/>
  <c r="Z92" i="24"/>
  <c r="W63" i="24"/>
  <c r="P101" i="24"/>
  <c r="F103" i="24"/>
  <c r="F82" i="24"/>
  <c r="M96" i="24"/>
  <c r="U101" i="24"/>
  <c r="W79" i="24"/>
  <c r="L101" i="24"/>
  <c r="T76" i="24"/>
  <c r="R96" i="24"/>
  <c r="H91" i="24"/>
  <c r="W57" i="24"/>
  <c r="W78" i="24" s="1"/>
  <c r="N101" i="24"/>
  <c r="M91" i="24"/>
  <c r="P76" i="24"/>
  <c r="Q101" i="24"/>
  <c r="M100" i="24"/>
  <c r="M64" i="19" s="1"/>
  <c r="M86" i="24"/>
  <c r="V74" i="24"/>
  <c r="R78" i="24"/>
  <c r="H86" i="24"/>
  <c r="W112" i="24"/>
  <c r="W53" i="20" s="1"/>
  <c r="K76" i="24"/>
  <c r="D103" i="24"/>
  <c r="D109" i="24" s="1"/>
  <c r="D82" i="24"/>
  <c r="S76" i="24"/>
  <c r="M79" i="24"/>
  <c r="Z76" i="20"/>
  <c r="R80" i="24"/>
  <c r="G103" i="24"/>
  <c r="G109" i="24" s="1"/>
  <c r="G82" i="24"/>
  <c r="D101" i="24"/>
  <c r="E101" i="24"/>
  <c r="I101" i="24"/>
  <c r="S101" i="24"/>
  <c r="H96" i="24"/>
  <c r="L76" i="24"/>
  <c r="M74" i="24"/>
  <c r="M63" i="19" s="1"/>
  <c r="R91" i="24"/>
  <c r="R100" i="24"/>
  <c r="R64" i="19" s="1"/>
  <c r="R86" i="24"/>
  <c r="M78" i="24"/>
  <c r="AB57" i="24"/>
  <c r="T101" i="24"/>
  <c r="R74" i="24"/>
  <c r="E76" i="24"/>
  <c r="J76" i="24"/>
  <c r="BI143" i="19" l="1"/>
  <c r="BI144" i="19"/>
  <c r="BS61" i="20"/>
  <c r="BR87" i="20"/>
  <c r="BT67" i="20"/>
  <c r="BT84" i="20" s="1"/>
  <c r="BS84" i="20"/>
  <c r="BR63" i="20"/>
  <c r="BQ88" i="20"/>
  <c r="BG34" i="24"/>
  <c r="AW16" i="20"/>
  <c r="AW20" i="20" s="1"/>
  <c r="AW22" i="20" s="1"/>
  <c r="AW13" i="24"/>
  <c r="AS16" i="20"/>
  <c r="AS13" i="24"/>
  <c r="BL47" i="24"/>
  <c r="BL141" i="19"/>
  <c r="BM18" i="19"/>
  <c r="AR134" i="27"/>
  <c r="AR135" i="27" s="1"/>
  <c r="AR144" i="27"/>
  <c r="AR146" i="27" s="1"/>
  <c r="BI34" i="24"/>
  <c r="BD71" i="24"/>
  <c r="AY71" i="24"/>
  <c r="BB52" i="24"/>
  <c r="L23" i="30" s="1"/>
  <c r="N23" i="30" s="1"/>
  <c r="O23" i="30" s="1"/>
  <c r="AW65" i="24"/>
  <c r="BJ141" i="19"/>
  <c r="BK18" i="19"/>
  <c r="BK141" i="19" s="1"/>
  <c r="BK143" i="19" s="1"/>
  <c r="AW71" i="24"/>
  <c r="BG52" i="24"/>
  <c r="L27" i="30" s="1"/>
  <c r="BB30" i="24"/>
  <c r="AR93" i="19"/>
  <c r="AR84" i="19"/>
  <c r="AR72" i="19"/>
  <c r="AS12" i="14"/>
  <c r="AS62" i="19"/>
  <c r="AR28" i="14"/>
  <c r="AR27" i="14"/>
  <c r="AW97" i="20"/>
  <c r="AX49" i="24"/>
  <c r="AY49" i="24"/>
  <c r="AR76" i="24"/>
  <c r="AW84" i="21"/>
  <c r="AW85" i="21" s="1"/>
  <c r="AW53" i="24"/>
  <c r="AW62" i="19"/>
  <c r="AW35" i="24"/>
  <c r="AW62" i="24"/>
  <c r="AW105" i="20"/>
  <c r="AW93" i="21" s="1"/>
  <c r="AW42" i="24"/>
  <c r="AW50" i="24"/>
  <c r="AW21" i="6"/>
  <c r="AW70" i="24"/>
  <c r="AW8" i="20"/>
  <c r="AW31" i="27" s="1"/>
  <c r="AW33" i="27" s="1"/>
  <c r="AW34" i="14"/>
  <c r="AW10" i="14" s="1"/>
  <c r="AW21" i="27"/>
  <c r="AW31" i="24"/>
  <c r="AW32" i="24"/>
  <c r="AS74" i="24"/>
  <c r="AS63" i="19" s="1"/>
  <c r="R67" i="24"/>
  <c r="R66" i="24"/>
  <c r="M66" i="24"/>
  <c r="M67" i="24"/>
  <c r="W67" i="24"/>
  <c r="AB67" i="24"/>
  <c r="AS50" i="24"/>
  <c r="AS21" i="6"/>
  <c r="AS21" i="27"/>
  <c r="AS105" i="20"/>
  <c r="AS8" i="20"/>
  <c r="AS31" i="27" s="1"/>
  <c r="AS34" i="27" s="1"/>
  <c r="AS97" i="20"/>
  <c r="AS34" i="14"/>
  <c r="AS84" i="21"/>
  <c r="AS42" i="24"/>
  <c r="AS54" i="24"/>
  <c r="AT72" i="24"/>
  <c r="AS72" i="24"/>
  <c r="AS71" i="24"/>
  <c r="AS70" i="24"/>
  <c r="AR35" i="20"/>
  <c r="AR40" i="20"/>
  <c r="AR66" i="24"/>
  <c r="AR58" i="24"/>
  <c r="Z39" i="20"/>
  <c r="Z31" i="20"/>
  <c r="Z32" i="20"/>
  <c r="W42" i="24"/>
  <c r="W66" i="24"/>
  <c r="S30" i="20"/>
  <c r="J30" i="20"/>
  <c r="J39" i="20" s="1"/>
  <c r="Q30" i="20"/>
  <c r="Q39" i="20" s="1"/>
  <c r="K30" i="20"/>
  <c r="K32" i="20" s="1"/>
  <c r="L30" i="20"/>
  <c r="L28" i="20" s="1"/>
  <c r="L27" i="20" s="1"/>
  <c r="T30" i="20"/>
  <c r="T31" i="20" s="1"/>
  <c r="N30" i="20"/>
  <c r="N39" i="20" s="1"/>
  <c r="J34" i="27"/>
  <c r="J37" i="20"/>
  <c r="O13" i="20"/>
  <c r="K14" i="20"/>
  <c r="I30" i="20"/>
  <c r="I28" i="20" s="1"/>
  <c r="I27" i="20" s="1"/>
  <c r="U14" i="20"/>
  <c r="U13" i="20"/>
  <c r="Y31" i="20"/>
  <c r="Y32" i="20"/>
  <c r="K37" i="20"/>
  <c r="M40" i="20"/>
  <c r="M35" i="20"/>
  <c r="M31" i="27"/>
  <c r="J14" i="20"/>
  <c r="N33" i="27"/>
  <c r="N34" i="27"/>
  <c r="K34" i="27"/>
  <c r="T33" i="27"/>
  <c r="T34" i="27"/>
  <c r="U33" i="27"/>
  <c r="U34" i="27"/>
  <c r="Z33" i="27"/>
  <c r="H35" i="20"/>
  <c r="H12" i="20"/>
  <c r="H40" i="20"/>
  <c r="H31" i="27"/>
  <c r="T13" i="20"/>
  <c r="S36" i="20"/>
  <c r="N36" i="20"/>
  <c r="N37" i="20"/>
  <c r="O30" i="20"/>
  <c r="Q34" i="27"/>
  <c r="Q33" i="27"/>
  <c r="M18" i="27"/>
  <c r="Y13" i="20"/>
  <c r="T37" i="20"/>
  <c r="T36" i="20"/>
  <c r="P37" i="20"/>
  <c r="P36" i="20"/>
  <c r="O37" i="20"/>
  <c r="O36" i="20"/>
  <c r="W21" i="27"/>
  <c r="W17" i="27" s="1"/>
  <c r="W18" i="27" s="1"/>
  <c r="W8" i="20"/>
  <c r="R18" i="27"/>
  <c r="Q13" i="20"/>
  <c r="Q14" i="20"/>
  <c r="S33" i="27"/>
  <c r="S34" i="27"/>
  <c r="Y28" i="20"/>
  <c r="Y27" i="20" s="1"/>
  <c r="L14" i="20"/>
  <c r="P14" i="20"/>
  <c r="P13" i="20"/>
  <c r="Y39" i="20"/>
  <c r="L37" i="20"/>
  <c r="V18" i="27"/>
  <c r="V19" i="27"/>
  <c r="P34" i="27"/>
  <c r="P33" i="27"/>
  <c r="Y36" i="20"/>
  <c r="U30" i="20"/>
  <c r="U39" i="20" s="1"/>
  <c r="R40" i="20"/>
  <c r="R35" i="20"/>
  <c r="R31" i="27"/>
  <c r="Q37" i="20"/>
  <c r="Q36" i="20"/>
  <c r="S37" i="20"/>
  <c r="L34" i="27"/>
  <c r="V35" i="20"/>
  <c r="V36" i="20" s="1"/>
  <c r="V12" i="20"/>
  <c r="V40" i="20"/>
  <c r="V31" i="27"/>
  <c r="P30" i="20"/>
  <c r="P39" i="20" s="1"/>
  <c r="O33" i="27"/>
  <c r="O34" i="27"/>
  <c r="U36" i="20"/>
  <c r="U37" i="20"/>
  <c r="F109" i="24"/>
  <c r="F113" i="24" s="1"/>
  <c r="AL47" i="24"/>
  <c r="Q103" i="24"/>
  <c r="Q109" i="24" s="1"/>
  <c r="H101" i="24"/>
  <c r="Y97" i="24"/>
  <c r="I82" i="24"/>
  <c r="I103" i="24"/>
  <c r="I104" i="24" s="1"/>
  <c r="W105" i="20"/>
  <c r="V107" i="20"/>
  <c r="V114" i="20"/>
  <c r="V106" i="20"/>
  <c r="V93" i="19"/>
  <c r="V72" i="19"/>
  <c r="V84" i="19"/>
  <c r="N103" i="24"/>
  <c r="H76" i="24"/>
  <c r="H82" i="24" s="1"/>
  <c r="O103" i="24"/>
  <c r="O104" i="24" s="1"/>
  <c r="X87" i="24"/>
  <c r="W97" i="20"/>
  <c r="X97" i="24"/>
  <c r="U103" i="24"/>
  <c r="F104" i="24"/>
  <c r="W71" i="24"/>
  <c r="R76" i="24"/>
  <c r="R63" i="19"/>
  <c r="W21" i="6"/>
  <c r="W34" i="14"/>
  <c r="W84" i="21"/>
  <c r="W62" i="19"/>
  <c r="W53" i="24"/>
  <c r="V76" i="24"/>
  <c r="V63" i="19"/>
  <c r="Y65" i="19"/>
  <c r="W62" i="24"/>
  <c r="W31" i="24"/>
  <c r="W50" i="24"/>
  <c r="W70" i="24"/>
  <c r="W35" i="24"/>
  <c r="AB78" i="24"/>
  <c r="W59" i="24"/>
  <c r="W58" i="24"/>
  <c r="AB59" i="24"/>
  <c r="S103" i="24"/>
  <c r="S109" i="24" s="1"/>
  <c r="S82" i="24"/>
  <c r="D104" i="24"/>
  <c r="M76" i="24"/>
  <c r="V96" i="24"/>
  <c r="W74" i="24"/>
  <c r="K103" i="24"/>
  <c r="K109" i="24" s="1"/>
  <c r="K82" i="24"/>
  <c r="V91" i="24"/>
  <c r="M101" i="24"/>
  <c r="R101" i="24"/>
  <c r="L103" i="24"/>
  <c r="L109" i="24" s="1"/>
  <c r="L82" i="24"/>
  <c r="T103" i="24"/>
  <c r="T109" i="24" s="1"/>
  <c r="T82" i="24"/>
  <c r="J103" i="24"/>
  <c r="J109" i="24" s="1"/>
  <c r="J82" i="24"/>
  <c r="E103" i="24"/>
  <c r="E82" i="24"/>
  <c r="P103" i="24"/>
  <c r="P82" i="24"/>
  <c r="Y53" i="20"/>
  <c r="G104" i="24"/>
  <c r="V100" i="24"/>
  <c r="V86" i="24"/>
  <c r="W85" i="24"/>
  <c r="X100" i="24"/>
  <c r="BJ143" i="19" l="1"/>
  <c r="BJ144" i="19"/>
  <c r="BU67" i="20"/>
  <c r="BU84" i="20" s="1"/>
  <c r="BN47" i="24"/>
  <c r="BS47" i="24" s="1"/>
  <c r="N27" i="30"/>
  <c r="BR88" i="20"/>
  <c r="BS63" i="20"/>
  <c r="BT61" i="20"/>
  <c r="BT87" i="20" s="1"/>
  <c r="BS87" i="20"/>
  <c r="BL69" i="24"/>
  <c r="BL74" i="24" s="1"/>
  <c r="BQ47" i="24"/>
  <c r="BS69" i="24"/>
  <c r="BG13" i="24"/>
  <c r="BG34" i="14"/>
  <c r="BL52" i="24"/>
  <c r="BB16" i="20"/>
  <c r="BB20" i="20" s="1"/>
  <c r="BB22" i="20" s="1"/>
  <c r="BB13" i="24"/>
  <c r="AS14" i="24"/>
  <c r="AS6" i="24"/>
  <c r="AS7" i="24" s="1"/>
  <c r="AW14" i="24"/>
  <c r="AW6" i="24"/>
  <c r="AW7" i="24" s="1"/>
  <c r="BG16" i="20"/>
  <c r="AS134" i="27"/>
  <c r="AS135" i="27" s="1"/>
  <c r="AS144" i="27"/>
  <c r="AS146" i="27" s="1"/>
  <c r="BM141" i="19"/>
  <c r="BN18" i="19"/>
  <c r="AW144" i="27"/>
  <c r="AW146" i="27" s="1"/>
  <c r="AW134" i="27"/>
  <c r="AW135" i="27" s="1"/>
  <c r="BL143" i="19"/>
  <c r="BN34" i="24"/>
  <c r="BS34" i="24" s="1"/>
  <c r="BG30" i="24"/>
  <c r="BG31" i="24" s="1"/>
  <c r="BL34" i="24"/>
  <c r="BQ34" i="24" s="1"/>
  <c r="BB8" i="20"/>
  <c r="BB31" i="27" s="1"/>
  <c r="BB105" i="20"/>
  <c r="BB106" i="20" s="1"/>
  <c r="BB62" i="19"/>
  <c r="BB34" i="14"/>
  <c r="BB50" i="24"/>
  <c r="BC49" i="24"/>
  <c r="BB70" i="24"/>
  <c r="BB84" i="21"/>
  <c r="BB85" i="21" s="1"/>
  <c r="BB97" i="20"/>
  <c r="BB21" i="27"/>
  <c r="BB144" i="27" s="1"/>
  <c r="BB146" i="27" s="1"/>
  <c r="BB21" i="6"/>
  <c r="BB42" i="24"/>
  <c r="BB35" i="24"/>
  <c r="BB53" i="24"/>
  <c r="BB32" i="24"/>
  <c r="BD49" i="24"/>
  <c r="BB71" i="24"/>
  <c r="BB31" i="24"/>
  <c r="AX72" i="24"/>
  <c r="AW27" i="14"/>
  <c r="AW28" i="14"/>
  <c r="AW93" i="19"/>
  <c r="AW72" i="19"/>
  <c r="AW84" i="19"/>
  <c r="BG50" i="24"/>
  <c r="BG53" i="24"/>
  <c r="BG35" i="24"/>
  <c r="BG71" i="24"/>
  <c r="BG70" i="24"/>
  <c r="BG42" i="24"/>
  <c r="BG84" i="21"/>
  <c r="BG97" i="20"/>
  <c r="BG8" i="20"/>
  <c r="BG62" i="19"/>
  <c r="BG21" i="6"/>
  <c r="BG21" i="27"/>
  <c r="BG105" i="20"/>
  <c r="AX71" i="24"/>
  <c r="AS28" i="14"/>
  <c r="AS27" i="14"/>
  <c r="AS93" i="19"/>
  <c r="AS57" i="19"/>
  <c r="AS75" i="19" s="1"/>
  <c r="AS84" i="19"/>
  <c r="AS72" i="19"/>
  <c r="AY72" i="24"/>
  <c r="AW40" i="20"/>
  <c r="AW35" i="20"/>
  <c r="AW36" i="20" s="1"/>
  <c r="AW106" i="20"/>
  <c r="AS58" i="19"/>
  <c r="AS104" i="19" s="1"/>
  <c r="AS101" i="19"/>
  <c r="AW16" i="14"/>
  <c r="AW72" i="21"/>
  <c r="AW114" i="20"/>
  <c r="AW112" i="20"/>
  <c r="AW86" i="20"/>
  <c r="AW51" i="20"/>
  <c r="AR30" i="20"/>
  <c r="AR32" i="20" s="1"/>
  <c r="AP52" i="24"/>
  <c r="AP16" i="20" s="1"/>
  <c r="AP20" i="20" s="1"/>
  <c r="AR114" i="20"/>
  <c r="AR51" i="20"/>
  <c r="AR86" i="20"/>
  <c r="AW57" i="19"/>
  <c r="AW75" i="19" s="1"/>
  <c r="AW15" i="14"/>
  <c r="AS86" i="21"/>
  <c r="AR49" i="24"/>
  <c r="AS40" i="20"/>
  <c r="AS35" i="20"/>
  <c r="AR57" i="19"/>
  <c r="AR75" i="19" s="1"/>
  <c r="AS72" i="21"/>
  <c r="AR37" i="21"/>
  <c r="AS107" i="20"/>
  <c r="AR12" i="14"/>
  <c r="AU34" i="24"/>
  <c r="AR37" i="24"/>
  <c r="AR63" i="19"/>
  <c r="K28" i="20"/>
  <c r="K27" i="20" s="1"/>
  <c r="J28" i="20"/>
  <c r="J27" i="20" s="1"/>
  <c r="V30" i="20"/>
  <c r="V39" i="20" s="1"/>
  <c r="K31" i="20"/>
  <c r="T32" i="20"/>
  <c r="S39" i="20"/>
  <c r="K39" i="20"/>
  <c r="S32" i="20"/>
  <c r="J32" i="20"/>
  <c r="J31" i="20"/>
  <c r="Q32" i="20"/>
  <c r="Q28" i="20"/>
  <c r="Q27" i="20" s="1"/>
  <c r="T28" i="20"/>
  <c r="T27" i="20" s="1"/>
  <c r="Q31" i="20"/>
  <c r="T39" i="20"/>
  <c r="L32" i="20"/>
  <c r="N32" i="20"/>
  <c r="P28" i="20"/>
  <c r="P27" i="20" s="1"/>
  <c r="L31" i="20"/>
  <c r="M33" i="27"/>
  <c r="L39" i="20"/>
  <c r="I39" i="20"/>
  <c r="R30" i="20"/>
  <c r="U32" i="20"/>
  <c r="U31" i="20"/>
  <c r="V37" i="20"/>
  <c r="V34" i="27"/>
  <c r="V33" i="27"/>
  <c r="V14" i="20"/>
  <c r="V13" i="20"/>
  <c r="U28" i="20"/>
  <c r="U27" i="20" s="1"/>
  <c r="M36" i="20"/>
  <c r="R33" i="27"/>
  <c r="W40" i="20"/>
  <c r="W35" i="20"/>
  <c r="W31" i="27"/>
  <c r="W33" i="27" s="1"/>
  <c r="M30" i="20"/>
  <c r="M39" i="20" s="1"/>
  <c r="O31" i="20"/>
  <c r="O32" i="20"/>
  <c r="R36" i="20"/>
  <c r="H30" i="20"/>
  <c r="H39" i="20" s="1"/>
  <c r="O28" i="20"/>
  <c r="O27" i="20" s="1"/>
  <c r="O39" i="20"/>
  <c r="I31" i="20"/>
  <c r="I32" i="20"/>
  <c r="P32" i="20"/>
  <c r="P31" i="20"/>
  <c r="H103" i="24"/>
  <c r="H109" i="24" s="1"/>
  <c r="E109" i="24"/>
  <c r="AP49" i="24"/>
  <c r="AQ47" i="24"/>
  <c r="Q104" i="24"/>
  <c r="U109" i="24"/>
  <c r="U115" i="24" s="1"/>
  <c r="U50" i="20" s="1"/>
  <c r="O109" i="24"/>
  <c r="I109" i="24"/>
  <c r="N109" i="24"/>
  <c r="N115" i="24" s="1"/>
  <c r="N50" i="20" s="1"/>
  <c r="P109" i="24"/>
  <c r="Z77" i="20"/>
  <c r="N104" i="24"/>
  <c r="Y100" i="24"/>
  <c r="X64" i="19"/>
  <c r="F110" i="24"/>
  <c r="F115" i="24"/>
  <c r="V101" i="19"/>
  <c r="W106" i="20"/>
  <c r="W107" i="20"/>
  <c r="W93" i="19"/>
  <c r="V82" i="24"/>
  <c r="AA77" i="20"/>
  <c r="Z97" i="24"/>
  <c r="U104" i="24"/>
  <c r="R82" i="24"/>
  <c r="AB106" i="24"/>
  <c r="AB76" i="20" s="1"/>
  <c r="AA76" i="20"/>
  <c r="Z65" i="19"/>
  <c r="W76" i="24"/>
  <c r="W63" i="19"/>
  <c r="V103" i="24"/>
  <c r="V109" i="24" s="1"/>
  <c r="V64" i="19"/>
  <c r="V107" i="19" s="1"/>
  <c r="M103" i="24"/>
  <c r="W87" i="24"/>
  <c r="T104" i="24"/>
  <c r="L104" i="24"/>
  <c r="W91" i="24"/>
  <c r="D115" i="24"/>
  <c r="D110" i="24"/>
  <c r="D113" i="24"/>
  <c r="V101" i="24"/>
  <c r="M82" i="24"/>
  <c r="K104" i="24"/>
  <c r="Q113" i="24"/>
  <c r="Q110" i="24"/>
  <c r="Q115" i="24"/>
  <c r="Q50" i="20" s="1"/>
  <c r="S104" i="24"/>
  <c r="W86" i="24"/>
  <c r="W100" i="24"/>
  <c r="W64" i="19" s="1"/>
  <c r="G115" i="24"/>
  <c r="G113" i="24"/>
  <c r="G110" i="24"/>
  <c r="P104" i="24"/>
  <c r="E104" i="24"/>
  <c r="J104" i="24"/>
  <c r="R103" i="24"/>
  <c r="R109" i="24" s="1"/>
  <c r="W96" i="24"/>
  <c r="AC76" i="20"/>
  <c r="BN69" i="24" l="1"/>
  <c r="BN71" i="24" s="1"/>
  <c r="O27" i="30"/>
  <c r="BU61" i="20"/>
  <c r="BU87" i="20" s="1"/>
  <c r="BT63" i="20"/>
  <c r="BT88" i="20" s="1"/>
  <c r="BS88" i="20"/>
  <c r="BL71" i="24"/>
  <c r="BQ69" i="24"/>
  <c r="BQ52" i="24"/>
  <c r="BQ21" i="6" s="1"/>
  <c r="BQ30" i="24"/>
  <c r="BL21" i="6"/>
  <c r="BL42" i="24"/>
  <c r="BL62" i="19"/>
  <c r="BL83" i="19" s="1"/>
  <c r="BL53" i="24"/>
  <c r="BL70" i="24"/>
  <c r="BL21" i="27"/>
  <c r="BL134" i="27" s="1"/>
  <c r="BL135" i="27" s="1"/>
  <c r="BL84" i="21"/>
  <c r="BL85" i="21" s="1"/>
  <c r="BL66" i="24"/>
  <c r="BL8" i="20"/>
  <c r="BL40" i="20" s="1"/>
  <c r="BG14" i="24"/>
  <c r="BG6" i="24"/>
  <c r="BG7" i="24" s="1"/>
  <c r="BL97" i="20"/>
  <c r="BL105" i="20"/>
  <c r="BL111" i="20" s="1"/>
  <c r="BL50" i="24"/>
  <c r="BL16" i="20"/>
  <c r="BG28" i="14"/>
  <c r="BG27" i="14"/>
  <c r="BG35" i="14"/>
  <c r="BG93" i="19"/>
  <c r="BG84" i="19"/>
  <c r="BG72" i="19"/>
  <c r="BB14" i="24"/>
  <c r="BB6" i="24"/>
  <c r="BB7" i="24" s="1"/>
  <c r="AR23" i="20"/>
  <c r="BB35" i="20"/>
  <c r="BB36" i="20" s="1"/>
  <c r="BG144" i="27"/>
  <c r="BG146" i="27" s="1"/>
  <c r="BG134" i="27"/>
  <c r="BG135" i="27" s="1"/>
  <c r="BB40" i="20"/>
  <c r="BB93" i="19"/>
  <c r="BB84" i="19"/>
  <c r="BN141" i="19"/>
  <c r="BO18" i="19"/>
  <c r="BQ18" i="19" s="1"/>
  <c r="AS139" i="27"/>
  <c r="BM143" i="19"/>
  <c r="AW138" i="27"/>
  <c r="BB27" i="14"/>
  <c r="BB28" i="14"/>
  <c r="BB147" i="27"/>
  <c r="AW147" i="27"/>
  <c r="AS148" i="27"/>
  <c r="BL63" i="19"/>
  <c r="BM47" i="24"/>
  <c r="BR47" i="24" s="1"/>
  <c r="BL76" i="24"/>
  <c r="BG32" i="24"/>
  <c r="BL30" i="24"/>
  <c r="BL35" i="24"/>
  <c r="BC72" i="24"/>
  <c r="BB134" i="27"/>
  <c r="BB135" i="27" s="1"/>
  <c r="BB138" i="27" s="1"/>
  <c r="BD72" i="24"/>
  <c r="BH49" i="24"/>
  <c r="BB16" i="14"/>
  <c r="BC71" i="24"/>
  <c r="BG85" i="21"/>
  <c r="BB51" i="20"/>
  <c r="BB114" i="20"/>
  <c r="BB112" i="20"/>
  <c r="BB86" i="20"/>
  <c r="BG86" i="20"/>
  <c r="BG51" i="20"/>
  <c r="BG93" i="21"/>
  <c r="BG114" i="20"/>
  <c r="BG35" i="20"/>
  <c r="BG40" i="20"/>
  <c r="BG31" i="27"/>
  <c r="BG33" i="27" s="1"/>
  <c r="BG106" i="20"/>
  <c r="BB15" i="14"/>
  <c r="BB93" i="21"/>
  <c r="BG112" i="20"/>
  <c r="AP62" i="19"/>
  <c r="AP93" i="19" s="1"/>
  <c r="AP84" i="21"/>
  <c r="AW30" i="20"/>
  <c r="AW39" i="20" s="1"/>
  <c r="AW12" i="14"/>
  <c r="AW35" i="14" s="1"/>
  <c r="AR101" i="19"/>
  <c r="AW37" i="21"/>
  <c r="BB33" i="27"/>
  <c r="BB71" i="19"/>
  <c r="BB57" i="19"/>
  <c r="BB75" i="19" s="1"/>
  <c r="AR39" i="20"/>
  <c r="AS30" i="20"/>
  <c r="AS32" i="20" s="1"/>
  <c r="AZ34" i="24"/>
  <c r="AW37" i="24"/>
  <c r="AW49" i="24"/>
  <c r="AS22" i="14"/>
  <c r="AS37" i="20"/>
  <c r="AS21" i="14"/>
  <c r="AR35" i="14"/>
  <c r="AR30" i="14"/>
  <c r="AS37" i="21"/>
  <c r="AS114" i="20"/>
  <c r="AS86" i="20"/>
  <c r="AS51" i="20"/>
  <c r="AS113" i="20"/>
  <c r="AU49" i="24"/>
  <c r="AU52" i="24"/>
  <c r="AV47" i="24"/>
  <c r="AR33" i="24"/>
  <c r="AP63" i="24"/>
  <c r="AR82" i="24"/>
  <c r="AU37" i="24"/>
  <c r="AU30" i="24"/>
  <c r="V28" i="20"/>
  <c r="V27" i="20" s="1"/>
  <c r="V31" i="20"/>
  <c r="V32" i="20"/>
  <c r="R39" i="20"/>
  <c r="H104" i="24"/>
  <c r="AP64" i="24"/>
  <c r="R32" i="20"/>
  <c r="W30" i="20"/>
  <c r="M32" i="20"/>
  <c r="H32" i="20"/>
  <c r="H31" i="20"/>
  <c r="W36" i="20"/>
  <c r="H28" i="20"/>
  <c r="H27" i="20" s="1"/>
  <c r="AQ48" i="24"/>
  <c r="AB95" i="24"/>
  <c r="AB97" i="24" s="1"/>
  <c r="I113" i="24"/>
  <c r="AA97" i="24"/>
  <c r="Z100" i="24"/>
  <c r="M104" i="24"/>
  <c r="M109" i="24"/>
  <c r="M115" i="24" s="1"/>
  <c r="M50" i="20" s="1"/>
  <c r="Y64" i="19"/>
  <c r="U110" i="24"/>
  <c r="O113" i="24"/>
  <c r="F117" i="24"/>
  <c r="F23" i="6" s="1"/>
  <c r="I115" i="24"/>
  <c r="I50" i="20" s="1"/>
  <c r="I110" i="24"/>
  <c r="N110" i="24"/>
  <c r="N113" i="24"/>
  <c r="O110" i="24"/>
  <c r="O115" i="24"/>
  <c r="O50" i="20" s="1"/>
  <c r="V78" i="19"/>
  <c r="AB107" i="24"/>
  <c r="AB77" i="20" s="1"/>
  <c r="AC77" i="20"/>
  <c r="Z87" i="24"/>
  <c r="AB85" i="24"/>
  <c r="U113" i="24"/>
  <c r="Z53" i="20"/>
  <c r="W82" i="24"/>
  <c r="V104" i="24"/>
  <c r="W103" i="24"/>
  <c r="AA65" i="19"/>
  <c r="AB119" i="24"/>
  <c r="AB108" i="20" s="1"/>
  <c r="J115" i="24"/>
  <c r="J110" i="24"/>
  <c r="J113" i="24"/>
  <c r="D117" i="24"/>
  <c r="D23" i="6" s="1"/>
  <c r="W101" i="24"/>
  <c r="P115" i="24"/>
  <c r="P50" i="20" s="1"/>
  <c r="P110" i="24"/>
  <c r="P113" i="24"/>
  <c r="G117" i="24"/>
  <c r="S115" i="24"/>
  <c r="S50" i="20" s="1"/>
  <c r="S113" i="24"/>
  <c r="S110" i="24"/>
  <c r="K115" i="24"/>
  <c r="K50" i="20" s="1"/>
  <c r="K110" i="24"/>
  <c r="K113" i="24"/>
  <c r="L113" i="24"/>
  <c r="L115" i="24"/>
  <c r="L110" i="24"/>
  <c r="U117" i="24"/>
  <c r="U23" i="6" s="1"/>
  <c r="AD76" i="20"/>
  <c r="E113" i="24"/>
  <c r="E110" i="24"/>
  <c r="E115" i="24"/>
  <c r="R104" i="24"/>
  <c r="Q117" i="24"/>
  <c r="Q23" i="6" s="1"/>
  <c r="N117" i="24"/>
  <c r="N23" i="6" s="1"/>
  <c r="T115" i="24"/>
  <c r="T110" i="24"/>
  <c r="T113" i="24"/>
  <c r="H115" i="24"/>
  <c r="H50" i="20" s="1"/>
  <c r="H110" i="24"/>
  <c r="H113" i="24"/>
  <c r="BS71" i="24" l="1"/>
  <c r="BU63" i="20"/>
  <c r="BU88" i="20" s="1"/>
  <c r="BQ141" i="19"/>
  <c r="BR18" i="19"/>
  <c r="BL9" i="19"/>
  <c r="BL71" i="19" s="1"/>
  <c r="BQ50" i="24"/>
  <c r="BQ62" i="19"/>
  <c r="BQ21" i="27"/>
  <c r="BQ105" i="20"/>
  <c r="BQ97" i="20"/>
  <c r="BQ16" i="20"/>
  <c r="BQ8" i="20"/>
  <c r="BQ84" i="21"/>
  <c r="BQ31" i="24"/>
  <c r="BQ32" i="24"/>
  <c r="BQ42" i="24"/>
  <c r="BQ66" i="24"/>
  <c r="BQ71" i="24"/>
  <c r="BQ74" i="24"/>
  <c r="BQ70" i="24"/>
  <c r="BQ53" i="24"/>
  <c r="BR49" i="24"/>
  <c r="BR69" i="24"/>
  <c r="BS49" i="24"/>
  <c r="BQ35" i="24"/>
  <c r="BL144" i="27"/>
  <c r="BL146" i="27" s="1"/>
  <c r="BL147" i="27" s="1"/>
  <c r="BL31" i="27"/>
  <c r="BL33" i="27" s="1"/>
  <c r="BL35" i="20"/>
  <c r="BL36" i="20" s="1"/>
  <c r="BL106" i="20"/>
  <c r="BD74" i="19"/>
  <c r="BG73" i="19"/>
  <c r="AU16" i="20"/>
  <c r="AU20" i="20" s="1"/>
  <c r="AU22" i="20" s="1"/>
  <c r="AU13" i="24"/>
  <c r="BB30" i="20"/>
  <c r="BB32" i="20" s="1"/>
  <c r="BL138" i="27"/>
  <c r="BG138" i="27"/>
  <c r="BG147" i="27"/>
  <c r="BP18" i="19"/>
  <c r="BP141" i="19" s="1"/>
  <c r="BO141" i="19"/>
  <c r="BN143" i="19"/>
  <c r="BL86" i="20"/>
  <c r="BL93" i="21"/>
  <c r="BL10" i="21"/>
  <c r="BL51" i="20"/>
  <c r="BL114" i="20"/>
  <c r="BL112" i="20"/>
  <c r="BL30" i="21"/>
  <c r="BL28" i="19"/>
  <c r="BM49" i="24"/>
  <c r="BM69" i="24"/>
  <c r="BN49" i="24"/>
  <c r="BL82" i="24"/>
  <c r="BL32" i="24"/>
  <c r="BL31" i="24"/>
  <c r="BH72" i="24"/>
  <c r="BH71" i="24"/>
  <c r="BB37" i="21"/>
  <c r="BB12" i="14"/>
  <c r="BG57" i="19"/>
  <c r="BG75" i="19" s="1"/>
  <c r="BG72" i="21"/>
  <c r="BG37" i="21"/>
  <c r="BG36" i="20"/>
  <c r="BG30" i="20"/>
  <c r="BB72" i="19"/>
  <c r="AU62" i="19"/>
  <c r="AW30" i="14"/>
  <c r="AW32" i="20"/>
  <c r="AW18" i="14"/>
  <c r="BB73" i="19"/>
  <c r="AS39" i="20"/>
  <c r="BB49" i="24"/>
  <c r="BE34" i="24"/>
  <c r="D17" i="17" s="1"/>
  <c r="BB37" i="24"/>
  <c r="AZ37" i="24"/>
  <c r="AZ30" i="24"/>
  <c r="AZ49" i="24"/>
  <c r="AZ52" i="24"/>
  <c r="L22" i="30" s="1"/>
  <c r="N22" i="30" s="1"/>
  <c r="O22" i="30" s="1"/>
  <c r="BA47" i="24"/>
  <c r="BA48" i="24" s="1"/>
  <c r="AW33" i="24"/>
  <c r="AW54" i="24"/>
  <c r="AU35" i="24"/>
  <c r="AU50" i="24"/>
  <c r="AU21" i="6"/>
  <c r="AV48" i="24"/>
  <c r="AU42" i="24"/>
  <c r="AU97" i="20"/>
  <c r="AU21" i="27"/>
  <c r="AU105" i="20"/>
  <c r="AU84" i="21"/>
  <c r="AU34" i="14"/>
  <c r="AU8" i="20"/>
  <c r="AU31" i="27" s="1"/>
  <c r="AS30" i="14"/>
  <c r="AS35" i="14"/>
  <c r="AS24" i="14"/>
  <c r="AU31" i="24"/>
  <c r="AU32" i="24"/>
  <c r="AU62" i="24"/>
  <c r="AR58" i="19"/>
  <c r="AR104" i="19" s="1"/>
  <c r="W32" i="20"/>
  <c r="W39" i="20"/>
  <c r="AC97" i="24"/>
  <c r="I117" i="24"/>
  <c r="I23" i="6" s="1"/>
  <c r="O117" i="24"/>
  <c r="O23" i="6" s="1"/>
  <c r="AD97" i="24"/>
  <c r="W109" i="24"/>
  <c r="W115" i="24" s="1"/>
  <c r="W50" i="20" s="1"/>
  <c r="Z64" i="19"/>
  <c r="T50" i="20"/>
  <c r="L50" i="20"/>
  <c r="J50" i="20"/>
  <c r="AD77" i="20"/>
  <c r="AA87" i="24"/>
  <c r="AB87" i="24"/>
  <c r="AA53" i="20"/>
  <c r="M110" i="24"/>
  <c r="V113" i="24"/>
  <c r="V110" i="24"/>
  <c r="V115" i="24"/>
  <c r="W104" i="24"/>
  <c r="M113" i="24"/>
  <c r="AC65" i="19"/>
  <c r="G23" i="6"/>
  <c r="AB65" i="19"/>
  <c r="L117" i="24"/>
  <c r="S117" i="24"/>
  <c r="S23" i="6" s="1"/>
  <c r="T117" i="24"/>
  <c r="R113" i="24"/>
  <c r="R115" i="24"/>
  <c r="R50" i="20" s="1"/>
  <c r="R110" i="24"/>
  <c r="P117" i="24"/>
  <c r="H117" i="24"/>
  <c r="H23" i="6" s="1"/>
  <c r="E117" i="24"/>
  <c r="E23" i="6" s="1"/>
  <c r="K117" i="24"/>
  <c r="K23" i="6" s="1"/>
  <c r="AE76" i="20"/>
  <c r="M117" i="24"/>
  <c r="M23" i="6" s="1"/>
  <c r="J117" i="24"/>
  <c r="AB112" i="24"/>
  <c r="AB53" i="20" s="1"/>
  <c r="BL57" i="19" l="1"/>
  <c r="BS18" i="19"/>
  <c r="BR141" i="19"/>
  <c r="BQ143" i="19"/>
  <c r="BQ76" i="24"/>
  <c r="BQ82" i="24" s="1"/>
  <c r="BQ63" i="19"/>
  <c r="BQ85" i="21"/>
  <c r="BQ40" i="20"/>
  <c r="BQ31" i="27"/>
  <c r="BQ35" i="20"/>
  <c r="BQ106" i="20"/>
  <c r="BQ111" i="20"/>
  <c r="BQ134" i="27"/>
  <c r="BQ135" i="27" s="1"/>
  <c r="BQ144" i="27"/>
  <c r="BQ146" i="27" s="1"/>
  <c r="BQ9" i="19"/>
  <c r="BQ83" i="19"/>
  <c r="BR72" i="24"/>
  <c r="BR71" i="24"/>
  <c r="BS72" i="24"/>
  <c r="BB18" i="14"/>
  <c r="BG18" i="14"/>
  <c r="BL30" i="20"/>
  <c r="BL32" i="20" s="1"/>
  <c r="AW23" i="20"/>
  <c r="AZ16" i="20"/>
  <c r="AZ20" i="20" s="1"/>
  <c r="AZ22" i="20" s="1"/>
  <c r="AZ13" i="24"/>
  <c r="AU14" i="24"/>
  <c r="AU6" i="24"/>
  <c r="AU7" i="24" s="1"/>
  <c r="BB39" i="20"/>
  <c r="BO143" i="19"/>
  <c r="BP143" i="19"/>
  <c r="BL72" i="21"/>
  <c r="BL37" i="21"/>
  <c r="AU134" i="27"/>
  <c r="AU135" i="27" s="1"/>
  <c r="AU144" i="27"/>
  <c r="AU146" i="27" s="1"/>
  <c r="BL73" i="19"/>
  <c r="BL72" i="19"/>
  <c r="BL58" i="19"/>
  <c r="BL100" i="19"/>
  <c r="BM72" i="24"/>
  <c r="BM71" i="24"/>
  <c r="BN72" i="24"/>
  <c r="BB35" i="14"/>
  <c r="BB30" i="14"/>
  <c r="AZ84" i="21"/>
  <c r="BG39" i="20"/>
  <c r="G21" i="17"/>
  <c r="BG49" i="24"/>
  <c r="BG32" i="20"/>
  <c r="BJ34" i="24"/>
  <c r="G17" i="17" s="1"/>
  <c r="BG37" i="24"/>
  <c r="AU9" i="14"/>
  <c r="AU28" i="14"/>
  <c r="AV28" i="14" s="1"/>
  <c r="AU93" i="19"/>
  <c r="AU72" i="19"/>
  <c r="BE49" i="24"/>
  <c r="D24" i="17" s="1"/>
  <c r="BE52" i="24"/>
  <c r="BF47" i="24"/>
  <c r="BB72" i="24"/>
  <c r="BB54" i="24"/>
  <c r="BB33" i="24"/>
  <c r="BE37" i="24"/>
  <c r="D20" i="17" s="1"/>
  <c r="BE30" i="24"/>
  <c r="AW34" i="27"/>
  <c r="AZ50" i="24"/>
  <c r="AZ21" i="6"/>
  <c r="AZ32" i="24"/>
  <c r="AZ53" i="24"/>
  <c r="AZ35" i="24"/>
  <c r="AZ34" i="14"/>
  <c r="AZ97" i="20"/>
  <c r="AZ62" i="24"/>
  <c r="AZ8" i="20"/>
  <c r="AZ31" i="27" s="1"/>
  <c r="AZ62" i="19"/>
  <c r="AZ31" i="24"/>
  <c r="AZ105" i="20"/>
  <c r="AZ42" i="24"/>
  <c r="AZ21" i="27"/>
  <c r="AZ72" i="24"/>
  <c r="AZ70" i="24"/>
  <c r="BA69" i="24"/>
  <c r="BA80" i="24" s="1"/>
  <c r="AW107" i="20"/>
  <c r="AW86" i="21"/>
  <c r="AU40" i="20"/>
  <c r="AU35" i="20"/>
  <c r="AE77" i="20"/>
  <c r="V50" i="20"/>
  <c r="AC87" i="24"/>
  <c r="AC53" i="20"/>
  <c r="W110" i="24"/>
  <c r="V117" i="24"/>
  <c r="W113" i="24"/>
  <c r="J23" i="6"/>
  <c r="L23" i="6"/>
  <c r="P23" i="6"/>
  <c r="T23" i="6"/>
  <c r="AD65" i="19"/>
  <c r="W117" i="24"/>
  <c r="R117" i="24"/>
  <c r="L26" i="30" l="1"/>
  <c r="D26" i="17"/>
  <c r="BL39" i="20"/>
  <c r="BR143" i="19"/>
  <c r="BT18" i="19"/>
  <c r="BS141" i="19"/>
  <c r="BQ138" i="27"/>
  <c r="BQ33" i="27"/>
  <c r="BQ30" i="20"/>
  <c r="BQ36" i="20"/>
  <c r="BQ10" i="21"/>
  <c r="BQ51" i="20"/>
  <c r="BQ93" i="21"/>
  <c r="BQ114" i="20"/>
  <c r="BQ86" i="20"/>
  <c r="BQ112" i="20"/>
  <c r="BQ30" i="21"/>
  <c r="BQ28" i="19"/>
  <c r="BQ147" i="27"/>
  <c r="BQ57" i="19"/>
  <c r="BQ71" i="19"/>
  <c r="BB23" i="20"/>
  <c r="BE76" i="24"/>
  <c r="BE13" i="24"/>
  <c r="AZ14" i="24"/>
  <c r="AZ6" i="24"/>
  <c r="AZ7" i="24" s="1"/>
  <c r="BE16" i="20"/>
  <c r="AZ93" i="19"/>
  <c r="AZ84" i="19"/>
  <c r="AZ72" i="19"/>
  <c r="AZ28" i="14"/>
  <c r="BA28" i="14" s="1"/>
  <c r="AZ27" i="14"/>
  <c r="BA27" i="14" s="1"/>
  <c r="AW148" i="27"/>
  <c r="AW139" i="27"/>
  <c r="BL101" i="19"/>
  <c r="BO47" i="24"/>
  <c r="BL49" i="24"/>
  <c r="BO34" i="24"/>
  <c r="BL37" i="24"/>
  <c r="AZ134" i="27"/>
  <c r="AZ135" i="27" s="1"/>
  <c r="AZ144" i="27"/>
  <c r="AZ146" i="27" s="1"/>
  <c r="BG72" i="24"/>
  <c r="BJ49" i="24"/>
  <c r="G24" i="17" s="1"/>
  <c r="G40" i="17"/>
  <c r="BJ52" i="24"/>
  <c r="BK47" i="24"/>
  <c r="BG54" i="24"/>
  <c r="BJ30" i="24"/>
  <c r="BJ37" i="24"/>
  <c r="G20" i="17" s="1"/>
  <c r="BG33" i="24"/>
  <c r="AU27" i="14"/>
  <c r="AV27" i="14" s="1"/>
  <c r="AU12" i="14"/>
  <c r="BE50" i="24"/>
  <c r="D22" i="17" s="1"/>
  <c r="AU93" i="21"/>
  <c r="BF48" i="24"/>
  <c r="BE35" i="24"/>
  <c r="D18" i="17" s="1"/>
  <c r="BE53" i="24"/>
  <c r="BE71" i="24"/>
  <c r="D42" i="17" s="1"/>
  <c r="BE72" i="24"/>
  <c r="D43" i="17" s="1"/>
  <c r="BE70" i="24"/>
  <c r="D41" i="17" s="1"/>
  <c r="BF69" i="24"/>
  <c r="BF80" i="24" s="1"/>
  <c r="BE34" i="14"/>
  <c r="BE42" i="24"/>
  <c r="BE21" i="6"/>
  <c r="BE97" i="20"/>
  <c r="BE84" i="21"/>
  <c r="BE62" i="19"/>
  <c r="BE84" i="19" s="1"/>
  <c r="BE21" i="27"/>
  <c r="BE105" i="20"/>
  <c r="BE8" i="20"/>
  <c r="AZ85" i="21"/>
  <c r="BB86" i="21"/>
  <c r="BB107" i="20"/>
  <c r="BE31" i="24"/>
  <c r="D14" i="17" s="1"/>
  <c r="BE32" i="24"/>
  <c r="D15" i="17" s="1"/>
  <c r="BB34" i="27"/>
  <c r="AU30" i="20"/>
  <c r="AU39" i="20" s="1"/>
  <c r="AZ33" i="27"/>
  <c r="AZ106" i="20"/>
  <c r="AU86" i="20"/>
  <c r="AU114" i="20"/>
  <c r="AU51" i="20"/>
  <c r="AZ72" i="21"/>
  <c r="AZ40" i="20"/>
  <c r="AZ35" i="20"/>
  <c r="AW37" i="20"/>
  <c r="AW22" i="14"/>
  <c r="AW113" i="20"/>
  <c r="AU57" i="19"/>
  <c r="AU75" i="19" s="1"/>
  <c r="AV9" i="19"/>
  <c r="AE97" i="24"/>
  <c r="W23" i="6"/>
  <c r="AD87" i="24"/>
  <c r="AD53" i="20"/>
  <c r="V23" i="6"/>
  <c r="R23" i="6"/>
  <c r="AE65" i="19"/>
  <c r="AG106" i="24"/>
  <c r="AG76" i="20" s="1"/>
  <c r="BJ16" i="20" l="1"/>
  <c r="G26" i="17"/>
  <c r="L30" i="30"/>
  <c r="N30" i="30" s="1"/>
  <c r="O30" i="30" s="1"/>
  <c r="D28" i="17"/>
  <c r="E17" i="30"/>
  <c r="N26" i="30"/>
  <c r="E16" i="30"/>
  <c r="BS143" i="19"/>
  <c r="BT141" i="19"/>
  <c r="BU18" i="19"/>
  <c r="BU141" i="19" s="1"/>
  <c r="BQ32" i="20"/>
  <c r="BQ100" i="19"/>
  <c r="BQ58" i="19"/>
  <c r="BQ73" i="19"/>
  <c r="BQ72" i="19"/>
  <c r="BQ72" i="21"/>
  <c r="BQ37" i="21"/>
  <c r="BQ39" i="20"/>
  <c r="BT47" i="24"/>
  <c r="BQ49" i="24"/>
  <c r="BT34" i="24"/>
  <c r="BQ37" i="24"/>
  <c r="BE14" i="24"/>
  <c r="BE6" i="24"/>
  <c r="BE7" i="24" s="1"/>
  <c r="BE10" i="14"/>
  <c r="BE27" i="14"/>
  <c r="BF27" i="14" s="1"/>
  <c r="BE93" i="19"/>
  <c r="BE72" i="19"/>
  <c r="BE134" i="27"/>
  <c r="BE135" i="27" s="1"/>
  <c r="BE144" i="27"/>
  <c r="BE146" i="27" s="1"/>
  <c r="BL72" i="24"/>
  <c r="BO69" i="24"/>
  <c r="BQ72" i="24" s="1"/>
  <c r="BO49" i="24"/>
  <c r="BO52" i="24"/>
  <c r="BP47" i="24"/>
  <c r="BL54" i="24"/>
  <c r="BL33" i="24"/>
  <c r="BO30" i="24"/>
  <c r="BO37" i="24"/>
  <c r="AZ138" i="27"/>
  <c r="BB139" i="27"/>
  <c r="BB148" i="27"/>
  <c r="AZ147" i="27"/>
  <c r="BJ42" i="24"/>
  <c r="BJ97" i="20"/>
  <c r="BJ21" i="6"/>
  <c r="BJ8" i="20"/>
  <c r="BJ21" i="27"/>
  <c r="BJ105" i="20"/>
  <c r="BJ84" i="21"/>
  <c r="BJ62" i="19"/>
  <c r="BJ93" i="19" s="1"/>
  <c r="BJ34" i="14"/>
  <c r="BJ71" i="24"/>
  <c r="G42" i="17" s="1"/>
  <c r="BJ72" i="24"/>
  <c r="G43" i="17" s="1"/>
  <c r="BJ70" i="24"/>
  <c r="G41" i="17" s="1"/>
  <c r="BK69" i="24"/>
  <c r="BK80" i="24" s="1"/>
  <c r="BJ53" i="24"/>
  <c r="G28" i="17" s="1"/>
  <c r="BK48" i="24"/>
  <c r="BJ35" i="24"/>
  <c r="G18" i="17" s="1"/>
  <c r="BJ50" i="24"/>
  <c r="G22" i="17" s="1"/>
  <c r="BE85" i="21"/>
  <c r="BG86" i="21"/>
  <c r="BE86" i="20"/>
  <c r="BG107" i="20"/>
  <c r="BJ32" i="24"/>
  <c r="G15" i="17" s="1"/>
  <c r="BJ31" i="24"/>
  <c r="G14" i="17" s="1"/>
  <c r="AZ112" i="20"/>
  <c r="AZ93" i="21"/>
  <c r="AZ114" i="20"/>
  <c r="BE106" i="20"/>
  <c r="BE72" i="21"/>
  <c r="BF71" i="24"/>
  <c r="BE35" i="20"/>
  <c r="BE40" i="20"/>
  <c r="BE31" i="27"/>
  <c r="BB21" i="14"/>
  <c r="AZ16" i="14"/>
  <c r="BB22" i="14"/>
  <c r="BB113" i="20"/>
  <c r="AZ51" i="20"/>
  <c r="BB37" i="20"/>
  <c r="AZ86" i="20"/>
  <c r="AU32" i="20"/>
  <c r="AZ30" i="20"/>
  <c r="AZ36" i="20"/>
  <c r="AZ37" i="21"/>
  <c r="AZ12" i="14"/>
  <c r="AZ57" i="19"/>
  <c r="AZ75" i="19" s="1"/>
  <c r="BA9" i="19"/>
  <c r="AV71" i="19"/>
  <c r="AX74" i="19" s="1"/>
  <c r="AG95" i="24"/>
  <c r="AF97" i="24"/>
  <c r="AH76" i="20"/>
  <c r="AG107" i="24"/>
  <c r="AG77" i="20" s="1"/>
  <c r="AE87" i="24"/>
  <c r="AE53" i="20"/>
  <c r="AF65" i="19"/>
  <c r="O26" i="30" l="1"/>
  <c r="E20" i="30"/>
  <c r="I16" i="30"/>
  <c r="I17" i="30"/>
  <c r="BU143" i="19"/>
  <c r="BT143" i="19"/>
  <c r="BQ101" i="19"/>
  <c r="BQ102" i="19"/>
  <c r="BT69" i="24"/>
  <c r="BT49" i="24"/>
  <c r="BT52" i="24"/>
  <c r="BT21" i="6" s="1"/>
  <c r="BU47" i="24"/>
  <c r="BU48" i="24" s="1"/>
  <c r="BT37" i="24"/>
  <c r="BT30" i="24"/>
  <c r="BT32" i="24" s="1"/>
  <c r="BQ33" i="24"/>
  <c r="BO16" i="20"/>
  <c r="BQ54" i="24"/>
  <c r="BE28" i="14"/>
  <c r="BF28" i="14" s="1"/>
  <c r="BE16" i="14"/>
  <c r="BG22" i="14"/>
  <c r="BJ144" i="27"/>
  <c r="BJ146" i="27" s="1"/>
  <c r="BJ134" i="27"/>
  <c r="BJ135" i="27" s="1"/>
  <c r="BE147" i="27"/>
  <c r="BG148" i="27"/>
  <c r="BO53" i="24"/>
  <c r="BO21" i="6"/>
  <c r="BE138" i="27"/>
  <c r="BG139" i="27"/>
  <c r="BO35" i="24"/>
  <c r="BL113" i="20"/>
  <c r="BL107" i="20"/>
  <c r="BJ85" i="21"/>
  <c r="BL86" i="21"/>
  <c r="BO50" i="24"/>
  <c r="BO105" i="20"/>
  <c r="BQ107" i="20" s="1"/>
  <c r="BO8" i="20"/>
  <c r="BO97" i="20"/>
  <c r="BO84" i="21"/>
  <c r="BQ86" i="21" s="1"/>
  <c r="BO21" i="27"/>
  <c r="BO62" i="19"/>
  <c r="BO71" i="24"/>
  <c r="BO74" i="24"/>
  <c r="BO76" i="24" s="1"/>
  <c r="BO70" i="24"/>
  <c r="BO72" i="24"/>
  <c r="BP69" i="24"/>
  <c r="BP80" i="24" s="1"/>
  <c r="BP48" i="24"/>
  <c r="BO42" i="24"/>
  <c r="BO66" i="24"/>
  <c r="BO31" i="24"/>
  <c r="BO32" i="24"/>
  <c r="BE112" i="20"/>
  <c r="BE114" i="20"/>
  <c r="BL17" i="21"/>
  <c r="BJ9" i="14"/>
  <c r="BJ10" i="14"/>
  <c r="BJ106" i="20"/>
  <c r="BK71" i="24"/>
  <c r="BJ35" i="20"/>
  <c r="BL37" i="20" s="1"/>
  <c r="BJ40" i="20"/>
  <c r="BJ31" i="27"/>
  <c r="BE33" i="27"/>
  <c r="BG34" i="27"/>
  <c r="BE93" i="21"/>
  <c r="BG113" i="20"/>
  <c r="BG37" i="20"/>
  <c r="BE51" i="20"/>
  <c r="BE30" i="20"/>
  <c r="BE32" i="20" s="1"/>
  <c r="BE12" i="14"/>
  <c r="BE37" i="21"/>
  <c r="BF9" i="19"/>
  <c r="BE57" i="19"/>
  <c r="BE75" i="19" s="1"/>
  <c r="BE36" i="20"/>
  <c r="BA71" i="19"/>
  <c r="BB74" i="19"/>
  <c r="BB24" i="14"/>
  <c r="AZ32" i="20"/>
  <c r="AZ39" i="20"/>
  <c r="AZ35" i="14"/>
  <c r="AZ30" i="14"/>
  <c r="AH97" i="24"/>
  <c r="AJ97" i="24"/>
  <c r="AG97" i="24"/>
  <c r="AH77" i="20"/>
  <c r="AI76" i="20"/>
  <c r="AG85" i="24"/>
  <c r="AF87" i="24"/>
  <c r="AG65" i="19"/>
  <c r="E21" i="30" l="1"/>
  <c r="BT50" i="24"/>
  <c r="BT8" i="20"/>
  <c r="BT84" i="21"/>
  <c r="BT97" i="20"/>
  <c r="BT16" i="20"/>
  <c r="BT105" i="20"/>
  <c r="BT62" i="19"/>
  <c r="BT21" i="27"/>
  <c r="BT35" i="24"/>
  <c r="BT31" i="24"/>
  <c r="BT53" i="24"/>
  <c r="BT42" i="24"/>
  <c r="BT66" i="24"/>
  <c r="BT71" i="24"/>
  <c r="BT72" i="24"/>
  <c r="BT74" i="24"/>
  <c r="BT70" i="24"/>
  <c r="BU69" i="24"/>
  <c r="BG24" i="14"/>
  <c r="BE18" i="14"/>
  <c r="BJ16" i="14"/>
  <c r="BJ15" i="14"/>
  <c r="BA73" i="19"/>
  <c r="BC74" i="19"/>
  <c r="BO144" i="27"/>
  <c r="BO146" i="27" s="1"/>
  <c r="BQ148" i="27" s="1"/>
  <c r="BO134" i="27"/>
  <c r="BO135" i="27" s="1"/>
  <c r="BQ139" i="27" s="1"/>
  <c r="BJ138" i="27"/>
  <c r="BL139" i="27"/>
  <c r="BJ147" i="27"/>
  <c r="BL148" i="27"/>
  <c r="BJ86" i="20"/>
  <c r="BJ112" i="20"/>
  <c r="BJ51" i="20"/>
  <c r="BJ93" i="21"/>
  <c r="BJ114" i="20"/>
  <c r="BJ33" i="27"/>
  <c r="BL34" i="27"/>
  <c r="BO35" i="20"/>
  <c r="BQ37" i="20" s="1"/>
  <c r="BO40" i="20"/>
  <c r="BO31" i="27"/>
  <c r="BQ34" i="27" s="1"/>
  <c r="BO111" i="20"/>
  <c r="BQ113" i="20" s="1"/>
  <c r="BO106" i="20"/>
  <c r="BO83" i="19"/>
  <c r="BO30" i="21" s="1"/>
  <c r="BO9" i="19"/>
  <c r="BQ17" i="21" s="1"/>
  <c r="BO85" i="21"/>
  <c r="BO63" i="19"/>
  <c r="BO82" i="24"/>
  <c r="BP71" i="24"/>
  <c r="BJ12" i="14"/>
  <c r="BJ30" i="20"/>
  <c r="BJ39" i="20" s="1"/>
  <c r="BJ57" i="19"/>
  <c r="BJ75" i="19" s="1"/>
  <c r="BJ71" i="19"/>
  <c r="BK9" i="19"/>
  <c r="BK71" i="19" s="1"/>
  <c r="BJ72" i="21"/>
  <c r="BJ37" i="21"/>
  <c r="BJ36" i="20"/>
  <c r="BF71" i="19"/>
  <c r="BF73" i="19" s="1"/>
  <c r="BE35" i="14"/>
  <c r="BE39" i="20"/>
  <c r="BE30" i="14"/>
  <c r="AH87" i="24"/>
  <c r="AI97" i="24"/>
  <c r="AI77" i="20"/>
  <c r="AJ76" i="20"/>
  <c r="AG87" i="24"/>
  <c r="BT144" i="27" l="1"/>
  <c r="BT146" i="27" s="1"/>
  <c r="BT134" i="27"/>
  <c r="BT135" i="27" s="1"/>
  <c r="BT106" i="20"/>
  <c r="BT111" i="20"/>
  <c r="BT83" i="19"/>
  <c r="BT30" i="21" s="1"/>
  <c r="BT9" i="19"/>
  <c r="BT85" i="21"/>
  <c r="BT76" i="24"/>
  <c r="BT82" i="24" s="1"/>
  <c r="BT63" i="19"/>
  <c r="BT35" i="20"/>
  <c r="BT31" i="27"/>
  <c r="BT40" i="20"/>
  <c r="BU80" i="24"/>
  <c r="BU71" i="24"/>
  <c r="BJ30" i="14"/>
  <c r="BJ18" i="14"/>
  <c r="BO138" i="27"/>
  <c r="BO147" i="27"/>
  <c r="BO30" i="20"/>
  <c r="BO32" i="20" s="1"/>
  <c r="BO114" i="20"/>
  <c r="BO51" i="20"/>
  <c r="BO10" i="21"/>
  <c r="BO112" i="20"/>
  <c r="BO93" i="21"/>
  <c r="BO86" i="20"/>
  <c r="BO33" i="27"/>
  <c r="BO57" i="19"/>
  <c r="BP9" i="19"/>
  <c r="BO71" i="19"/>
  <c r="BQ74" i="19" s="1"/>
  <c r="BO36" i="20"/>
  <c r="BJ72" i="19"/>
  <c r="BL74" i="19"/>
  <c r="BO72" i="21"/>
  <c r="BO37" i="21"/>
  <c r="BO28" i="19"/>
  <c r="BQ20" i="21" s="1"/>
  <c r="BJ73" i="19"/>
  <c r="BJ32" i="20"/>
  <c r="BJ35" i="14"/>
  <c r="BK73" i="19"/>
  <c r="AI87" i="24"/>
  <c r="AJ77" i="20"/>
  <c r="AK76" i="20"/>
  <c r="AL106" i="24"/>
  <c r="BT36" i="20" l="1"/>
  <c r="BT28" i="19"/>
  <c r="BT10" i="21"/>
  <c r="BT93" i="21"/>
  <c r="BT112" i="20"/>
  <c r="BT51" i="20"/>
  <c r="BT114" i="20"/>
  <c r="BT86" i="20"/>
  <c r="BT30" i="20"/>
  <c r="BT57" i="19"/>
  <c r="BT71" i="19"/>
  <c r="BU9" i="19"/>
  <c r="BT138" i="27"/>
  <c r="BT33" i="27"/>
  <c r="BT37" i="21"/>
  <c r="BT72" i="21"/>
  <c r="BT147" i="27"/>
  <c r="BO39" i="20"/>
  <c r="BO73" i="19"/>
  <c r="BO72" i="19"/>
  <c r="BP71" i="19"/>
  <c r="BO100" i="19"/>
  <c r="BQ103" i="19" s="1"/>
  <c r="BP28" i="19"/>
  <c r="BO58" i="19"/>
  <c r="AN76" i="20"/>
  <c r="AR76" i="20"/>
  <c r="AJ87" i="24"/>
  <c r="AN77" i="20"/>
  <c r="AO76" i="20"/>
  <c r="AL107" i="24"/>
  <c r="AL77" i="20" s="1"/>
  <c r="AK77" i="20"/>
  <c r="AL76" i="20"/>
  <c r="AG9" i="23"/>
  <c r="AG8" i="23"/>
  <c r="AB9" i="23"/>
  <c r="AB8" i="23"/>
  <c r="AC8" i="23" s="1"/>
  <c r="W9" i="23"/>
  <c r="W8" i="23"/>
  <c r="U118" i="19"/>
  <c r="U117" i="19"/>
  <c r="U115" i="19"/>
  <c r="U113" i="19"/>
  <c r="U111" i="19"/>
  <c r="U106" i="19"/>
  <c r="U100" i="19"/>
  <c r="Z102" i="19" s="1"/>
  <c r="U98" i="19"/>
  <c r="U91" i="19"/>
  <c r="U94" i="19"/>
  <c r="U89" i="19"/>
  <c r="U82" i="19"/>
  <c r="U83" i="19"/>
  <c r="U84" i="19" s="1"/>
  <c r="U85" i="19"/>
  <c r="U77" i="19"/>
  <c r="U71" i="19"/>
  <c r="U111" i="20"/>
  <c r="Z112" i="20" s="1"/>
  <c r="U74" i="20"/>
  <c r="W54" i="20"/>
  <c r="AB31" i="21"/>
  <c r="U56" i="20"/>
  <c r="I21" i="17"/>
  <c r="J82" i="17"/>
  <c r="U93" i="19"/>
  <c r="S85" i="19"/>
  <c r="T85" i="19"/>
  <c r="S94" i="19"/>
  <c r="T94" i="19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H80" i="20" s="1"/>
  <c r="G115" i="19"/>
  <c r="H115" i="19"/>
  <c r="I115" i="19"/>
  <c r="J115" i="19"/>
  <c r="K115" i="19"/>
  <c r="L115" i="19"/>
  <c r="M39" i="19"/>
  <c r="M115" i="19" s="1"/>
  <c r="N115" i="19"/>
  <c r="O115" i="19"/>
  <c r="P115" i="19"/>
  <c r="Q115" i="19"/>
  <c r="R39" i="19"/>
  <c r="S115" i="19"/>
  <c r="T115" i="19"/>
  <c r="G111" i="19"/>
  <c r="H111" i="19"/>
  <c r="I111" i="19"/>
  <c r="J111" i="19"/>
  <c r="K111" i="19"/>
  <c r="L111" i="19"/>
  <c r="M32" i="19"/>
  <c r="N111" i="19"/>
  <c r="O111" i="19"/>
  <c r="P111" i="19"/>
  <c r="Q111" i="19"/>
  <c r="R32" i="19"/>
  <c r="S111" i="19"/>
  <c r="T111" i="19"/>
  <c r="T100" i="19"/>
  <c r="Y102" i="19" s="1"/>
  <c r="S100" i="19"/>
  <c r="X102" i="19" s="1"/>
  <c r="Q100" i="19"/>
  <c r="P100" i="19"/>
  <c r="O100" i="19"/>
  <c r="O101" i="19" s="1"/>
  <c r="N100" i="19"/>
  <c r="N101" i="19" s="1"/>
  <c r="L100" i="19"/>
  <c r="K100" i="19"/>
  <c r="K101" i="19" s="1"/>
  <c r="J100" i="19"/>
  <c r="I100" i="19"/>
  <c r="G100" i="19"/>
  <c r="R28" i="19"/>
  <c r="M28" i="19"/>
  <c r="H100" i="19"/>
  <c r="R20" i="19"/>
  <c r="R81" i="20"/>
  <c r="R94" i="19" s="1"/>
  <c r="Q94" i="19"/>
  <c r="P94" i="19"/>
  <c r="O94" i="19"/>
  <c r="N94" i="19"/>
  <c r="M81" i="20"/>
  <c r="M94" i="19" s="1"/>
  <c r="L94" i="19"/>
  <c r="K94" i="19"/>
  <c r="J94" i="19"/>
  <c r="I94" i="19"/>
  <c r="H94" i="19"/>
  <c r="S98" i="19"/>
  <c r="Q98" i="19"/>
  <c r="P98" i="19"/>
  <c r="O98" i="19"/>
  <c r="N98" i="19"/>
  <c r="M20" i="19"/>
  <c r="R91" i="19" s="1"/>
  <c r="L98" i="19"/>
  <c r="K98" i="19"/>
  <c r="J98" i="19"/>
  <c r="I98" i="19"/>
  <c r="H98" i="19"/>
  <c r="G98" i="19"/>
  <c r="G96" i="19" s="1"/>
  <c r="T98" i="19"/>
  <c r="S91" i="19"/>
  <c r="Q91" i="19"/>
  <c r="P91" i="19"/>
  <c r="O91" i="19"/>
  <c r="N91" i="19"/>
  <c r="M91" i="19"/>
  <c r="L91" i="19"/>
  <c r="K91" i="19"/>
  <c r="J91" i="19"/>
  <c r="I91" i="19"/>
  <c r="T91" i="19"/>
  <c r="S83" i="19"/>
  <c r="T83" i="19"/>
  <c r="R16" i="19"/>
  <c r="W82" i="19" s="1"/>
  <c r="S82" i="19"/>
  <c r="S89" i="19"/>
  <c r="N83" i="19"/>
  <c r="N84" i="19" s="1"/>
  <c r="O83" i="19"/>
  <c r="P83" i="19"/>
  <c r="P84" i="19" s="1"/>
  <c r="Q83" i="19"/>
  <c r="R80" i="20"/>
  <c r="M16" i="19"/>
  <c r="M89" i="19" s="1"/>
  <c r="Q85" i="19"/>
  <c r="Q82" i="19"/>
  <c r="Q89" i="19"/>
  <c r="P85" i="19"/>
  <c r="P82" i="19"/>
  <c r="P89" i="19"/>
  <c r="O85" i="19"/>
  <c r="O82" i="19"/>
  <c r="O89" i="19"/>
  <c r="N85" i="19"/>
  <c r="N82" i="19"/>
  <c r="N89" i="19"/>
  <c r="I83" i="19"/>
  <c r="I84" i="19" s="1"/>
  <c r="J83" i="19"/>
  <c r="K83" i="19"/>
  <c r="L83" i="19"/>
  <c r="L84" i="19" s="1"/>
  <c r="M80" i="20"/>
  <c r="M82" i="19"/>
  <c r="L85" i="19"/>
  <c r="L82" i="19"/>
  <c r="L89" i="19"/>
  <c r="K85" i="19"/>
  <c r="K82" i="19"/>
  <c r="K89" i="19"/>
  <c r="J85" i="19"/>
  <c r="J82" i="19"/>
  <c r="J89" i="19"/>
  <c r="I85" i="19"/>
  <c r="I82" i="19"/>
  <c r="I89" i="19"/>
  <c r="H83" i="19"/>
  <c r="H89" i="19"/>
  <c r="G89" i="19"/>
  <c r="G87" i="19" s="1"/>
  <c r="T89" i="19"/>
  <c r="T82" i="19"/>
  <c r="T71" i="19"/>
  <c r="Y73" i="19" s="1"/>
  <c r="S71" i="19"/>
  <c r="Q71" i="19"/>
  <c r="P71" i="19"/>
  <c r="P72" i="19" s="1"/>
  <c r="O71" i="19"/>
  <c r="N71" i="19"/>
  <c r="L71" i="19"/>
  <c r="L72" i="19" s="1"/>
  <c r="K71" i="19"/>
  <c r="J71" i="19"/>
  <c r="I71" i="19"/>
  <c r="I72" i="19" s="1"/>
  <c r="G71" i="19"/>
  <c r="R9" i="19"/>
  <c r="R71" i="19" s="1"/>
  <c r="M9" i="19"/>
  <c r="M71" i="19" s="1"/>
  <c r="H71" i="19"/>
  <c r="U34" i="19"/>
  <c r="AB11" i="21"/>
  <c r="AB12" i="21"/>
  <c r="AB13" i="21"/>
  <c r="AB14" i="21"/>
  <c r="AB15" i="21"/>
  <c r="AB16" i="21"/>
  <c r="AB9" i="21"/>
  <c r="S111" i="20"/>
  <c r="T111" i="20"/>
  <c r="E52" i="19"/>
  <c r="F52" i="19"/>
  <c r="G52" i="19"/>
  <c r="I52" i="19"/>
  <c r="J52" i="19"/>
  <c r="K52" i="19"/>
  <c r="L52" i="19"/>
  <c r="M7" i="19"/>
  <c r="M8" i="19"/>
  <c r="M15" i="19"/>
  <c r="N52" i="19"/>
  <c r="O52" i="19"/>
  <c r="Q52" i="19"/>
  <c r="R7" i="19"/>
  <c r="R8" i="19"/>
  <c r="R15" i="19"/>
  <c r="S52" i="19"/>
  <c r="W8" i="19"/>
  <c r="AB29" i="21"/>
  <c r="AB32" i="21"/>
  <c r="AB33" i="21"/>
  <c r="AB35" i="21"/>
  <c r="AB40" i="21"/>
  <c r="AB41" i="21"/>
  <c r="AB45" i="21"/>
  <c r="AB46" i="21"/>
  <c r="AB47" i="21"/>
  <c r="AB48" i="21"/>
  <c r="AB49" i="21"/>
  <c r="AB50" i="21"/>
  <c r="AB51" i="21"/>
  <c r="AB52" i="21"/>
  <c r="AB53" i="21"/>
  <c r="AB54" i="21"/>
  <c r="AB55" i="21"/>
  <c r="AB62" i="21"/>
  <c r="M33" i="19"/>
  <c r="M44" i="19"/>
  <c r="R33" i="19"/>
  <c r="R44" i="19"/>
  <c r="U33" i="19"/>
  <c r="U44" i="19"/>
  <c r="D52" i="19"/>
  <c r="H13" i="19"/>
  <c r="H23" i="19" s="1"/>
  <c r="H37" i="19"/>
  <c r="H46" i="19" s="1"/>
  <c r="H50" i="19" s="1"/>
  <c r="H77" i="19"/>
  <c r="H106" i="19"/>
  <c r="I106" i="19"/>
  <c r="J106" i="19"/>
  <c r="K106" i="19"/>
  <c r="L106" i="19"/>
  <c r="M29" i="19"/>
  <c r="M106" i="19" s="1"/>
  <c r="N106" i="19"/>
  <c r="O106" i="19"/>
  <c r="P106" i="19"/>
  <c r="Q106" i="19"/>
  <c r="R29" i="19"/>
  <c r="R106" i="19" s="1"/>
  <c r="S106" i="19"/>
  <c r="T106" i="19"/>
  <c r="G106" i="19"/>
  <c r="T77" i="19"/>
  <c r="Y79" i="19" s="1"/>
  <c r="S77" i="19"/>
  <c r="X79" i="19" s="1"/>
  <c r="Q77" i="19"/>
  <c r="V79" i="19" s="1"/>
  <c r="L77" i="19"/>
  <c r="K77" i="19"/>
  <c r="K78" i="19" s="1"/>
  <c r="J77" i="19"/>
  <c r="I77" i="19"/>
  <c r="G77" i="19"/>
  <c r="P77" i="19"/>
  <c r="O77" i="19"/>
  <c r="N77" i="19"/>
  <c r="M11" i="19"/>
  <c r="M77" i="19" s="1"/>
  <c r="R11" i="19"/>
  <c r="R77" i="19" s="1"/>
  <c r="T118" i="19"/>
  <c r="S118" i="19"/>
  <c r="Q118" i="19"/>
  <c r="P118" i="19"/>
  <c r="O118" i="19"/>
  <c r="N118" i="19"/>
  <c r="L118" i="19"/>
  <c r="K118" i="19"/>
  <c r="J118" i="19"/>
  <c r="I118" i="19"/>
  <c r="T117" i="19"/>
  <c r="S117" i="19"/>
  <c r="Q117" i="19"/>
  <c r="P117" i="19"/>
  <c r="O117" i="19"/>
  <c r="N117" i="19"/>
  <c r="L117" i="19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R34" i="6" s="1"/>
  <c r="Q16" i="6"/>
  <c r="Q32" i="6" s="1"/>
  <c r="P16" i="6"/>
  <c r="O16" i="6"/>
  <c r="O28" i="6" s="1"/>
  <c r="N16" i="6"/>
  <c r="M16" i="6"/>
  <c r="L57" i="19"/>
  <c r="L75" i="19" s="1"/>
  <c r="L16" i="6"/>
  <c r="K16" i="6"/>
  <c r="J16" i="6"/>
  <c r="I16" i="6"/>
  <c r="H16" i="6"/>
  <c r="G16" i="6"/>
  <c r="F16" i="6"/>
  <c r="E16" i="6"/>
  <c r="D16" i="6"/>
  <c r="AH16" i="6"/>
  <c r="AI16" i="6"/>
  <c r="AJ16" i="6"/>
  <c r="AK16" i="6"/>
  <c r="AL16" i="6"/>
  <c r="AF47" i="20"/>
  <c r="AE47" i="20"/>
  <c r="AD47" i="20"/>
  <c r="AC47" i="20"/>
  <c r="AG130" i="24"/>
  <c r="AB130" i="24"/>
  <c r="H60" i="21"/>
  <c r="H64" i="21" s="1"/>
  <c r="H67" i="19"/>
  <c r="M60" i="21"/>
  <c r="M64" i="21" s="1"/>
  <c r="M67" i="19"/>
  <c r="R60" i="21"/>
  <c r="R64" i="21" s="1"/>
  <c r="R67" i="19"/>
  <c r="U40" i="19"/>
  <c r="W43" i="19"/>
  <c r="R9" i="23"/>
  <c r="M9" i="23"/>
  <c r="H9" i="23"/>
  <c r="R8" i="23"/>
  <c r="M8" i="23"/>
  <c r="H8" i="23"/>
  <c r="T74" i="20"/>
  <c r="I111" i="20"/>
  <c r="I86" i="20" s="1"/>
  <c r="I74" i="20"/>
  <c r="J111" i="20"/>
  <c r="J86" i="20" s="1"/>
  <c r="K111" i="20"/>
  <c r="K86" i="20" s="1"/>
  <c r="L111" i="20"/>
  <c r="L86" i="20" s="1"/>
  <c r="M111" i="20"/>
  <c r="M114" i="20" s="1"/>
  <c r="N111" i="20"/>
  <c r="N114" i="20" s="1"/>
  <c r="O111" i="20"/>
  <c r="O86" i="20" s="1"/>
  <c r="P111" i="20"/>
  <c r="P51" i="20" s="1"/>
  <c r="P71" i="20" s="1"/>
  <c r="Q111" i="20"/>
  <c r="R111" i="20"/>
  <c r="R51" i="20" s="1"/>
  <c r="H111" i="20"/>
  <c r="H86" i="20" s="1"/>
  <c r="S74" i="20"/>
  <c r="R74" i="20"/>
  <c r="Q74" i="20"/>
  <c r="P74" i="20"/>
  <c r="O74" i="20"/>
  <c r="N74" i="20"/>
  <c r="M74" i="20"/>
  <c r="L74" i="20"/>
  <c r="K74" i="20"/>
  <c r="J74" i="20"/>
  <c r="H74" i="20"/>
  <c r="R48" i="19"/>
  <c r="R56" i="19" s="1"/>
  <c r="M48" i="19"/>
  <c r="M56" i="19" s="1"/>
  <c r="R40" i="19"/>
  <c r="M40" i="19"/>
  <c r="R43" i="19"/>
  <c r="M43" i="19"/>
  <c r="R35" i="19"/>
  <c r="M35" i="19"/>
  <c r="R34" i="19"/>
  <c r="M34" i="19"/>
  <c r="R21" i="19"/>
  <c r="M21" i="19"/>
  <c r="R19" i="19"/>
  <c r="M19" i="19"/>
  <c r="D37" i="19"/>
  <c r="D46" i="19" s="1"/>
  <c r="D50" i="19" s="1"/>
  <c r="E37" i="19"/>
  <c r="E46" i="19" s="1"/>
  <c r="E50" i="19" s="1"/>
  <c r="F37" i="19"/>
  <c r="F46" i="19" s="1"/>
  <c r="F50" i="19" s="1"/>
  <c r="G37" i="19"/>
  <c r="G46" i="19" s="1"/>
  <c r="G50" i="19" s="1"/>
  <c r="I37" i="19"/>
  <c r="I46" i="19" s="1"/>
  <c r="I50" i="19" s="1"/>
  <c r="J37" i="19"/>
  <c r="K37" i="19"/>
  <c r="L37" i="19"/>
  <c r="L46" i="19" s="1"/>
  <c r="L50" i="19" s="1"/>
  <c r="N50" i="19"/>
  <c r="P50" i="19"/>
  <c r="S50" i="19"/>
  <c r="W130" i="24"/>
  <c r="R130" i="24"/>
  <c r="M130" i="24"/>
  <c r="W35" i="19"/>
  <c r="N85" i="21"/>
  <c r="O85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U60" i="21"/>
  <c r="U64" i="21" s="1"/>
  <c r="S60" i="21"/>
  <c r="S64" i="21" s="1"/>
  <c r="Q60" i="21"/>
  <c r="Q64" i="21" s="1"/>
  <c r="P60" i="21"/>
  <c r="P64" i="21" s="1"/>
  <c r="O60" i="21"/>
  <c r="O64" i="21" s="1"/>
  <c r="N60" i="21"/>
  <c r="N64" i="21" s="1"/>
  <c r="L60" i="21"/>
  <c r="L64" i="21" s="1"/>
  <c r="K60" i="21"/>
  <c r="K64" i="21" s="1"/>
  <c r="J60" i="21"/>
  <c r="J64" i="21" s="1"/>
  <c r="I60" i="21"/>
  <c r="I64" i="21" s="1"/>
  <c r="P67" i="19"/>
  <c r="T72" i="21"/>
  <c r="K67" i="19"/>
  <c r="N107" i="20"/>
  <c r="R54" i="20"/>
  <c r="M54" i="20"/>
  <c r="M56" i="20" s="1"/>
  <c r="M79" i="20" s="1"/>
  <c r="S56" i="20"/>
  <c r="S79" i="20" s="1"/>
  <c r="Q56" i="20"/>
  <c r="Q79" i="20" s="1"/>
  <c r="P56" i="20"/>
  <c r="P79" i="20" s="1"/>
  <c r="O56" i="20"/>
  <c r="O79" i="20" s="1"/>
  <c r="N56" i="20"/>
  <c r="N79" i="20" s="1"/>
  <c r="L56" i="20"/>
  <c r="L79" i="20" s="1"/>
  <c r="K56" i="20"/>
  <c r="K79" i="20" s="1"/>
  <c r="J56" i="20"/>
  <c r="J79" i="20" s="1"/>
  <c r="I56" i="20"/>
  <c r="I79" i="20" s="1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AB46" i="20"/>
  <c r="W46" i="20"/>
  <c r="R46" i="20"/>
  <c r="M46" i="20"/>
  <c r="H46" i="20"/>
  <c r="T113" i="19"/>
  <c r="S113" i="19"/>
  <c r="Q113" i="19"/>
  <c r="P113" i="19"/>
  <c r="O113" i="19"/>
  <c r="N113" i="19"/>
  <c r="L113" i="19"/>
  <c r="S56" i="19"/>
  <c r="O56" i="19"/>
  <c r="K56" i="19"/>
  <c r="J56" i="19"/>
  <c r="G56" i="19"/>
  <c r="F56" i="19"/>
  <c r="D56" i="19"/>
  <c r="S58" i="19"/>
  <c r="S104" i="19" s="1"/>
  <c r="N58" i="19"/>
  <c r="N104" i="19" s="1"/>
  <c r="F58" i="19"/>
  <c r="E58" i="19"/>
  <c r="I57" i="19"/>
  <c r="I75" i="19" s="1"/>
  <c r="D57" i="19"/>
  <c r="L13" i="19"/>
  <c r="L23" i="19" s="1"/>
  <c r="K13" i="19"/>
  <c r="K23" i="19" s="1"/>
  <c r="J13" i="19"/>
  <c r="J23" i="19" s="1"/>
  <c r="I13" i="19"/>
  <c r="I23" i="19" s="1"/>
  <c r="G13" i="19"/>
  <c r="G23" i="19" s="1"/>
  <c r="F13" i="19"/>
  <c r="F23" i="19" s="1"/>
  <c r="E13" i="19"/>
  <c r="E23" i="19" s="1"/>
  <c r="D13" i="19"/>
  <c r="D23" i="19" s="1"/>
  <c r="M83" i="17"/>
  <c r="L83" i="17"/>
  <c r="J83" i="17"/>
  <c r="P83" i="17"/>
  <c r="U85" i="21"/>
  <c r="L56" i="19"/>
  <c r="T60" i="21"/>
  <c r="T64" i="21" s="1"/>
  <c r="W21" i="19"/>
  <c r="I56" i="19"/>
  <c r="Q56" i="19"/>
  <c r="E56" i="19"/>
  <c r="U57" i="19"/>
  <c r="U75" i="19" s="1"/>
  <c r="V56" i="20"/>
  <c r="V79" i="20" s="1"/>
  <c r="Q30" i="14"/>
  <c r="P30" i="14"/>
  <c r="O30" i="14"/>
  <c r="N30" i="14"/>
  <c r="L30" i="14"/>
  <c r="K30" i="14"/>
  <c r="J30" i="14"/>
  <c r="I30" i="14"/>
  <c r="G30" i="14"/>
  <c r="F30" i="14"/>
  <c r="D30" i="14"/>
  <c r="M28" i="14"/>
  <c r="M27" i="14"/>
  <c r="H28" i="14"/>
  <c r="H27" i="14"/>
  <c r="W28" i="14"/>
  <c r="W27" i="14"/>
  <c r="R28" i="14"/>
  <c r="R27" i="14"/>
  <c r="S30" i="14"/>
  <c r="N9" i="14"/>
  <c r="N10" i="14"/>
  <c r="I10" i="14"/>
  <c r="I9" i="14"/>
  <c r="J9" i="14"/>
  <c r="J10" i="14"/>
  <c r="P9" i="14"/>
  <c r="P10" i="14"/>
  <c r="L9" i="14"/>
  <c r="L10" i="14"/>
  <c r="S9" i="14"/>
  <c r="S10" i="14"/>
  <c r="E27" i="14"/>
  <c r="E28" i="14"/>
  <c r="D10" i="14"/>
  <c r="D9" i="14"/>
  <c r="E21" i="14" s="1"/>
  <c r="E12" i="14"/>
  <c r="E35" i="14" s="1"/>
  <c r="AI18" i="6"/>
  <c r="U52" i="19"/>
  <c r="U56" i="19"/>
  <c r="U72" i="21"/>
  <c r="U83" i="20"/>
  <c r="U67" i="19"/>
  <c r="L93" i="19"/>
  <c r="I93" i="19"/>
  <c r="H52" i="19"/>
  <c r="H56" i="19"/>
  <c r="U106" i="20"/>
  <c r="N93" i="19"/>
  <c r="N57" i="19"/>
  <c r="N75" i="19" s="1"/>
  <c r="O58" i="19"/>
  <c r="O104" i="19" s="1"/>
  <c r="K58" i="19"/>
  <c r="K104" i="19" s="1"/>
  <c r="P93" i="19"/>
  <c r="P57" i="19"/>
  <c r="P75" i="19" s="1"/>
  <c r="E32" i="6"/>
  <c r="U32" i="6"/>
  <c r="J34" i="6"/>
  <c r="N34" i="6"/>
  <c r="N28" i="6"/>
  <c r="L36" i="6"/>
  <c r="G36" i="6"/>
  <c r="K32" i="6"/>
  <c r="F30" i="6"/>
  <c r="E28" i="6"/>
  <c r="N32" i="6"/>
  <c r="E36" i="6"/>
  <c r="G28" i="6"/>
  <c r="U30" i="6"/>
  <c r="I32" i="6"/>
  <c r="V28" i="6"/>
  <c r="V26" i="6"/>
  <c r="E34" i="6"/>
  <c r="G32" i="6"/>
  <c r="N26" i="6"/>
  <c r="T28" i="6"/>
  <c r="I34" i="6"/>
  <c r="G30" i="6"/>
  <c r="E26" i="6"/>
  <c r="M36" i="6"/>
  <c r="V32" i="6"/>
  <c r="V36" i="6"/>
  <c r="V34" i="6"/>
  <c r="F32" i="6"/>
  <c r="G34" i="6"/>
  <c r="O24" i="6" l="1"/>
  <c r="O22" i="6"/>
  <c r="P24" i="6"/>
  <c r="P22" i="6"/>
  <c r="D22" i="6"/>
  <c r="D24" i="6"/>
  <c r="E24" i="6"/>
  <c r="E22" i="6"/>
  <c r="T24" i="6"/>
  <c r="T22" i="6"/>
  <c r="T36" i="6"/>
  <c r="F24" i="6"/>
  <c r="F22" i="6"/>
  <c r="U24" i="6"/>
  <c r="U22" i="6"/>
  <c r="AJ22" i="6"/>
  <c r="AJ24" i="6"/>
  <c r="E30" i="6"/>
  <c r="G24" i="6"/>
  <c r="G22" i="6"/>
  <c r="V24" i="6"/>
  <c r="V22" i="6"/>
  <c r="H24" i="6"/>
  <c r="H22" i="6"/>
  <c r="AI24" i="6"/>
  <c r="AI22" i="6"/>
  <c r="T26" i="6"/>
  <c r="I24" i="6"/>
  <c r="I22" i="6"/>
  <c r="X24" i="6"/>
  <c r="X22" i="6"/>
  <c r="AK24" i="6"/>
  <c r="AK22" i="6"/>
  <c r="AG24" i="6"/>
  <c r="AG22" i="6"/>
  <c r="J22" i="6"/>
  <c r="J24" i="6"/>
  <c r="Y24" i="6"/>
  <c r="Y22" i="6"/>
  <c r="AE24" i="6"/>
  <c r="AE22" i="6"/>
  <c r="T32" i="6"/>
  <c r="K22" i="6"/>
  <c r="K24" i="6"/>
  <c r="Z24" i="6"/>
  <c r="Z22" i="6"/>
  <c r="S24" i="6"/>
  <c r="S22" i="6"/>
  <c r="W24" i="6"/>
  <c r="W22" i="6"/>
  <c r="T30" i="6"/>
  <c r="L24" i="6"/>
  <c r="L22" i="6"/>
  <c r="AA22" i="6"/>
  <c r="AA24" i="6"/>
  <c r="AF24" i="6"/>
  <c r="AF22" i="6"/>
  <c r="R22" i="6"/>
  <c r="R24" i="6"/>
  <c r="AB22" i="6"/>
  <c r="AB24" i="6"/>
  <c r="M24" i="6"/>
  <c r="M22" i="6"/>
  <c r="AC24" i="6"/>
  <c r="AC22" i="6"/>
  <c r="Q24" i="6"/>
  <c r="Q22" i="6"/>
  <c r="AH22" i="6"/>
  <c r="AH24" i="6"/>
  <c r="T34" i="6"/>
  <c r="AL24" i="6"/>
  <c r="AL22" i="6"/>
  <c r="N22" i="6"/>
  <c r="N24" i="6"/>
  <c r="AD24" i="6"/>
  <c r="AD22" i="6"/>
  <c r="AD20" i="6"/>
  <c r="BT32" i="20"/>
  <c r="BT100" i="19"/>
  <c r="BT58" i="19"/>
  <c r="BU28" i="19"/>
  <c r="BU71" i="19"/>
  <c r="BT72" i="19"/>
  <c r="BT73" i="19"/>
  <c r="BT39" i="20"/>
  <c r="W18" i="6"/>
  <c r="N95" i="19"/>
  <c r="M17" i="20"/>
  <c r="M20" i="20" s="1"/>
  <c r="O18" i="20"/>
  <c r="O20" i="20" s="1"/>
  <c r="O20" i="6"/>
  <c r="AL18" i="6"/>
  <c r="G18" i="6"/>
  <c r="V18" i="6"/>
  <c r="AD18" i="6"/>
  <c r="T18" i="20"/>
  <c r="T20" i="20" s="1"/>
  <c r="R17" i="20"/>
  <c r="R20" i="20" s="1"/>
  <c r="H18" i="6"/>
  <c r="O18" i="6"/>
  <c r="AK20" i="6"/>
  <c r="AL20" i="6" s="1"/>
  <c r="AE20" i="6"/>
  <c r="V20" i="6"/>
  <c r="W20" i="6" s="1"/>
  <c r="AE18" i="6"/>
  <c r="G20" i="6"/>
  <c r="H20" i="6" s="1"/>
  <c r="L18" i="6"/>
  <c r="AC20" i="6"/>
  <c r="F20" i="6"/>
  <c r="E20" i="6"/>
  <c r="T18" i="6"/>
  <c r="AB18" i="6"/>
  <c r="Z20" i="6"/>
  <c r="T20" i="6"/>
  <c r="E18" i="6"/>
  <c r="BP73" i="19"/>
  <c r="R18" i="6"/>
  <c r="BP100" i="19"/>
  <c r="BO101" i="19"/>
  <c r="X20" i="6"/>
  <c r="AF18" i="6"/>
  <c r="AI20" i="6"/>
  <c r="Q20" i="6"/>
  <c r="R20" i="6" s="1"/>
  <c r="AH20" i="6"/>
  <c r="K20" i="6"/>
  <c r="Z18" i="6"/>
  <c r="AA18" i="6"/>
  <c r="Q18" i="6"/>
  <c r="K18" i="6"/>
  <c r="AJ18" i="6"/>
  <c r="I20" i="6"/>
  <c r="P20" i="6"/>
  <c r="X18" i="6"/>
  <c r="I18" i="6"/>
  <c r="P18" i="6"/>
  <c r="AJ20" i="6"/>
  <c r="F18" i="6"/>
  <c r="M18" i="6"/>
  <c r="U18" i="6"/>
  <c r="N79" i="19"/>
  <c r="U108" i="19"/>
  <c r="AF20" i="6"/>
  <c r="AG20" i="6" s="1"/>
  <c r="M85" i="19"/>
  <c r="M86" i="19" s="1"/>
  <c r="R85" i="19"/>
  <c r="AA20" i="6"/>
  <c r="AB20" i="6" s="1"/>
  <c r="U20" i="6"/>
  <c r="AK18" i="6"/>
  <c r="L20" i="6"/>
  <c r="M20" i="6" s="1"/>
  <c r="AH18" i="6"/>
  <c r="M111" i="19"/>
  <c r="M120" i="19" s="1"/>
  <c r="R10" i="20"/>
  <c r="M9" i="20"/>
  <c r="M12" i="20" s="1"/>
  <c r="N10" i="20"/>
  <c r="N12" i="20" s="1"/>
  <c r="R111" i="19"/>
  <c r="S10" i="20"/>
  <c r="S12" i="20" s="1"/>
  <c r="W10" i="20"/>
  <c r="R9" i="20"/>
  <c r="AS76" i="20"/>
  <c r="AG54" i="20"/>
  <c r="R71" i="20"/>
  <c r="AB37" i="21"/>
  <c r="M100" i="19"/>
  <c r="M102" i="19" s="1"/>
  <c r="M37" i="19"/>
  <c r="M46" i="19" s="1"/>
  <c r="M50" i="19" s="1"/>
  <c r="R100" i="19"/>
  <c r="R37" i="19"/>
  <c r="R46" i="19" s="1"/>
  <c r="R50" i="19" s="1"/>
  <c r="U37" i="19"/>
  <c r="U46" i="19" s="1"/>
  <c r="U50" i="19" s="1"/>
  <c r="N102" i="19"/>
  <c r="R13" i="19"/>
  <c r="R23" i="19" s="1"/>
  <c r="M13" i="19"/>
  <c r="M23" i="19" s="1"/>
  <c r="Q73" i="19"/>
  <c r="M108" i="19"/>
  <c r="L92" i="20"/>
  <c r="AO77" i="20"/>
  <c r="P80" i="19"/>
  <c r="U53" i="19"/>
  <c r="U54" i="19" s="1"/>
  <c r="U55" i="19" s="1"/>
  <c r="S78" i="19"/>
  <c r="M53" i="19"/>
  <c r="O92" i="20"/>
  <c r="O124" i="24" s="1"/>
  <c r="K92" i="20"/>
  <c r="K95" i="20" s="1"/>
  <c r="I92" i="20"/>
  <c r="I124" i="24" s="1"/>
  <c r="J92" i="20"/>
  <c r="R53" i="19"/>
  <c r="V80" i="19"/>
  <c r="Z79" i="19"/>
  <c r="V109" i="19"/>
  <c r="Z108" i="19"/>
  <c r="V74" i="19"/>
  <c r="Z73" i="19"/>
  <c r="S101" i="19"/>
  <c r="N103" i="19"/>
  <c r="AG21" i="19"/>
  <c r="AG19" i="19"/>
  <c r="O86" i="19"/>
  <c r="O51" i="20"/>
  <c r="O71" i="20" s="1"/>
  <c r="N74" i="19"/>
  <c r="U80" i="19"/>
  <c r="U79" i="19"/>
  <c r="T107" i="19"/>
  <c r="Y108" i="19"/>
  <c r="Q102" i="19"/>
  <c r="L73" i="19"/>
  <c r="T51" i="20"/>
  <c r="T71" i="20" s="1"/>
  <c r="Y112" i="20"/>
  <c r="R82" i="19"/>
  <c r="S79" i="19"/>
  <c r="P109" i="19"/>
  <c r="U109" i="19"/>
  <c r="O80" i="19"/>
  <c r="J80" i="19"/>
  <c r="S107" i="19"/>
  <c r="X108" i="19"/>
  <c r="P108" i="19"/>
  <c r="S74" i="19"/>
  <c r="X73" i="19"/>
  <c r="S86" i="20"/>
  <c r="X112" i="20"/>
  <c r="J51" i="20"/>
  <c r="J71" i="20" s="1"/>
  <c r="K51" i="20"/>
  <c r="K71" i="20" s="1"/>
  <c r="R86" i="20"/>
  <c r="O112" i="20"/>
  <c r="N112" i="20"/>
  <c r="N51" i="20"/>
  <c r="N71" i="20" s="1"/>
  <c r="W83" i="19"/>
  <c r="W84" i="19" s="1"/>
  <c r="AB21" i="19"/>
  <c r="Q51" i="20"/>
  <c r="Q71" i="20" s="1"/>
  <c r="V112" i="20"/>
  <c r="N86" i="20"/>
  <c r="J20" i="6"/>
  <c r="Y20" i="6"/>
  <c r="AC18" i="6"/>
  <c r="AG18" i="6"/>
  <c r="U51" i="20"/>
  <c r="U71" i="20" s="1"/>
  <c r="V113" i="20"/>
  <c r="Q74" i="19"/>
  <c r="V73" i="19"/>
  <c r="U103" i="19"/>
  <c r="V103" i="19"/>
  <c r="Q109" i="19"/>
  <c r="V108" i="19"/>
  <c r="R98" i="19"/>
  <c r="R96" i="19" s="1"/>
  <c r="W91" i="19"/>
  <c r="W86" i="19"/>
  <c r="S103" i="19"/>
  <c r="V102" i="19"/>
  <c r="K107" i="19"/>
  <c r="M98" i="19"/>
  <c r="M96" i="19" s="1"/>
  <c r="N72" i="19"/>
  <c r="I74" i="19"/>
  <c r="U74" i="19"/>
  <c r="AB8" i="19"/>
  <c r="H54" i="19"/>
  <c r="H55" i="19" s="1"/>
  <c r="M113" i="19"/>
  <c r="T87" i="19"/>
  <c r="I114" i="20"/>
  <c r="J113" i="20"/>
  <c r="P71" i="21"/>
  <c r="P74" i="21" s="1"/>
  <c r="P68" i="19" s="1"/>
  <c r="O113" i="20"/>
  <c r="I51" i="20"/>
  <c r="I71" i="20" s="1"/>
  <c r="H71" i="21"/>
  <c r="H74" i="21" s="1"/>
  <c r="H68" i="21"/>
  <c r="M67" i="21" s="1"/>
  <c r="R117" i="19"/>
  <c r="I109" i="19"/>
  <c r="O73" i="19"/>
  <c r="G54" i="19"/>
  <c r="G55" i="19" s="1"/>
  <c r="O74" i="19"/>
  <c r="L103" i="19"/>
  <c r="J109" i="19"/>
  <c r="S20" i="6"/>
  <c r="N20" i="6"/>
  <c r="D20" i="6"/>
  <c r="Y18" i="6"/>
  <c r="D18" i="6"/>
  <c r="J114" i="20"/>
  <c r="S51" i="20"/>
  <c r="S71" i="20" s="1"/>
  <c r="N18" i="6"/>
  <c r="J18" i="6"/>
  <c r="S18" i="6"/>
  <c r="K113" i="20"/>
  <c r="H30" i="14"/>
  <c r="R108" i="19"/>
  <c r="N108" i="19"/>
  <c r="T74" i="19"/>
  <c r="L95" i="19"/>
  <c r="S109" i="19"/>
  <c r="O54" i="19"/>
  <c r="O55" i="19" s="1"/>
  <c r="U102" i="19"/>
  <c r="H51" i="20"/>
  <c r="H71" i="20" s="1"/>
  <c r="T113" i="20"/>
  <c r="S95" i="19"/>
  <c r="U86" i="20"/>
  <c r="R112" i="20"/>
  <c r="U112" i="20"/>
  <c r="U113" i="20"/>
  <c r="U114" i="20"/>
  <c r="P112" i="20"/>
  <c r="P86" i="20"/>
  <c r="P92" i="20" s="1"/>
  <c r="N106" i="20"/>
  <c r="J107" i="20"/>
  <c r="T112" i="20"/>
  <c r="S112" i="20"/>
  <c r="T71" i="21"/>
  <c r="T74" i="21" s="1"/>
  <c r="T67" i="19"/>
  <c r="R71" i="21"/>
  <c r="R74" i="21" s="1"/>
  <c r="M117" i="19"/>
  <c r="I80" i="19"/>
  <c r="P74" i="19"/>
  <c r="I71" i="21"/>
  <c r="I74" i="21" s="1"/>
  <c r="I77" i="21" s="1"/>
  <c r="I67" i="19"/>
  <c r="L71" i="21"/>
  <c r="L74" i="21" s="1"/>
  <c r="L77" i="21" s="1"/>
  <c r="L67" i="19"/>
  <c r="W19" i="19"/>
  <c r="R56" i="20"/>
  <c r="R79" i="20" s="1"/>
  <c r="J71" i="21"/>
  <c r="J74" i="21" s="1"/>
  <c r="J67" i="19"/>
  <c r="M71" i="21"/>
  <c r="M74" i="21" s="1"/>
  <c r="Q71" i="21"/>
  <c r="Q74" i="21" s="1"/>
  <c r="Q67" i="19"/>
  <c r="O71" i="21"/>
  <c r="O74" i="21" s="1"/>
  <c r="O77" i="21" s="1"/>
  <c r="O78" i="21" s="1"/>
  <c r="O67" i="19"/>
  <c r="T86" i="20"/>
  <c r="W56" i="20"/>
  <c r="W79" i="20" s="1"/>
  <c r="D54" i="19"/>
  <c r="D55" i="19" s="1"/>
  <c r="H96" i="19"/>
  <c r="Q103" i="19"/>
  <c r="T56" i="20"/>
  <c r="T79" i="20" s="1"/>
  <c r="L51" i="20"/>
  <c r="L71" i="20" s="1"/>
  <c r="K71" i="21"/>
  <c r="K74" i="21" s="1"/>
  <c r="K77" i="21" s="1"/>
  <c r="N71" i="21"/>
  <c r="N74" i="21" s="1"/>
  <c r="N67" i="19"/>
  <c r="S71" i="21"/>
  <c r="S74" i="21" s="1"/>
  <c r="S67" i="19"/>
  <c r="T80" i="19"/>
  <c r="K109" i="19"/>
  <c r="N86" i="19"/>
  <c r="S80" i="19"/>
  <c r="I103" i="19"/>
  <c r="L80" i="19"/>
  <c r="J103" i="19"/>
  <c r="W39" i="19"/>
  <c r="S54" i="19"/>
  <c r="S55" i="19" s="1"/>
  <c r="P95" i="19"/>
  <c r="T102" i="19"/>
  <c r="T120" i="19"/>
  <c r="Y121" i="19" s="1"/>
  <c r="P120" i="19"/>
  <c r="I120" i="19"/>
  <c r="T95" i="19"/>
  <c r="U73" i="19"/>
  <c r="S120" i="19"/>
  <c r="X121" i="19" s="1"/>
  <c r="O120" i="19"/>
  <c r="L120" i="19"/>
  <c r="H120" i="19"/>
  <c r="U120" i="19"/>
  <c r="Q79" i="19"/>
  <c r="L54" i="19"/>
  <c r="L55" i="19" s="1"/>
  <c r="J74" i="19"/>
  <c r="N120" i="19"/>
  <c r="K120" i="19"/>
  <c r="G120" i="19"/>
  <c r="Q50" i="19"/>
  <c r="T50" i="19"/>
  <c r="J46" i="19"/>
  <c r="J50" i="19" s="1"/>
  <c r="T79" i="19"/>
  <c r="T109" i="19"/>
  <c r="R73" i="19"/>
  <c r="S102" i="19"/>
  <c r="Q120" i="19"/>
  <c r="V121" i="19" s="1"/>
  <c r="J120" i="19"/>
  <c r="J86" i="19"/>
  <c r="R113" i="19"/>
  <c r="Q54" i="19"/>
  <c r="Q55" i="19" s="1"/>
  <c r="L96" i="19"/>
  <c r="R79" i="19"/>
  <c r="M79" i="19"/>
  <c r="W34" i="19"/>
  <c r="R52" i="19"/>
  <c r="N87" i="19"/>
  <c r="L82" i="17"/>
  <c r="P82" i="17"/>
  <c r="O82" i="17"/>
  <c r="I82" i="17"/>
  <c r="M82" i="17"/>
  <c r="J21" i="17"/>
  <c r="O21" i="17"/>
  <c r="M52" i="19"/>
  <c r="J57" i="19"/>
  <c r="J75" i="19" s="1"/>
  <c r="V83" i="20"/>
  <c r="W40" i="19"/>
  <c r="AD40" i="19"/>
  <c r="AE40" i="19" s="1"/>
  <c r="AF40" i="19" s="1"/>
  <c r="U72" i="19"/>
  <c r="O50" i="19"/>
  <c r="K54" i="19"/>
  <c r="K55" i="19" s="1"/>
  <c r="T73" i="19"/>
  <c r="I87" i="19"/>
  <c r="P87" i="19"/>
  <c r="O96" i="19"/>
  <c r="J96" i="19"/>
  <c r="N96" i="19"/>
  <c r="R95" i="19"/>
  <c r="K103" i="19"/>
  <c r="U95" i="19"/>
  <c r="I54" i="19"/>
  <c r="I55" i="19" s="1"/>
  <c r="J87" i="19"/>
  <c r="L102" i="19"/>
  <c r="T103" i="19"/>
  <c r="L79" i="19"/>
  <c r="K46" i="19"/>
  <c r="K50" i="19" s="1"/>
  <c r="J54" i="19"/>
  <c r="J55" i="19" s="1"/>
  <c r="F54" i="19"/>
  <c r="F55" i="19" s="1"/>
  <c r="P102" i="19"/>
  <c r="S86" i="19"/>
  <c r="K74" i="19"/>
  <c r="G101" i="19"/>
  <c r="N80" i="19"/>
  <c r="E54" i="19"/>
  <c r="E55" i="19" s="1"/>
  <c r="Q86" i="19"/>
  <c r="I95" i="19"/>
  <c r="M95" i="19"/>
  <c r="Q95" i="19"/>
  <c r="S96" i="19"/>
  <c r="D12" i="14"/>
  <c r="E22" i="14"/>
  <c r="P12" i="14"/>
  <c r="P35" i="14" s="1"/>
  <c r="T58" i="19"/>
  <c r="T104" i="19" s="1"/>
  <c r="T101" i="19"/>
  <c r="T78" i="19"/>
  <c r="S114" i="20"/>
  <c r="S106" i="20"/>
  <c r="J12" i="14"/>
  <c r="J35" i="14" s="1"/>
  <c r="J22" i="14"/>
  <c r="L58" i="19"/>
  <c r="L104" i="19" s="1"/>
  <c r="L101" i="19"/>
  <c r="U9" i="14"/>
  <c r="U15" i="14" s="1"/>
  <c r="U10" i="14"/>
  <c r="U16" i="14" s="1"/>
  <c r="Q86" i="21"/>
  <c r="G86" i="21"/>
  <c r="F57" i="19"/>
  <c r="P52" i="19"/>
  <c r="P54" i="19" s="1"/>
  <c r="P55" i="19" s="1"/>
  <c r="P56" i="19"/>
  <c r="G58" i="19"/>
  <c r="G104" i="19" s="1"/>
  <c r="T52" i="19"/>
  <c r="T54" i="19" s="1"/>
  <c r="T55" i="19" s="1"/>
  <c r="T56" i="19"/>
  <c r="J84" i="19"/>
  <c r="J72" i="19"/>
  <c r="L12" i="14"/>
  <c r="L35" i="14" s="1"/>
  <c r="S12" i="14"/>
  <c r="S35" i="14" s="1"/>
  <c r="N56" i="19"/>
  <c r="J93" i="19"/>
  <c r="O84" i="19"/>
  <c r="N54" i="19"/>
  <c r="N55" i="19" s="1"/>
  <c r="Q96" i="19"/>
  <c r="P86" i="19"/>
  <c r="J86" i="21"/>
  <c r="O87" i="19"/>
  <c r="P113" i="20"/>
  <c r="N113" i="20"/>
  <c r="L113" i="20"/>
  <c r="P114" i="20"/>
  <c r="P86" i="21"/>
  <c r="L114" i="20"/>
  <c r="Q112" i="20"/>
  <c r="I86" i="19"/>
  <c r="P96" i="19"/>
  <c r="U96" i="19"/>
  <c r="T96" i="19"/>
  <c r="J95" i="19"/>
  <c r="X60" i="21"/>
  <c r="X64" i="21" s="1"/>
  <c r="AB43" i="19"/>
  <c r="N15" i="14"/>
  <c r="N21" i="14"/>
  <c r="Q10" i="14"/>
  <c r="Q9" i="14"/>
  <c r="N12" i="14"/>
  <c r="U71" i="21"/>
  <c r="U74" i="21" s="1"/>
  <c r="I12" i="14"/>
  <c r="J21" i="14"/>
  <c r="U79" i="20"/>
  <c r="R30" i="14"/>
  <c r="S85" i="21"/>
  <c r="O86" i="21"/>
  <c r="N86" i="21"/>
  <c r="N22" i="14"/>
  <c r="S16" i="14"/>
  <c r="N16" i="14"/>
  <c r="M30" i="14"/>
  <c r="L85" i="21"/>
  <c r="I86" i="21"/>
  <c r="E30" i="14"/>
  <c r="S15" i="14"/>
  <c r="O108" i="19"/>
  <c r="O109" i="19"/>
  <c r="W15" i="19"/>
  <c r="N73" i="19"/>
  <c r="S73" i="19"/>
  <c r="Q86" i="20"/>
  <c r="Q92" i="20" s="1"/>
  <c r="Q113" i="20"/>
  <c r="S113" i="20"/>
  <c r="M86" i="20"/>
  <c r="M51" i="20"/>
  <c r="M71" i="20" s="1"/>
  <c r="M112" i="20"/>
  <c r="W11" i="19"/>
  <c r="W77" i="19" s="1"/>
  <c r="K96" i="19"/>
  <c r="K95" i="19"/>
  <c r="H85" i="19"/>
  <c r="H87" i="19" s="1"/>
  <c r="X56" i="20"/>
  <c r="H56" i="20"/>
  <c r="H79" i="20" s="1"/>
  <c r="E57" i="19"/>
  <c r="S87" i="19"/>
  <c r="AB19" i="19"/>
  <c r="I85" i="21"/>
  <c r="D58" i="19"/>
  <c r="L109" i="19"/>
  <c r="Q108" i="19"/>
  <c r="L108" i="19"/>
  <c r="V60" i="21"/>
  <c r="V64" i="21" s="1"/>
  <c r="K87" i="19"/>
  <c r="K86" i="19"/>
  <c r="U86" i="19"/>
  <c r="U87" i="19"/>
  <c r="O79" i="19"/>
  <c r="K80" i="19"/>
  <c r="T108" i="19"/>
  <c r="W44" i="19"/>
  <c r="R115" i="19"/>
  <c r="P79" i="19"/>
  <c r="Q80" i="19"/>
  <c r="R89" i="19"/>
  <c r="N109" i="19"/>
  <c r="L74" i="19"/>
  <c r="P73" i="19"/>
  <c r="O103" i="19"/>
  <c r="O102" i="19"/>
  <c r="W32" i="19"/>
  <c r="M73" i="19"/>
  <c r="L86" i="19"/>
  <c r="L87" i="19"/>
  <c r="I96" i="19"/>
  <c r="M21" i="17"/>
  <c r="L21" i="17"/>
  <c r="P21" i="17"/>
  <c r="AB54" i="20"/>
  <c r="S108" i="19"/>
  <c r="Q87" i="19"/>
  <c r="R83" i="19"/>
  <c r="P103" i="19"/>
  <c r="T86" i="19"/>
  <c r="M83" i="19"/>
  <c r="O95" i="19"/>
  <c r="W34" i="6"/>
  <c r="W32" i="6"/>
  <c r="J32" i="6"/>
  <c r="J30" i="6"/>
  <c r="K30" i="6"/>
  <c r="D28" i="6"/>
  <c r="D32" i="6"/>
  <c r="M28" i="6"/>
  <c r="U26" i="6"/>
  <c r="L26" i="6"/>
  <c r="O26" i="6"/>
  <c r="D34" i="6"/>
  <c r="H26" i="6"/>
  <c r="I28" i="6"/>
  <c r="G26" i="6"/>
  <c r="J26" i="6"/>
  <c r="R28" i="6"/>
  <c r="D30" i="6"/>
  <c r="D26" i="6"/>
  <c r="Q36" i="6"/>
  <c r="P32" i="6"/>
  <c r="O32" i="6"/>
  <c r="N36" i="6"/>
  <c r="S28" i="6"/>
  <c r="W30" i="6"/>
  <c r="U28" i="6"/>
  <c r="M26" i="6"/>
  <c r="I36" i="6"/>
  <c r="Q30" i="6"/>
  <c r="L30" i="6"/>
  <c r="K28" i="6"/>
  <c r="O34" i="6"/>
  <c r="P30" i="6"/>
  <c r="U34" i="6"/>
  <c r="Q34" i="6"/>
  <c r="J36" i="6"/>
  <c r="F26" i="6"/>
  <c r="S34" i="6"/>
  <c r="W26" i="6"/>
  <c r="R36" i="6"/>
  <c r="P26" i="6"/>
  <c r="P36" i="6"/>
  <c r="I30" i="6"/>
  <c r="Q26" i="6"/>
  <c r="H28" i="6"/>
  <c r="L32" i="6"/>
  <c r="S30" i="6"/>
  <c r="I26" i="6"/>
  <c r="N30" i="6"/>
  <c r="S36" i="6"/>
  <c r="W36" i="6"/>
  <c r="R30" i="6"/>
  <c r="M32" i="6"/>
  <c r="K26" i="6"/>
  <c r="R26" i="6"/>
  <c r="S26" i="6"/>
  <c r="K36" i="6"/>
  <c r="O36" i="6"/>
  <c r="H36" i="6"/>
  <c r="O30" i="6"/>
  <c r="H30" i="6"/>
  <c r="H32" i="6"/>
  <c r="P28" i="6"/>
  <c r="F28" i="6"/>
  <c r="Q28" i="6"/>
  <c r="M34" i="6"/>
  <c r="V30" i="6"/>
  <c r="F36" i="6"/>
  <c r="H34" i="6"/>
  <c r="U36" i="6"/>
  <c r="J28" i="6"/>
  <c r="R32" i="6"/>
  <c r="W28" i="6"/>
  <c r="P34" i="6"/>
  <c r="D36" i="6"/>
  <c r="K34" i="6"/>
  <c r="S32" i="6"/>
  <c r="F34" i="6"/>
  <c r="M30" i="6"/>
  <c r="L34" i="6"/>
  <c r="L28" i="6"/>
  <c r="BU100" i="19" l="1"/>
  <c r="BU73" i="19"/>
  <c r="BT101" i="19"/>
  <c r="BT102" i="19"/>
  <c r="T23" i="20"/>
  <c r="T22" i="20"/>
  <c r="U23" i="20"/>
  <c r="O22" i="20"/>
  <c r="O23" i="20"/>
  <c r="P23" i="20"/>
  <c r="W17" i="20"/>
  <c r="W20" i="20" s="1"/>
  <c r="W22" i="20" s="1"/>
  <c r="Y18" i="20"/>
  <c r="Y20" i="20" s="1"/>
  <c r="R22" i="20"/>
  <c r="R86" i="19"/>
  <c r="I78" i="21"/>
  <c r="L78" i="21"/>
  <c r="R102" i="19"/>
  <c r="R12" i="20"/>
  <c r="N14" i="20"/>
  <c r="O14" i="20"/>
  <c r="N13" i="20"/>
  <c r="N31" i="20"/>
  <c r="N28" i="20"/>
  <c r="N27" i="20" s="1"/>
  <c r="T14" i="20"/>
  <c r="S14" i="20"/>
  <c r="S13" i="20"/>
  <c r="S31" i="20"/>
  <c r="S28" i="20"/>
  <c r="S27" i="20" s="1"/>
  <c r="M13" i="20"/>
  <c r="M28" i="20"/>
  <c r="M27" i="20" s="1"/>
  <c r="M31" i="20"/>
  <c r="AB10" i="20"/>
  <c r="W9" i="20"/>
  <c r="W12" i="20" s="1"/>
  <c r="X10" i="20"/>
  <c r="R120" i="19"/>
  <c r="R121" i="19" s="1"/>
  <c r="AT76" i="20"/>
  <c r="AQ106" i="24"/>
  <c r="AQ76" i="20" s="1"/>
  <c r="H92" i="20"/>
  <c r="H124" i="24" s="1"/>
  <c r="U92" i="20"/>
  <c r="U124" i="24" s="1"/>
  <c r="M92" i="20"/>
  <c r="M124" i="24" s="1"/>
  <c r="M68" i="21"/>
  <c r="R67" i="21" s="1"/>
  <c r="R68" i="21" s="1"/>
  <c r="W67" i="21" s="1"/>
  <c r="AL19" i="19"/>
  <c r="AL21" i="19"/>
  <c r="I124" i="19"/>
  <c r="I126" i="19" s="1"/>
  <c r="J124" i="19"/>
  <c r="R92" i="20"/>
  <c r="R124" i="24" s="1"/>
  <c r="T92" i="20"/>
  <c r="T124" i="24" s="1"/>
  <c r="V122" i="19"/>
  <c r="Z121" i="19"/>
  <c r="S92" i="20"/>
  <c r="S124" i="24" s="1"/>
  <c r="N92" i="20"/>
  <c r="N124" i="24" s="1"/>
  <c r="AB33" i="19"/>
  <c r="AG43" i="19"/>
  <c r="AG40" i="19"/>
  <c r="AH40" i="19"/>
  <c r="AJ40" i="19" s="1"/>
  <c r="AK40" i="19" s="1"/>
  <c r="P77" i="21"/>
  <c r="Q76" i="21"/>
  <c r="I67" i="21"/>
  <c r="I68" i="21" s="1"/>
  <c r="J67" i="21" s="1"/>
  <c r="J68" i="21" s="1"/>
  <c r="K67" i="21" s="1"/>
  <c r="K68" i="21" s="1"/>
  <c r="L67" i="21" s="1"/>
  <c r="L68" i="21" s="1"/>
  <c r="N76" i="21"/>
  <c r="Q124" i="24"/>
  <c r="W111" i="19"/>
  <c r="W113" i="19"/>
  <c r="J25" i="24"/>
  <c r="J26" i="24" s="1"/>
  <c r="W79" i="19"/>
  <c r="W78" i="19"/>
  <c r="W117" i="19"/>
  <c r="W115" i="19"/>
  <c r="T75" i="21"/>
  <c r="Q75" i="21"/>
  <c r="L76" i="21"/>
  <c r="T76" i="21"/>
  <c r="P126" i="24"/>
  <c r="P75" i="21"/>
  <c r="M54" i="19"/>
  <c r="M55" i="19" s="1"/>
  <c r="P76" i="21"/>
  <c r="W33" i="19"/>
  <c r="W53" i="19" s="1"/>
  <c r="J76" i="21"/>
  <c r="AB40" i="19"/>
  <c r="R68" i="19"/>
  <c r="R126" i="24"/>
  <c r="H68" i="19"/>
  <c r="H126" i="24"/>
  <c r="K126" i="24"/>
  <c r="O126" i="24"/>
  <c r="I126" i="24"/>
  <c r="U68" i="19"/>
  <c r="U126" i="24"/>
  <c r="S126" i="24"/>
  <c r="J126" i="24"/>
  <c r="Q68" i="19"/>
  <c r="Q126" i="24"/>
  <c r="L68" i="19"/>
  <c r="L126" i="24"/>
  <c r="T68" i="19"/>
  <c r="T126" i="24"/>
  <c r="N126" i="24"/>
  <c r="M68" i="19"/>
  <c r="M126" i="24"/>
  <c r="O88" i="21"/>
  <c r="O95" i="20"/>
  <c r="O125" i="24" s="1"/>
  <c r="K94" i="20"/>
  <c r="P93" i="20"/>
  <c r="I25" i="24"/>
  <c r="I26" i="24" s="1"/>
  <c r="N77" i="21"/>
  <c r="N78" i="21" s="1"/>
  <c r="N68" i="19"/>
  <c r="J68" i="19"/>
  <c r="J77" i="21"/>
  <c r="S68" i="19"/>
  <c r="S76" i="21"/>
  <c r="O68" i="19"/>
  <c r="O76" i="21"/>
  <c r="O75" i="21"/>
  <c r="N75" i="21"/>
  <c r="I68" i="19"/>
  <c r="S75" i="21"/>
  <c r="R54" i="19"/>
  <c r="R55" i="19" s="1"/>
  <c r="M121" i="19"/>
  <c r="K68" i="19"/>
  <c r="K76" i="21"/>
  <c r="K124" i="24"/>
  <c r="K88" i="21"/>
  <c r="I122" i="19"/>
  <c r="K122" i="19"/>
  <c r="K25" i="24"/>
  <c r="K124" i="19"/>
  <c r="U25" i="24"/>
  <c r="U26" i="24" s="1"/>
  <c r="U124" i="19"/>
  <c r="O25" i="24"/>
  <c r="O124" i="19"/>
  <c r="M25" i="24"/>
  <c r="M26" i="24" s="1"/>
  <c r="M124" i="19"/>
  <c r="S25" i="24"/>
  <c r="S26" i="24" s="1"/>
  <c r="S124" i="19"/>
  <c r="P25" i="24"/>
  <c r="P26" i="24" s="1"/>
  <c r="P124" i="19"/>
  <c r="N25" i="24"/>
  <c r="N26" i="24" s="1"/>
  <c r="N124" i="19"/>
  <c r="L25" i="24"/>
  <c r="L26" i="24" s="1"/>
  <c r="L124" i="19"/>
  <c r="J122" i="19"/>
  <c r="L121" i="19"/>
  <c r="L122" i="19"/>
  <c r="T122" i="19"/>
  <c r="T121" i="19"/>
  <c r="Q121" i="19"/>
  <c r="Q122" i="19"/>
  <c r="U121" i="19"/>
  <c r="U122" i="19"/>
  <c r="P122" i="19"/>
  <c r="O122" i="19"/>
  <c r="O121" i="19"/>
  <c r="S121" i="19"/>
  <c r="S122" i="19"/>
  <c r="N121" i="19"/>
  <c r="N122" i="19"/>
  <c r="P121" i="19"/>
  <c r="H58" i="19"/>
  <c r="H104" i="19" s="1"/>
  <c r="K125" i="24"/>
  <c r="J124" i="24"/>
  <c r="O127" i="24"/>
  <c r="I127" i="24"/>
  <c r="P124" i="24"/>
  <c r="K127" i="24"/>
  <c r="L127" i="24"/>
  <c r="L88" i="21"/>
  <c r="L124" i="24"/>
  <c r="W20" i="19"/>
  <c r="AB91" i="19" s="1"/>
  <c r="Q72" i="19"/>
  <c r="Q57" i="19"/>
  <c r="Q75" i="19" s="1"/>
  <c r="Q93" i="19"/>
  <c r="Q84" i="19"/>
  <c r="T86" i="21"/>
  <c r="U86" i="21"/>
  <c r="E24" i="14"/>
  <c r="D35" i="14"/>
  <c r="Q77" i="21"/>
  <c r="R85" i="21"/>
  <c r="K9" i="14"/>
  <c r="K10" i="14"/>
  <c r="T93" i="19"/>
  <c r="T84" i="19"/>
  <c r="T72" i="19"/>
  <c r="T57" i="19"/>
  <c r="T75" i="19" s="1"/>
  <c r="T9" i="14"/>
  <c r="U21" i="14" s="1"/>
  <c r="T10" i="14"/>
  <c r="K107" i="20"/>
  <c r="L107" i="20"/>
  <c r="K114" i="20"/>
  <c r="P106" i="20"/>
  <c r="O107" i="20"/>
  <c r="O114" i="20"/>
  <c r="P107" i="20"/>
  <c r="O106" i="20"/>
  <c r="O9" i="14"/>
  <c r="R9" i="14" s="1"/>
  <c r="O10" i="14"/>
  <c r="Q106" i="20"/>
  <c r="Q114" i="20"/>
  <c r="Q107" i="20"/>
  <c r="S57" i="19"/>
  <c r="S75" i="19" s="1"/>
  <c r="S84" i="19"/>
  <c r="S72" i="19"/>
  <c r="S93" i="19"/>
  <c r="M84" i="19"/>
  <c r="T77" i="21"/>
  <c r="U12" i="14"/>
  <c r="U18" i="14" s="1"/>
  <c r="H101" i="19"/>
  <c r="P94" i="20"/>
  <c r="Q85" i="21"/>
  <c r="T85" i="21"/>
  <c r="S77" i="21"/>
  <c r="S86" i="21"/>
  <c r="O57" i="19"/>
  <c r="O75" i="19" s="1"/>
  <c r="O93" i="19"/>
  <c r="O72" i="19"/>
  <c r="F10" i="14"/>
  <c r="F22" i="14" s="1"/>
  <c r="F9" i="14"/>
  <c r="S107" i="20"/>
  <c r="L94" i="20"/>
  <c r="L95" i="20"/>
  <c r="J88" i="21"/>
  <c r="O93" i="20"/>
  <c r="J95" i="20"/>
  <c r="J94" i="20"/>
  <c r="P95" i="20"/>
  <c r="P88" i="21"/>
  <c r="I88" i="21"/>
  <c r="I95" i="20"/>
  <c r="Q94" i="20"/>
  <c r="Q95" i="20"/>
  <c r="Q88" i="21"/>
  <c r="Q93" i="20"/>
  <c r="K84" i="19"/>
  <c r="K57" i="19"/>
  <c r="K75" i="19" s="1"/>
  <c r="K72" i="19"/>
  <c r="K93" i="19"/>
  <c r="T124" i="19"/>
  <c r="M85" i="21"/>
  <c r="G9" i="14"/>
  <c r="G10" i="14"/>
  <c r="L86" i="21"/>
  <c r="K86" i="21"/>
  <c r="P85" i="21"/>
  <c r="K85" i="21"/>
  <c r="K78" i="21" s="1"/>
  <c r="F86" i="21"/>
  <c r="E86" i="21"/>
  <c r="J85" i="21"/>
  <c r="G57" i="19"/>
  <c r="G75" i="19" s="1"/>
  <c r="G72" i="19"/>
  <c r="N18" i="14"/>
  <c r="S18" i="14"/>
  <c r="N35" i="14"/>
  <c r="N24" i="14"/>
  <c r="Y60" i="21"/>
  <c r="Y64" i="21" s="1"/>
  <c r="R84" i="19"/>
  <c r="R87" i="19"/>
  <c r="M87" i="19"/>
  <c r="X79" i="20"/>
  <c r="G78" i="19"/>
  <c r="G107" i="19"/>
  <c r="I35" i="14"/>
  <c r="J24" i="14"/>
  <c r="Q12" i="14"/>
  <c r="Q21" i="14"/>
  <c r="Q15" i="14"/>
  <c r="S21" i="14"/>
  <c r="M77" i="21"/>
  <c r="T114" i="20"/>
  <c r="T106" i="20"/>
  <c r="T107" i="20"/>
  <c r="U107" i="20"/>
  <c r="R75" i="21"/>
  <c r="R77" i="21"/>
  <c r="L107" i="19"/>
  <c r="L78" i="19"/>
  <c r="Y56" i="20"/>
  <c r="AB15" i="19"/>
  <c r="J58" i="19"/>
  <c r="J104" i="19" s="1"/>
  <c r="J101" i="19"/>
  <c r="J107" i="19"/>
  <c r="J78" i="19"/>
  <c r="M75" i="21"/>
  <c r="U77" i="21"/>
  <c r="U75" i="21"/>
  <c r="U76" i="21"/>
  <c r="R106" i="20"/>
  <c r="R114" i="20"/>
  <c r="R57" i="19"/>
  <c r="R75" i="19" s="1"/>
  <c r="R72" i="19"/>
  <c r="R93" i="19"/>
  <c r="S22" i="14"/>
  <c r="Q22" i="14"/>
  <c r="Q16" i="14"/>
  <c r="M93" i="19"/>
  <c r="M57" i="19"/>
  <c r="M75" i="19" s="1"/>
  <c r="M72" i="19"/>
  <c r="BU102" i="19" l="1"/>
  <c r="R78" i="21"/>
  <c r="Y22" i="20"/>
  <c r="Z23" i="20"/>
  <c r="P127" i="24"/>
  <c r="P78" i="21"/>
  <c r="Q78" i="21"/>
  <c r="M78" i="21"/>
  <c r="J78" i="21"/>
  <c r="N67" i="21"/>
  <c r="N68" i="21" s="1"/>
  <c r="O67" i="21" s="1"/>
  <c r="O68" i="21" s="1"/>
  <c r="P67" i="21" s="1"/>
  <c r="P68" i="21" s="1"/>
  <c r="Q67" i="21" s="1"/>
  <c r="Q68" i="21" s="1"/>
  <c r="R28" i="20"/>
  <c r="R27" i="20" s="1"/>
  <c r="R31" i="20"/>
  <c r="R13" i="20"/>
  <c r="AV106" i="24"/>
  <c r="W13" i="20"/>
  <c r="W28" i="20"/>
  <c r="W27" i="20" s="1"/>
  <c r="W31" i="20"/>
  <c r="AQ21" i="19"/>
  <c r="AQ19" i="19"/>
  <c r="AQ107" i="24"/>
  <c r="S88" i="21"/>
  <c r="S90" i="21" s="1"/>
  <c r="AG15" i="19"/>
  <c r="AL40" i="19"/>
  <c r="AM40" i="19"/>
  <c r="AL43" i="19"/>
  <c r="J126" i="19"/>
  <c r="N93" i="20"/>
  <c r="AB95" i="19"/>
  <c r="S94" i="20"/>
  <c r="S95" i="20"/>
  <c r="S125" i="24" s="1"/>
  <c r="S93" i="20"/>
  <c r="N95" i="20"/>
  <c r="N125" i="24" s="1"/>
  <c r="N88" i="21"/>
  <c r="O90" i="21" s="1"/>
  <c r="O94" i="20"/>
  <c r="N94" i="20"/>
  <c r="AD33" i="19"/>
  <c r="AK54" i="20"/>
  <c r="AG8" i="19"/>
  <c r="K28" i="24"/>
  <c r="U88" i="21"/>
  <c r="U89" i="21" s="1"/>
  <c r="U93" i="20"/>
  <c r="U95" i="20"/>
  <c r="U125" i="24" s="1"/>
  <c r="W120" i="19"/>
  <c r="W121" i="19" s="1"/>
  <c r="W98" i="19"/>
  <c r="R88" i="21"/>
  <c r="M95" i="20"/>
  <c r="M125" i="24" s="1"/>
  <c r="L90" i="21"/>
  <c r="T88" i="21"/>
  <c r="S27" i="24"/>
  <c r="R95" i="20"/>
  <c r="R125" i="24" s="1"/>
  <c r="O28" i="24"/>
  <c r="P89" i="21"/>
  <c r="O27" i="24"/>
  <c r="R93" i="20"/>
  <c r="K26" i="24"/>
  <c r="M88" i="21"/>
  <c r="U94" i="20"/>
  <c r="O26" i="24"/>
  <c r="N27" i="24"/>
  <c r="K90" i="21"/>
  <c r="T93" i="20"/>
  <c r="T94" i="20"/>
  <c r="O89" i="21"/>
  <c r="T95" i="20"/>
  <c r="T125" i="24" s="1"/>
  <c r="J28" i="24"/>
  <c r="P90" i="21"/>
  <c r="N28" i="24"/>
  <c r="P28" i="24"/>
  <c r="J127" i="24"/>
  <c r="T125" i="19"/>
  <c r="N127" i="24"/>
  <c r="L28" i="24"/>
  <c r="P27" i="24"/>
  <c r="L125" i="19"/>
  <c r="L126" i="19"/>
  <c r="U125" i="19"/>
  <c r="U126" i="19"/>
  <c r="R25" i="24"/>
  <c r="R27" i="24" s="1"/>
  <c r="R124" i="19"/>
  <c r="R125" i="19" s="1"/>
  <c r="U27" i="24"/>
  <c r="N125" i="19"/>
  <c r="N126" i="19"/>
  <c r="T126" i="19"/>
  <c r="S125" i="19"/>
  <c r="P126" i="19"/>
  <c r="O125" i="19"/>
  <c r="O126" i="19"/>
  <c r="P125" i="19"/>
  <c r="K126" i="19"/>
  <c r="Q25" i="24"/>
  <c r="Q28" i="24" s="1"/>
  <c r="Q124" i="19"/>
  <c r="U35" i="14"/>
  <c r="U30" i="14"/>
  <c r="J125" i="24"/>
  <c r="T127" i="24"/>
  <c r="Q127" i="24"/>
  <c r="M127" i="24"/>
  <c r="U127" i="24"/>
  <c r="R127" i="24"/>
  <c r="I125" i="24"/>
  <c r="P125" i="24"/>
  <c r="S127" i="24"/>
  <c r="Q125" i="24"/>
  <c r="L125" i="24"/>
  <c r="T25" i="24"/>
  <c r="K22" i="14"/>
  <c r="M10" i="14"/>
  <c r="P16" i="14"/>
  <c r="L22" i="14"/>
  <c r="F12" i="14"/>
  <c r="F21" i="14"/>
  <c r="O16" i="14"/>
  <c r="R10" i="14"/>
  <c r="P22" i="14"/>
  <c r="O22" i="14"/>
  <c r="L21" i="14"/>
  <c r="M9" i="14"/>
  <c r="P15" i="14"/>
  <c r="K12" i="14"/>
  <c r="K21" i="14"/>
  <c r="J72" i="20"/>
  <c r="O21" i="14"/>
  <c r="O12" i="14"/>
  <c r="P21" i="14"/>
  <c r="O15" i="14"/>
  <c r="T22" i="14"/>
  <c r="U22" i="14"/>
  <c r="T16" i="14"/>
  <c r="T15" i="14"/>
  <c r="T21" i="14"/>
  <c r="T12" i="14"/>
  <c r="J90" i="21"/>
  <c r="Y79" i="20"/>
  <c r="H77" i="21"/>
  <c r="H78" i="21" s="1"/>
  <c r="V10" i="14"/>
  <c r="V9" i="14"/>
  <c r="Q58" i="19"/>
  <c r="Q104" i="19" s="1"/>
  <c r="Q78" i="19"/>
  <c r="Q107" i="19"/>
  <c r="Q101" i="19"/>
  <c r="H10" i="14"/>
  <c r="G22" i="14"/>
  <c r="H95" i="20"/>
  <c r="H88" i="21"/>
  <c r="I107" i="19"/>
  <c r="I58" i="19"/>
  <c r="I104" i="19" s="1"/>
  <c r="I101" i="19"/>
  <c r="I78" i="19"/>
  <c r="W85" i="21"/>
  <c r="G21" i="14"/>
  <c r="H9" i="14"/>
  <c r="G12" i="14"/>
  <c r="H78" i="19"/>
  <c r="H107" i="19"/>
  <c r="Q90" i="21"/>
  <c r="Q89" i="21"/>
  <c r="Z56" i="20"/>
  <c r="N107" i="19"/>
  <c r="N78" i="19"/>
  <c r="U58" i="19"/>
  <c r="U104" i="19" s="1"/>
  <c r="U78" i="19"/>
  <c r="U101" i="19"/>
  <c r="U107" i="19"/>
  <c r="Z60" i="21"/>
  <c r="Z64" i="21" s="1"/>
  <c r="H84" i="19"/>
  <c r="H57" i="19"/>
  <c r="H75" i="19" s="1"/>
  <c r="H72" i="19"/>
  <c r="M93" i="20"/>
  <c r="H114" i="20"/>
  <c r="M106" i="20"/>
  <c r="S67" i="21"/>
  <c r="S68" i="21" s="1"/>
  <c r="T67" i="21" s="1"/>
  <c r="T68" i="21" s="1"/>
  <c r="U67" i="21" s="1"/>
  <c r="U68" i="21" s="1"/>
  <c r="V67" i="21" s="1"/>
  <c r="Q18" i="14"/>
  <c r="Q24" i="14"/>
  <c r="S24" i="14"/>
  <c r="Q35" i="14"/>
  <c r="P58" i="19"/>
  <c r="P104" i="19" s="1"/>
  <c r="P78" i="19"/>
  <c r="P107" i="19"/>
  <c r="P101" i="19"/>
  <c r="V86" i="21"/>
  <c r="V85" i="21"/>
  <c r="O107" i="19"/>
  <c r="O78" i="19"/>
  <c r="AV76" i="20" l="1"/>
  <c r="AW76" i="20"/>
  <c r="AV19" i="19"/>
  <c r="AV21" i="19"/>
  <c r="AQ40" i="19"/>
  <c r="AQ43" i="19"/>
  <c r="AQ77" i="20"/>
  <c r="AM54" i="20"/>
  <c r="AL8" i="19"/>
  <c r="S89" i="21"/>
  <c r="N90" i="21"/>
  <c r="N89" i="21"/>
  <c r="AL54" i="20"/>
  <c r="U90" i="21"/>
  <c r="R89" i="21"/>
  <c r="V124" i="19"/>
  <c r="V126" i="19" s="1"/>
  <c r="T90" i="21"/>
  <c r="T89" i="21"/>
  <c r="H12" i="14"/>
  <c r="H35" i="14" s="1"/>
  <c r="M89" i="21"/>
  <c r="R26" i="24"/>
  <c r="Q27" i="24"/>
  <c r="H25" i="24"/>
  <c r="H26" i="24" s="1"/>
  <c r="H124" i="19"/>
  <c r="M125" i="19" s="1"/>
  <c r="S28" i="24"/>
  <c r="Q26" i="24"/>
  <c r="Q126" i="19"/>
  <c r="Q125" i="19"/>
  <c r="S126" i="19"/>
  <c r="H125" i="24"/>
  <c r="H127" i="24"/>
  <c r="V25" i="24"/>
  <c r="T26" i="24"/>
  <c r="T27" i="24"/>
  <c r="T28" i="24"/>
  <c r="U28" i="24"/>
  <c r="O35" i="14"/>
  <c r="O24" i="14"/>
  <c r="O18" i="14"/>
  <c r="P24" i="14"/>
  <c r="P18" i="14"/>
  <c r="K24" i="14"/>
  <c r="K35" i="14"/>
  <c r="L24" i="14"/>
  <c r="R16" i="14"/>
  <c r="T18" i="14"/>
  <c r="T24" i="14"/>
  <c r="U24" i="14"/>
  <c r="T35" i="14"/>
  <c r="T30" i="14"/>
  <c r="R12" i="14"/>
  <c r="M12" i="14"/>
  <c r="M35" i="14" s="1"/>
  <c r="F35" i="14"/>
  <c r="F24" i="14"/>
  <c r="R15" i="14"/>
  <c r="V16" i="14"/>
  <c r="V22" i="14"/>
  <c r="W10" i="14"/>
  <c r="W16" i="14" s="1"/>
  <c r="M78" i="19"/>
  <c r="M58" i="19"/>
  <c r="M104" i="19" s="1"/>
  <c r="M101" i="19"/>
  <c r="M107" i="19"/>
  <c r="AA60" i="21"/>
  <c r="AA64" i="21" s="1"/>
  <c r="AB57" i="21"/>
  <c r="AB60" i="21" s="1"/>
  <c r="AA56" i="20"/>
  <c r="G24" i="14"/>
  <c r="G35" i="14"/>
  <c r="V86" i="20"/>
  <c r="V92" i="20" s="1"/>
  <c r="V51" i="20"/>
  <c r="V71" i="20" s="1"/>
  <c r="V21" i="14"/>
  <c r="V12" i="14"/>
  <c r="V15" i="14"/>
  <c r="W9" i="14"/>
  <c r="R58" i="19"/>
  <c r="R104" i="19" s="1"/>
  <c r="R101" i="19"/>
  <c r="R107" i="19"/>
  <c r="R78" i="19"/>
  <c r="W9" i="19"/>
  <c r="W71" i="19" s="1"/>
  <c r="V57" i="19"/>
  <c r="V75" i="19" s="1"/>
  <c r="AA53" i="19"/>
  <c r="Z79" i="20"/>
  <c r="W28" i="19"/>
  <c r="V58" i="19"/>
  <c r="V104" i="19" s="1"/>
  <c r="BA19" i="19" l="1"/>
  <c r="BA21" i="19"/>
  <c r="AX76" i="20"/>
  <c r="AV43" i="19"/>
  <c r="AV40" i="19"/>
  <c r="AS77" i="20"/>
  <c r="AN54" i="20"/>
  <c r="W100" i="19"/>
  <c r="W102" i="19" s="1"/>
  <c r="AF33" i="19"/>
  <c r="AH33" i="19" s="1"/>
  <c r="V125" i="19"/>
  <c r="W73" i="19"/>
  <c r="W72" i="19"/>
  <c r="W124" i="19"/>
  <c r="W125" i="19" s="1"/>
  <c r="AB39" i="19"/>
  <c r="K72" i="20"/>
  <c r="M27" i="24"/>
  <c r="W25" i="24"/>
  <c r="W26" i="24" s="1"/>
  <c r="AB24" i="21"/>
  <c r="AB35" i="19"/>
  <c r="AB34" i="19"/>
  <c r="AB23" i="21"/>
  <c r="V28" i="24"/>
  <c r="V27" i="24"/>
  <c r="V26" i="24"/>
  <c r="S72" i="20"/>
  <c r="S57" i="20"/>
  <c r="R35" i="14"/>
  <c r="R18" i="14"/>
  <c r="L72" i="20"/>
  <c r="AB56" i="20"/>
  <c r="W29" i="19"/>
  <c r="W106" i="19" s="1"/>
  <c r="W58" i="19"/>
  <c r="W104" i="19" s="1"/>
  <c r="AB44" i="19"/>
  <c r="AB53" i="19" s="1"/>
  <c r="AC53" i="19"/>
  <c r="W12" i="14"/>
  <c r="W15" i="14"/>
  <c r="W16" i="19"/>
  <c r="AC56" i="20"/>
  <c r="W57" i="19"/>
  <c r="W75" i="19" s="1"/>
  <c r="V18" i="14"/>
  <c r="V24" i="14"/>
  <c r="V35" i="14"/>
  <c r="V30" i="14"/>
  <c r="AC60" i="21"/>
  <c r="AC64" i="21" s="1"/>
  <c r="V72" i="21"/>
  <c r="AA79" i="20"/>
  <c r="BF19" i="19" l="1"/>
  <c r="BF21" i="19"/>
  <c r="BA40" i="19"/>
  <c r="BA43" i="19"/>
  <c r="AY76" i="20"/>
  <c r="AT77" i="20"/>
  <c r="W101" i="19"/>
  <c r="AO54" i="20"/>
  <c r="W37" i="19"/>
  <c r="W46" i="19" s="1"/>
  <c r="AB82" i="19"/>
  <c r="AB86" i="19" s="1"/>
  <c r="AB115" i="19"/>
  <c r="AB117" i="19"/>
  <c r="AG33" i="19"/>
  <c r="W89" i="19"/>
  <c r="W87" i="19" s="1"/>
  <c r="W108" i="19"/>
  <c r="W107" i="19"/>
  <c r="W27" i="24"/>
  <c r="AD34" i="19"/>
  <c r="AD37" i="19" s="1"/>
  <c r="O72" i="20"/>
  <c r="O57" i="20"/>
  <c r="AB79" i="20"/>
  <c r="I72" i="20"/>
  <c r="AD60" i="21"/>
  <c r="AD44" i="19"/>
  <c r="AD53" i="19" s="1"/>
  <c r="H72" i="20"/>
  <c r="AD56" i="20"/>
  <c r="W30" i="14"/>
  <c r="W18" i="14"/>
  <c r="W35" i="14"/>
  <c r="N72" i="20"/>
  <c r="N57" i="20"/>
  <c r="AC79" i="20"/>
  <c r="BK21" i="19" l="1"/>
  <c r="BL21" i="19"/>
  <c r="BM21" i="19" s="1"/>
  <c r="BN21" i="19" s="1"/>
  <c r="BO21" i="19" s="1"/>
  <c r="BK19" i="19"/>
  <c r="BL19" i="19"/>
  <c r="BM19" i="19" s="1"/>
  <c r="BN19" i="19" s="1"/>
  <c r="BO19" i="19" s="1"/>
  <c r="BF40" i="19"/>
  <c r="BI40" i="19"/>
  <c r="BF43" i="19"/>
  <c r="BB76" i="20"/>
  <c r="AV107" i="24"/>
  <c r="AZ76" i="20"/>
  <c r="BA106" i="24"/>
  <c r="AU77" i="20"/>
  <c r="AP54" i="20"/>
  <c r="AD46" i="19"/>
  <c r="AL15" i="19"/>
  <c r="AI33" i="19"/>
  <c r="T72" i="20"/>
  <c r="T57" i="20"/>
  <c r="AD23" i="21"/>
  <c r="U72" i="20"/>
  <c r="U57" i="20"/>
  <c r="M72" i="20"/>
  <c r="AE56" i="20"/>
  <c r="AD79" i="20"/>
  <c r="AE44" i="19"/>
  <c r="AE53" i="19" s="1"/>
  <c r="AE60" i="21"/>
  <c r="AF60" i="21"/>
  <c r="P72" i="20"/>
  <c r="P57" i="20"/>
  <c r="V57" i="20"/>
  <c r="V72" i="20"/>
  <c r="X83" i="20"/>
  <c r="Q57" i="20"/>
  <c r="Q72" i="20"/>
  <c r="BP19" i="19" l="1"/>
  <c r="BQ19" i="19"/>
  <c r="BR19" i="19" s="1"/>
  <c r="BS19" i="19" s="1"/>
  <c r="BT19" i="19" s="1"/>
  <c r="BU19" i="19" s="1"/>
  <c r="BP21" i="19"/>
  <c r="BQ21" i="19"/>
  <c r="BR21" i="19" s="1"/>
  <c r="BS21" i="19" s="1"/>
  <c r="BT21" i="19" s="1"/>
  <c r="BU21" i="19" s="1"/>
  <c r="BK43" i="19"/>
  <c r="BL43" i="19"/>
  <c r="BM43" i="19" s="1"/>
  <c r="BN43" i="19" s="1"/>
  <c r="BO43" i="19" s="1"/>
  <c r="BK40" i="19"/>
  <c r="BL40" i="19"/>
  <c r="BM40" i="19" s="1"/>
  <c r="BN40" i="19" s="1"/>
  <c r="BO40" i="19" s="1"/>
  <c r="BC76" i="20"/>
  <c r="AV77" i="20"/>
  <c r="AW77" i="20"/>
  <c r="BA76" i="20"/>
  <c r="AV8" i="19"/>
  <c r="AQ54" i="20"/>
  <c r="AR54" i="20"/>
  <c r="AD26" i="21"/>
  <c r="AD64" i="21" s="1"/>
  <c r="AQ8" i="19"/>
  <c r="AJ33" i="19"/>
  <c r="AG39" i="19"/>
  <c r="AF34" i="19"/>
  <c r="AE23" i="21"/>
  <c r="AF44" i="19"/>
  <c r="AF53" i="19" s="1"/>
  <c r="V67" i="19"/>
  <c r="V124" i="24"/>
  <c r="AE79" i="20"/>
  <c r="R72" i="20"/>
  <c r="R57" i="20"/>
  <c r="AB20" i="19"/>
  <c r="AG91" i="19" s="1"/>
  <c r="BP40" i="19" l="1"/>
  <c r="BQ40" i="19"/>
  <c r="BR40" i="19" s="1"/>
  <c r="BS40" i="19" s="1"/>
  <c r="BT40" i="19" s="1"/>
  <c r="BU40" i="19" s="1"/>
  <c r="BP43" i="19"/>
  <c r="BQ43" i="19"/>
  <c r="BR43" i="19" s="1"/>
  <c r="BS43" i="19" s="1"/>
  <c r="BT43" i="19" s="1"/>
  <c r="BU43" i="19" s="1"/>
  <c r="BD76" i="20"/>
  <c r="BA8" i="19"/>
  <c r="AX77" i="20"/>
  <c r="AH34" i="19"/>
  <c r="AH23" i="21" s="1"/>
  <c r="AG117" i="19"/>
  <c r="AG115" i="19"/>
  <c r="AG95" i="19"/>
  <c r="AS54" i="20"/>
  <c r="AT54" i="20" s="1"/>
  <c r="AW54" i="20" s="1"/>
  <c r="AB98" i="19"/>
  <c r="AB96" i="19" s="1"/>
  <c r="AH44" i="19"/>
  <c r="AH53" i="19" s="1"/>
  <c r="AK33" i="19"/>
  <c r="AM33" i="19" s="1"/>
  <c r="AG35" i="19"/>
  <c r="AF23" i="21"/>
  <c r="AG23" i="21" s="1"/>
  <c r="AG26" i="21" s="1"/>
  <c r="AG34" i="19"/>
  <c r="V94" i="20"/>
  <c r="V88" i="21"/>
  <c r="V93" i="20"/>
  <c r="V95" i="20"/>
  <c r="V71" i="21"/>
  <c r="V74" i="21" s="1"/>
  <c r="V68" i="21"/>
  <c r="AG44" i="19"/>
  <c r="AG53" i="19" s="1"/>
  <c r="BF106" i="24" l="1"/>
  <c r="BF8" i="19"/>
  <c r="AY77" i="20"/>
  <c r="AW56" i="20"/>
  <c r="AW79" i="20" s="1"/>
  <c r="AX54" i="20"/>
  <c r="AV54" i="20"/>
  <c r="AI34" i="19"/>
  <c r="AJ34" i="19" s="1"/>
  <c r="AG71" i="21"/>
  <c r="AG74" i="21" s="1"/>
  <c r="AG64" i="21"/>
  <c r="AI44" i="19"/>
  <c r="AI53" i="19" s="1"/>
  <c r="AL33" i="19"/>
  <c r="V68" i="19"/>
  <c r="V126" i="24"/>
  <c r="V125" i="24"/>
  <c r="V52" i="19"/>
  <c r="V76" i="21"/>
  <c r="V77" i="21"/>
  <c r="V75" i="21"/>
  <c r="V90" i="21"/>
  <c r="V89" i="21"/>
  <c r="BK8" i="19" l="1"/>
  <c r="BL8" i="19"/>
  <c r="BM8" i="19" s="1"/>
  <c r="BN8" i="19" s="1"/>
  <c r="BO8" i="19" s="1"/>
  <c r="BF76" i="20"/>
  <c r="AI23" i="21"/>
  <c r="BG76" i="20"/>
  <c r="AJ44" i="19"/>
  <c r="AJ53" i="19" s="1"/>
  <c r="BA107" i="24"/>
  <c r="BA77" i="20" s="1"/>
  <c r="AZ77" i="20"/>
  <c r="AV15" i="19"/>
  <c r="AX56" i="20"/>
  <c r="AX79" i="20" s="1"/>
  <c r="AY54" i="20"/>
  <c r="AQ15" i="19"/>
  <c r="AM115" i="19"/>
  <c r="AM117" i="19"/>
  <c r="AL39" i="19"/>
  <c r="AK34" i="19"/>
  <c r="AM34" i="19" s="1"/>
  <c r="V54" i="19"/>
  <c r="V55" i="19" s="1"/>
  <c r="V127" i="24"/>
  <c r="V50" i="19"/>
  <c r="W48" i="19"/>
  <c r="V56" i="19"/>
  <c r="BP8" i="19" l="1"/>
  <c r="BQ8" i="19"/>
  <c r="BR8" i="19" s="1"/>
  <c r="BS8" i="19" s="1"/>
  <c r="BT8" i="19" s="1"/>
  <c r="BU8" i="19" s="1"/>
  <c r="AK44" i="19"/>
  <c r="AK53" i="19" s="1"/>
  <c r="BH76" i="20"/>
  <c r="BB77" i="20"/>
  <c r="BA15" i="19"/>
  <c r="AZ54" i="20"/>
  <c r="AY56" i="20"/>
  <c r="AY79" i="20" s="1"/>
  <c r="AL117" i="19"/>
  <c r="AL115" i="19"/>
  <c r="AL35" i="19"/>
  <c r="AL24" i="21"/>
  <c r="AL34" i="19"/>
  <c r="AL23" i="21"/>
  <c r="W56" i="19"/>
  <c r="W50" i="19"/>
  <c r="AL44" i="19" l="1"/>
  <c r="AL53" i="19" s="1"/>
  <c r="AM44" i="19"/>
  <c r="AN44" i="19" s="1"/>
  <c r="BF15" i="19"/>
  <c r="BC77" i="20"/>
  <c r="BA54" i="20"/>
  <c r="AQ33" i="19"/>
  <c r="AM53" i="19" l="1"/>
  <c r="BK15" i="19"/>
  <c r="BL15" i="19"/>
  <c r="BM15" i="19" s="1"/>
  <c r="BN15" i="19" s="1"/>
  <c r="BO15" i="19" s="1"/>
  <c r="BL76" i="20"/>
  <c r="BK106" i="24"/>
  <c r="BJ76" i="20"/>
  <c r="BD77" i="20"/>
  <c r="AQ39" i="19"/>
  <c r="AO44" i="19"/>
  <c r="AN53" i="19"/>
  <c r="X37" i="24"/>
  <c r="BP15" i="19" l="1"/>
  <c r="BQ15" i="19"/>
  <c r="BR15" i="19" s="1"/>
  <c r="BS15" i="19" s="1"/>
  <c r="BT15" i="19" s="1"/>
  <c r="BU15" i="19" s="1"/>
  <c r="BM76" i="20"/>
  <c r="BF107" i="24"/>
  <c r="BF77" i="20" s="1"/>
  <c r="BG77" i="20"/>
  <c r="BK76" i="20"/>
  <c r="BE77" i="20"/>
  <c r="AQ35" i="19"/>
  <c r="AQ24" i="21"/>
  <c r="AQ34" i="19"/>
  <c r="AQ23" i="21"/>
  <c r="AQ115" i="19"/>
  <c r="AQ117" i="19"/>
  <c r="AP44" i="19"/>
  <c r="AR44" i="19" s="1"/>
  <c r="AO53" i="19"/>
  <c r="AG20" i="19"/>
  <c r="X63" i="24"/>
  <c r="X64" i="24"/>
  <c r="BN76" i="20" l="1"/>
  <c r="BP106" i="24"/>
  <c r="BH77" i="20"/>
  <c r="BF54" i="20"/>
  <c r="AV33" i="19"/>
  <c r="AS44" i="19"/>
  <c r="AS53" i="19" s="1"/>
  <c r="AS54" i="19" s="1"/>
  <c r="AS55" i="19" s="1"/>
  <c r="AR53" i="19"/>
  <c r="AL91" i="19"/>
  <c r="AG98" i="19"/>
  <c r="AG96" i="19" s="1"/>
  <c r="AQ44" i="19"/>
  <c r="AQ53" i="19" s="1"/>
  <c r="AP53" i="19"/>
  <c r="BP76" i="20" l="1"/>
  <c r="BO76" i="20"/>
  <c r="AT44" i="19"/>
  <c r="AV39" i="19"/>
  <c r="AC63" i="24"/>
  <c r="AA37" i="24"/>
  <c r="AC37" i="24"/>
  <c r="Z37" i="24"/>
  <c r="Y37" i="24"/>
  <c r="AB34" i="24"/>
  <c r="AB36" i="24" s="1"/>
  <c r="BK107" i="24" l="1"/>
  <c r="BL107" i="24"/>
  <c r="BI54" i="20"/>
  <c r="BJ77" i="20"/>
  <c r="AV34" i="19"/>
  <c r="AV23" i="21"/>
  <c r="AU44" i="19"/>
  <c r="AW44" i="19" s="1"/>
  <c r="AT53" i="19"/>
  <c r="AV117" i="19"/>
  <c r="AV115" i="19"/>
  <c r="AV35" i="19"/>
  <c r="AV24" i="21"/>
  <c r="AA64" i="24"/>
  <c r="AC64" i="24"/>
  <c r="AA63" i="24"/>
  <c r="Z63" i="24"/>
  <c r="Y64" i="24"/>
  <c r="Y63" i="24"/>
  <c r="Z64" i="24"/>
  <c r="AB61" i="24"/>
  <c r="BK77" i="20" l="1"/>
  <c r="BL77" i="20"/>
  <c r="BM107" i="24"/>
  <c r="BJ54" i="20"/>
  <c r="BL54" i="20" s="1"/>
  <c r="BM54" i="20" s="1"/>
  <c r="AX44" i="19"/>
  <c r="AW53" i="19"/>
  <c r="BB118" i="19"/>
  <c r="BA33" i="19"/>
  <c r="AV44" i="19"/>
  <c r="AV53" i="19" s="1"/>
  <c r="AU53" i="19"/>
  <c r="AB63" i="24"/>
  <c r="AB79" i="24"/>
  <c r="BK54" i="20" l="1"/>
  <c r="BM77" i="20"/>
  <c r="BN107" i="24"/>
  <c r="BN54" i="20"/>
  <c r="BO54" i="20" s="1"/>
  <c r="AY44" i="19"/>
  <c r="AX53" i="19"/>
  <c r="BB117" i="19"/>
  <c r="BB115" i="19"/>
  <c r="BA39" i="19"/>
  <c r="AE37" i="24"/>
  <c r="AF37" i="24"/>
  <c r="AD37" i="24"/>
  <c r="AG34" i="24"/>
  <c r="BP54" i="20" l="1"/>
  <c r="BQ54" i="20"/>
  <c r="BN77" i="20"/>
  <c r="BO107" i="24"/>
  <c r="AZ44" i="19"/>
  <c r="AY53" i="19"/>
  <c r="BA115" i="19"/>
  <c r="BA117" i="19"/>
  <c r="BA34" i="19"/>
  <c r="BA23" i="21"/>
  <c r="BA35" i="19"/>
  <c r="BA24" i="21"/>
  <c r="AK63" i="24"/>
  <c r="AJ63" i="24"/>
  <c r="AG36" i="24"/>
  <c r="AD63" i="24"/>
  <c r="AD64" i="24"/>
  <c r="AG61" i="24"/>
  <c r="AE63" i="24"/>
  <c r="AE64" i="24"/>
  <c r="AF64" i="24"/>
  <c r="AF63" i="24"/>
  <c r="BP107" i="24" l="1"/>
  <c r="BP77" i="20" s="1"/>
  <c r="BQ107" i="24"/>
  <c r="BR54" i="20"/>
  <c r="BS54" i="20" s="1"/>
  <c r="BT54" i="20" s="1"/>
  <c r="BO77" i="20"/>
  <c r="BA44" i="19"/>
  <c r="BA53" i="19" s="1"/>
  <c r="BB44" i="19"/>
  <c r="AZ53" i="19"/>
  <c r="BF33" i="19"/>
  <c r="BC23" i="21"/>
  <c r="AG63" i="24"/>
  <c r="AG79" i="24"/>
  <c r="AA49" i="24"/>
  <c r="Y49" i="24"/>
  <c r="X49" i="24"/>
  <c r="Z49" i="24"/>
  <c r="AB47" i="24"/>
  <c r="BU54" i="20" l="1"/>
  <c r="BQ77" i="20"/>
  <c r="BR107" i="24"/>
  <c r="BI33" i="19"/>
  <c r="BC44" i="19"/>
  <c r="BB53" i="19"/>
  <c r="BF39" i="19"/>
  <c r="AA74" i="24"/>
  <c r="AA63" i="19" s="1"/>
  <c r="Y74" i="24"/>
  <c r="Y63" i="19" s="1"/>
  <c r="X74" i="24"/>
  <c r="X63" i="19" s="1"/>
  <c r="AB48" i="24"/>
  <c r="Z72" i="24"/>
  <c r="Z71" i="24"/>
  <c r="AA71" i="24"/>
  <c r="AA72" i="24"/>
  <c r="Z74" i="24"/>
  <c r="Y72" i="24"/>
  <c r="Y71" i="24"/>
  <c r="X71" i="24"/>
  <c r="X72" i="24"/>
  <c r="AB69" i="24"/>
  <c r="BS107" i="24" l="1"/>
  <c r="BR77" i="20"/>
  <c r="BH118" i="19"/>
  <c r="BL33" i="19"/>
  <c r="BD44" i="19"/>
  <c r="BC53" i="19"/>
  <c r="BF34" i="19"/>
  <c r="BF23" i="21"/>
  <c r="BF35" i="19"/>
  <c r="BF24" i="21"/>
  <c r="BF115" i="19"/>
  <c r="BF117" i="19"/>
  <c r="AB74" i="24"/>
  <c r="AA101" i="19"/>
  <c r="Y101" i="19"/>
  <c r="Y78" i="19"/>
  <c r="Y107" i="19"/>
  <c r="X101" i="19"/>
  <c r="X107" i="19"/>
  <c r="X78" i="19"/>
  <c r="X58" i="19"/>
  <c r="X104" i="19" s="1"/>
  <c r="AB71" i="24"/>
  <c r="AB80" i="24"/>
  <c r="AA58" i="19"/>
  <c r="AA104" i="19" s="1"/>
  <c r="AB28" i="19"/>
  <c r="Z63" i="19"/>
  <c r="BT107" i="24" l="1"/>
  <c r="BT77" i="20" s="1"/>
  <c r="BS77" i="20"/>
  <c r="BH115" i="19"/>
  <c r="BH117" i="19"/>
  <c r="BM33" i="19"/>
  <c r="BK33" i="19"/>
  <c r="BI34" i="19"/>
  <c r="BE44" i="19"/>
  <c r="BG44" i="19" s="1"/>
  <c r="BD53" i="19"/>
  <c r="AB63" i="19"/>
  <c r="AB58" i="19" s="1"/>
  <c r="AB104" i="19" s="1"/>
  <c r="AB100" i="19"/>
  <c r="AB102" i="19" s="1"/>
  <c r="Z107" i="19"/>
  <c r="Z78" i="19"/>
  <c r="Z101" i="19"/>
  <c r="Y58" i="19"/>
  <c r="Y104" i="19" s="1"/>
  <c r="BU107" i="24" l="1"/>
  <c r="BU77" i="20" s="1"/>
  <c r="BK39" i="19"/>
  <c r="BN33" i="19"/>
  <c r="BH44" i="19"/>
  <c r="BG53" i="19"/>
  <c r="BL35" i="19"/>
  <c r="BL34" i="19"/>
  <c r="BI23" i="21"/>
  <c r="BF44" i="19"/>
  <c r="BF53" i="19" s="1"/>
  <c r="BE53" i="19"/>
  <c r="AB101" i="19"/>
  <c r="Z58" i="19"/>
  <c r="Z104" i="19" s="1"/>
  <c r="BJ118" i="19" l="1"/>
  <c r="BL39" i="19"/>
  <c r="BL118" i="19" s="1"/>
  <c r="BJ117" i="19"/>
  <c r="BJ115" i="19"/>
  <c r="BM34" i="19"/>
  <c r="BL23" i="21"/>
  <c r="BO33" i="19"/>
  <c r="BQ33" i="19" s="1"/>
  <c r="BL24" i="21"/>
  <c r="BM35" i="19"/>
  <c r="BI44" i="19"/>
  <c r="BH53" i="19"/>
  <c r="BK117" i="19"/>
  <c r="BK115" i="19"/>
  <c r="BK34" i="19"/>
  <c r="BK23" i="21"/>
  <c r="BK35" i="19"/>
  <c r="BK24" i="21"/>
  <c r="AB20" i="21"/>
  <c r="BR33" i="19" l="1"/>
  <c r="BL117" i="19"/>
  <c r="BM39" i="19"/>
  <c r="BN39" i="19" s="1"/>
  <c r="BL115" i="19"/>
  <c r="BP33" i="19"/>
  <c r="BN35" i="19"/>
  <c r="BM24" i="21"/>
  <c r="BN34" i="19"/>
  <c r="BM23" i="21"/>
  <c r="BJ44" i="19"/>
  <c r="BL44" i="19" s="1"/>
  <c r="BI53" i="19"/>
  <c r="Y97" i="20"/>
  <c r="Y50" i="24"/>
  <c r="Y35" i="24"/>
  <c r="Y31" i="24"/>
  <c r="Y62" i="24"/>
  <c r="Y91" i="24"/>
  <c r="Y96" i="24"/>
  <c r="Y53" i="24"/>
  <c r="Y58" i="24"/>
  <c r="Y101" i="24"/>
  <c r="Y86" i="24"/>
  <c r="Y84" i="21"/>
  <c r="Y21" i="6"/>
  <c r="Y34" i="14"/>
  <c r="Y70" i="24"/>
  <c r="Y76" i="24"/>
  <c r="Y62" i="19"/>
  <c r="AA52" i="24"/>
  <c r="AA16" i="20" s="1"/>
  <c r="AA20" i="20" s="1"/>
  <c r="X52" i="24"/>
  <c r="X16" i="20" s="1"/>
  <c r="X20" i="20" s="1"/>
  <c r="BS33" i="19" l="1"/>
  <c r="X22" i="20"/>
  <c r="X23" i="20"/>
  <c r="AC22" i="20"/>
  <c r="Y23" i="20"/>
  <c r="AA22" i="20"/>
  <c r="AA23" i="20"/>
  <c r="AC23" i="20"/>
  <c r="AF22" i="20"/>
  <c r="BM118" i="19"/>
  <c r="BM115" i="19"/>
  <c r="BM117" i="19"/>
  <c r="BO35" i="19"/>
  <c r="BQ35" i="19" s="1"/>
  <c r="BN24" i="21"/>
  <c r="BM44" i="19"/>
  <c r="BL53" i="19"/>
  <c r="BO34" i="19"/>
  <c r="BQ34" i="19" s="1"/>
  <c r="BN23" i="21"/>
  <c r="BN118" i="19"/>
  <c r="BN117" i="19"/>
  <c r="BN115" i="19"/>
  <c r="BO39" i="19"/>
  <c r="BQ39" i="19" s="1"/>
  <c r="BK44" i="19"/>
  <c r="BK53" i="19" s="1"/>
  <c r="BJ53" i="19"/>
  <c r="X66" i="24"/>
  <c r="X42" i="24"/>
  <c r="AB52" i="24"/>
  <c r="AB16" i="20" s="1"/>
  <c r="AA66" i="24"/>
  <c r="AA42" i="24"/>
  <c r="AA8" i="20"/>
  <c r="AA21" i="27"/>
  <c r="AA17" i="27" s="1"/>
  <c r="X21" i="27"/>
  <c r="X17" i="27" s="1"/>
  <c r="X8" i="20"/>
  <c r="AA105" i="20"/>
  <c r="Y93" i="19"/>
  <c r="Y84" i="19"/>
  <c r="Y72" i="19"/>
  <c r="X105" i="20"/>
  <c r="Y107" i="20" s="1"/>
  <c r="AA97" i="20"/>
  <c r="Z97" i="20"/>
  <c r="X97" i="20"/>
  <c r="X50" i="24"/>
  <c r="X35" i="24"/>
  <c r="X31" i="24"/>
  <c r="AA50" i="24"/>
  <c r="AA35" i="24"/>
  <c r="AA31" i="24"/>
  <c r="Z50" i="24"/>
  <c r="Z35" i="24"/>
  <c r="Z31" i="24"/>
  <c r="X62" i="19"/>
  <c r="AD49" i="24"/>
  <c r="AE49" i="24"/>
  <c r="AC49" i="24"/>
  <c r="AG47" i="24"/>
  <c r="AF49" i="24"/>
  <c r="Y82" i="24"/>
  <c r="Y103" i="24"/>
  <c r="Y109" i="24" s="1"/>
  <c r="Y85" i="21"/>
  <c r="X62" i="24"/>
  <c r="X54" i="24"/>
  <c r="X91" i="24"/>
  <c r="X101" i="24"/>
  <c r="X58" i="24"/>
  <c r="X96" i="24"/>
  <c r="X86" i="24"/>
  <c r="X84" i="21"/>
  <c r="Y86" i="21" s="1"/>
  <c r="X53" i="24"/>
  <c r="X21" i="6"/>
  <c r="X34" i="14"/>
  <c r="X70" i="24"/>
  <c r="X76" i="24"/>
  <c r="Y10" i="14"/>
  <c r="Y9" i="14"/>
  <c r="AA86" i="24"/>
  <c r="AA96" i="24"/>
  <c r="AA62" i="24"/>
  <c r="AA54" i="24"/>
  <c r="AA58" i="24"/>
  <c r="AA53" i="24"/>
  <c r="AA21" i="6"/>
  <c r="AA84" i="21"/>
  <c r="AA34" i="14"/>
  <c r="AA70" i="24"/>
  <c r="AA76" i="24"/>
  <c r="AA62" i="19"/>
  <c r="Y86" i="20"/>
  <c r="Y51" i="20"/>
  <c r="Z62" i="24"/>
  <c r="Z86" i="24"/>
  <c r="Z58" i="24"/>
  <c r="Z101" i="24"/>
  <c r="Z91" i="24"/>
  <c r="Z96" i="24"/>
  <c r="Z54" i="24"/>
  <c r="Z53" i="24"/>
  <c r="Z21" i="6"/>
  <c r="Z84" i="21"/>
  <c r="Z34" i="14"/>
  <c r="Z70" i="24"/>
  <c r="Z76" i="24"/>
  <c r="Z82" i="24" s="1"/>
  <c r="Z62" i="19"/>
  <c r="Y54" i="24"/>
  <c r="BQ117" i="19" l="1"/>
  <c r="BQ118" i="19"/>
  <c r="BQ115" i="19"/>
  <c r="BR39" i="19"/>
  <c r="BR35" i="19"/>
  <c r="BQ24" i="21"/>
  <c r="BR34" i="19"/>
  <c r="BQ23" i="21"/>
  <c r="BT33" i="19"/>
  <c r="BP34" i="19"/>
  <c r="BO23" i="21"/>
  <c r="BP23" i="21" s="1"/>
  <c r="BO118" i="19"/>
  <c r="BO115" i="19"/>
  <c r="BP39" i="19"/>
  <c r="BO117" i="19"/>
  <c r="BN44" i="19"/>
  <c r="BM53" i="19"/>
  <c r="BP35" i="19"/>
  <c r="BO24" i="21"/>
  <c r="BP24" i="21" s="1"/>
  <c r="AA27" i="14"/>
  <c r="AA28" i="14"/>
  <c r="AB66" i="24"/>
  <c r="AB42" i="24"/>
  <c r="AB21" i="27"/>
  <c r="AB17" i="27" s="1"/>
  <c r="AB18" i="27" s="1"/>
  <c r="AB8" i="20"/>
  <c r="X19" i="27"/>
  <c r="X18" i="27"/>
  <c r="Y19" i="27"/>
  <c r="AA35" i="20"/>
  <c r="AA40" i="20"/>
  <c r="AA12" i="20"/>
  <c r="AA31" i="27"/>
  <c r="X40" i="20"/>
  <c r="X12" i="20"/>
  <c r="X124" i="19" s="1"/>
  <c r="X31" i="27"/>
  <c r="X35" i="20"/>
  <c r="AA18" i="27"/>
  <c r="AA19" i="27"/>
  <c r="AB105" i="20"/>
  <c r="Y124" i="19"/>
  <c r="Y125" i="19" s="1"/>
  <c r="Z93" i="19"/>
  <c r="Z84" i="19"/>
  <c r="Z72" i="19"/>
  <c r="AA93" i="19"/>
  <c r="AA84" i="19"/>
  <c r="AA72" i="19"/>
  <c r="AA107" i="20"/>
  <c r="AA114" i="20"/>
  <c r="AA106" i="20"/>
  <c r="AH72" i="24"/>
  <c r="AI71" i="24"/>
  <c r="AH71" i="24"/>
  <c r="AL48" i="24"/>
  <c r="AJ71" i="24"/>
  <c r="X114" i="20"/>
  <c r="X106" i="20"/>
  <c r="X107" i="20"/>
  <c r="X93" i="19"/>
  <c r="X84" i="19"/>
  <c r="X72" i="19"/>
  <c r="AB97" i="20"/>
  <c r="Y57" i="19"/>
  <c r="Y75" i="19" s="1"/>
  <c r="Y15" i="14"/>
  <c r="Y12" i="14"/>
  <c r="Z103" i="24"/>
  <c r="Z109" i="24" s="1"/>
  <c r="AA86" i="21"/>
  <c r="AA85" i="21"/>
  <c r="Y16" i="14"/>
  <c r="AE72" i="24"/>
  <c r="AE71" i="24"/>
  <c r="Z86" i="21"/>
  <c r="Z85" i="21"/>
  <c r="Y25" i="24"/>
  <c r="Y72" i="21"/>
  <c r="AG48" i="24"/>
  <c r="AD72" i="24"/>
  <c r="AD71" i="24"/>
  <c r="AB96" i="24"/>
  <c r="AB35" i="24"/>
  <c r="AB53" i="24"/>
  <c r="AB31" i="24"/>
  <c r="AB58" i="24"/>
  <c r="AB34" i="14"/>
  <c r="AB62" i="24"/>
  <c r="AB76" i="24"/>
  <c r="AB86" i="24"/>
  <c r="AB50" i="24"/>
  <c r="AB62" i="19"/>
  <c r="AB21" i="6"/>
  <c r="AB84" i="21"/>
  <c r="AB85" i="21" s="1"/>
  <c r="AB70" i="24"/>
  <c r="Y104" i="24"/>
  <c r="Z10" i="14"/>
  <c r="AE16" i="14" s="1"/>
  <c r="Z9" i="14"/>
  <c r="AC71" i="24"/>
  <c r="AC72" i="24"/>
  <c r="AG69" i="24"/>
  <c r="AA82" i="24"/>
  <c r="X82" i="24"/>
  <c r="X103" i="24"/>
  <c r="X109" i="24" s="1"/>
  <c r="X10" i="14"/>
  <c r="Y22" i="14" s="1"/>
  <c r="X9" i="14"/>
  <c r="Y21" i="14" s="1"/>
  <c r="X85" i="21"/>
  <c r="X86" i="21"/>
  <c r="AF71" i="24"/>
  <c r="AF72" i="24"/>
  <c r="X57" i="19"/>
  <c r="X75" i="19" s="1"/>
  <c r="BS34" i="19" l="1"/>
  <c r="BR23" i="21"/>
  <c r="BS35" i="19"/>
  <c r="BR24" i="21"/>
  <c r="BR118" i="19"/>
  <c r="BR115" i="19"/>
  <c r="BR117" i="19"/>
  <c r="BS39" i="19"/>
  <c r="BU33" i="19"/>
  <c r="BP117" i="19"/>
  <c r="BP115" i="19"/>
  <c r="BO44" i="19"/>
  <c r="BQ44" i="19" s="1"/>
  <c r="BN53" i="19"/>
  <c r="X30" i="20"/>
  <c r="X28" i="20" s="1"/>
  <c r="X27" i="20" s="1"/>
  <c r="AA33" i="27"/>
  <c r="AA34" i="27"/>
  <c r="AA13" i="20"/>
  <c r="AA14" i="20"/>
  <c r="AA30" i="20"/>
  <c r="AA36" i="20"/>
  <c r="AA37" i="20"/>
  <c r="X37" i="20"/>
  <c r="X36" i="20"/>
  <c r="Y37" i="20"/>
  <c r="AB40" i="20"/>
  <c r="AB35" i="20"/>
  <c r="AB31" i="27"/>
  <c r="AB33" i="27" s="1"/>
  <c r="X34" i="27"/>
  <c r="X33" i="27"/>
  <c r="Y34" i="27"/>
  <c r="X14" i="20"/>
  <c r="X13" i="20"/>
  <c r="Y14" i="20"/>
  <c r="AB114" i="20"/>
  <c r="AB107" i="20"/>
  <c r="Y126" i="19"/>
  <c r="AB106" i="20"/>
  <c r="AB93" i="19"/>
  <c r="AB84" i="19"/>
  <c r="AG80" i="24"/>
  <c r="AB32" i="19"/>
  <c r="X126" i="19"/>
  <c r="X125" i="19"/>
  <c r="X25" i="24"/>
  <c r="Z51" i="20"/>
  <c r="Z86" i="20"/>
  <c r="X104" i="24"/>
  <c r="AA86" i="20"/>
  <c r="AA51" i="20"/>
  <c r="X86" i="20"/>
  <c r="X92" i="20" s="1"/>
  <c r="X51" i="20"/>
  <c r="AA15" i="14"/>
  <c r="AA21" i="14"/>
  <c r="AA72" i="21"/>
  <c r="X22" i="14"/>
  <c r="X16" i="14"/>
  <c r="AB10" i="14"/>
  <c r="X72" i="21"/>
  <c r="AG71" i="24"/>
  <c r="Y18" i="14"/>
  <c r="Y30" i="14"/>
  <c r="Y35" i="14"/>
  <c r="Z15" i="14"/>
  <c r="Z21" i="14"/>
  <c r="Z12" i="14"/>
  <c r="AB82" i="24"/>
  <c r="Z22" i="14"/>
  <c r="Z16" i="14"/>
  <c r="Z72" i="21"/>
  <c r="X15" i="14"/>
  <c r="X21" i="14"/>
  <c r="X12" i="14"/>
  <c r="Y24" i="14" s="1"/>
  <c r="AB9" i="14"/>
  <c r="AB27" i="14" s="1"/>
  <c r="AA16" i="14"/>
  <c r="AA22" i="14"/>
  <c r="Y113" i="24"/>
  <c r="Y110" i="24"/>
  <c r="Y115" i="24"/>
  <c r="Y27" i="24"/>
  <c r="Y26" i="24"/>
  <c r="AA57" i="19"/>
  <c r="AA75" i="19" s="1"/>
  <c r="AB9" i="19"/>
  <c r="Z104" i="24"/>
  <c r="Z113" i="24"/>
  <c r="Z57" i="19"/>
  <c r="Z75" i="19" s="1"/>
  <c r="BT35" i="19" l="1"/>
  <c r="BS24" i="21"/>
  <c r="BR44" i="19"/>
  <c r="BQ53" i="19"/>
  <c r="BT34" i="19"/>
  <c r="BS23" i="21"/>
  <c r="BS118" i="19"/>
  <c r="BS117" i="19"/>
  <c r="BT39" i="19"/>
  <c r="BS115" i="19"/>
  <c r="AD18" i="20"/>
  <c r="AD20" i="20" s="1"/>
  <c r="AB17" i="20"/>
  <c r="AB20" i="20" s="1"/>
  <c r="AB22" i="20" s="1"/>
  <c r="BP44" i="19"/>
  <c r="BP53" i="19" s="1"/>
  <c r="BO53" i="19"/>
  <c r="AB16" i="14"/>
  <c r="AB28" i="14"/>
  <c r="AB9" i="20"/>
  <c r="AB12" i="20" s="1"/>
  <c r="AB13" i="20" s="1"/>
  <c r="AC10" i="20"/>
  <c r="AG10" i="20"/>
  <c r="X32" i="20"/>
  <c r="X39" i="20"/>
  <c r="X31" i="20"/>
  <c r="AA32" i="20"/>
  <c r="AA31" i="20"/>
  <c r="AA28" i="20"/>
  <c r="AA27" i="20" s="1"/>
  <c r="AB36" i="20"/>
  <c r="AB30" i="20"/>
  <c r="AA39" i="20"/>
  <c r="AB71" i="19"/>
  <c r="AB73" i="19" s="1"/>
  <c r="Z124" i="19"/>
  <c r="AB111" i="19"/>
  <c r="AB120" i="19" s="1"/>
  <c r="AB121" i="19" s="1"/>
  <c r="AB113" i="19"/>
  <c r="Z25" i="24"/>
  <c r="Z27" i="24" s="1"/>
  <c r="AB22" i="21"/>
  <c r="Y50" i="20"/>
  <c r="Y71" i="20" s="1"/>
  <c r="Y28" i="24"/>
  <c r="AB17" i="21"/>
  <c r="X110" i="24"/>
  <c r="X113" i="24"/>
  <c r="X115" i="24"/>
  <c r="Y117" i="24"/>
  <c r="Z110" i="24"/>
  <c r="Z115" i="24"/>
  <c r="Z50" i="20" s="1"/>
  <c r="Z71" i="20" s="1"/>
  <c r="X30" i="14"/>
  <c r="X24" i="14"/>
  <c r="X18" i="14"/>
  <c r="X35" i="14"/>
  <c r="AB86" i="20"/>
  <c r="AB51" i="20"/>
  <c r="AB57" i="19"/>
  <c r="AB75" i="19" s="1"/>
  <c r="Z35" i="14"/>
  <c r="Z30" i="14"/>
  <c r="Z18" i="14"/>
  <c r="Z24" i="14"/>
  <c r="AA24" i="14"/>
  <c r="AA35" i="14"/>
  <c r="AA18" i="14"/>
  <c r="AB15" i="14"/>
  <c r="AB12" i="14"/>
  <c r="AB72" i="21"/>
  <c r="X28" i="24"/>
  <c r="X26" i="24"/>
  <c r="X27" i="24"/>
  <c r="BS44" i="19" l="1"/>
  <c r="BR53" i="19"/>
  <c r="BT115" i="19"/>
  <c r="BT118" i="19"/>
  <c r="BU39" i="19"/>
  <c r="BT117" i="19"/>
  <c r="BU35" i="19"/>
  <c r="BT24" i="21"/>
  <c r="BU24" i="21" s="1"/>
  <c r="BU34" i="19"/>
  <c r="BT23" i="21"/>
  <c r="BU23" i="21" s="1"/>
  <c r="AD22" i="20"/>
  <c r="AD23" i="20"/>
  <c r="AE23" i="20"/>
  <c r="AB72" i="19"/>
  <c r="AB31" i="20"/>
  <c r="AB32" i="20"/>
  <c r="AB28" i="20"/>
  <c r="AB27" i="20" s="1"/>
  <c r="AB39" i="20"/>
  <c r="Z126" i="19"/>
  <c r="Z125" i="19"/>
  <c r="AB25" i="24"/>
  <c r="AB27" i="24" s="1"/>
  <c r="AB124" i="19"/>
  <c r="AB125" i="19" s="1"/>
  <c r="AA124" i="19"/>
  <c r="Y57" i="20"/>
  <c r="Z26" i="24"/>
  <c r="Z28" i="24"/>
  <c r="AA25" i="24"/>
  <c r="X50" i="20"/>
  <c r="X71" i="20" s="1"/>
  <c r="Z57" i="20"/>
  <c r="Y72" i="20"/>
  <c r="Z117" i="24"/>
  <c r="X117" i="24"/>
  <c r="AB35" i="14"/>
  <c r="AB18" i="14"/>
  <c r="AB30" i="14"/>
  <c r="Y23" i="6"/>
  <c r="BU117" i="19" l="1"/>
  <c r="BU115" i="19"/>
  <c r="BT44" i="19"/>
  <c r="BS53" i="19"/>
  <c r="AB26" i="24"/>
  <c r="AA125" i="19"/>
  <c r="AA126" i="19"/>
  <c r="AA28" i="24"/>
  <c r="AA26" i="24"/>
  <c r="AA27" i="24"/>
  <c r="X57" i="20"/>
  <c r="Z72" i="20"/>
  <c r="X93" i="20"/>
  <c r="Z23" i="6"/>
  <c r="X23" i="6"/>
  <c r="Y83" i="20"/>
  <c r="Y92" i="20" s="1"/>
  <c r="BU44" i="19" l="1"/>
  <c r="BU53" i="19" s="1"/>
  <c r="BT53" i="19"/>
  <c r="X88" i="21"/>
  <c r="X89" i="21" s="1"/>
  <c r="X72" i="20"/>
  <c r="X124" i="24"/>
  <c r="X94" i="20"/>
  <c r="X95" i="20"/>
  <c r="X125" i="24" s="1"/>
  <c r="X67" i="19"/>
  <c r="Y94" i="20"/>
  <c r="Y124" i="24"/>
  <c r="Y88" i="21"/>
  <c r="Y93" i="20"/>
  <c r="Y95" i="20"/>
  <c r="Y67" i="19"/>
  <c r="Y71" i="21"/>
  <c r="Y74" i="21" s="1"/>
  <c r="X90" i="21" l="1"/>
  <c r="X71" i="21"/>
  <c r="X74" i="21" s="1"/>
  <c r="X126" i="24" s="1"/>
  <c r="Y126" i="24"/>
  <c r="Y68" i="19"/>
  <c r="Y75" i="21"/>
  <c r="Y77" i="21"/>
  <c r="Y78" i="21" s="1"/>
  <c r="Y125" i="24"/>
  <c r="Z83" i="20"/>
  <c r="Z92" i="20" s="1"/>
  <c r="Y90" i="21"/>
  <c r="Y89" i="21"/>
  <c r="Y76" i="21" l="1"/>
  <c r="X68" i="19"/>
  <c r="X76" i="21"/>
  <c r="X77" i="21"/>
  <c r="X127" i="24" s="1"/>
  <c r="X75" i="21"/>
  <c r="Z93" i="20"/>
  <c r="Z94" i="20"/>
  <c r="Z124" i="24"/>
  <c r="Z95" i="20"/>
  <c r="Z88" i="21"/>
  <c r="Z67" i="19"/>
  <c r="Z71" i="21"/>
  <c r="Z74" i="21" s="1"/>
  <c r="Y127" i="24"/>
  <c r="Z126" i="24" l="1"/>
  <c r="Z89" i="21"/>
  <c r="Z90" i="21"/>
  <c r="AA83" i="20"/>
  <c r="Z125" i="24"/>
  <c r="AB16" i="19"/>
  <c r="AG82" i="19" s="1"/>
  <c r="Z75" i="21"/>
  <c r="Z76" i="21"/>
  <c r="Z68" i="19"/>
  <c r="Z77" i="21"/>
  <c r="Z78" i="21" s="1"/>
  <c r="AG86" i="19" l="1"/>
  <c r="AB89" i="19"/>
  <c r="AB87" i="19" s="1"/>
  <c r="Z127" i="24"/>
  <c r="AB83" i="20"/>
  <c r="AC83" i="20" l="1"/>
  <c r="W94" i="19" l="1"/>
  <c r="W96" i="19" s="1"/>
  <c r="W95" i="19" l="1"/>
  <c r="W83" i="20"/>
  <c r="W111" i="20"/>
  <c r="W113" i="20" l="1"/>
  <c r="AB112" i="20"/>
  <c r="W86" i="20"/>
  <c r="W92" i="20" s="1"/>
  <c r="W112" i="20"/>
  <c r="W51" i="20"/>
  <c r="W71" i="20" s="1"/>
  <c r="W114" i="20"/>
  <c r="W57" i="20" l="1"/>
  <c r="W72" i="20" l="1"/>
  <c r="W71" i="21"/>
  <c r="W74" i="21" s="1"/>
  <c r="W77" i="21" l="1"/>
  <c r="W75" i="21"/>
  <c r="W124" i="24"/>
  <c r="W93" i="20"/>
  <c r="W88" i="21"/>
  <c r="W95" i="20"/>
  <c r="W125" i="24" s="1"/>
  <c r="W67" i="19"/>
  <c r="W13" i="19" l="1"/>
  <c r="W23" i="19" s="1"/>
  <c r="X68" i="21"/>
  <c r="AB67" i="21"/>
  <c r="W89" i="21"/>
  <c r="W127" i="24"/>
  <c r="W126" i="24"/>
  <c r="W68" i="19"/>
  <c r="W52" i="19" l="1"/>
  <c r="W54" i="19" s="1"/>
  <c r="W55" i="19" s="1"/>
  <c r="Y67" i="21"/>
  <c r="Y68" i="21" s="1"/>
  <c r="X52" i="19" l="1"/>
  <c r="Z67" i="21"/>
  <c r="Z68" i="21" s="1"/>
  <c r="X54" i="19" l="1"/>
  <c r="X55" i="19" s="1"/>
  <c r="Y52" i="19"/>
  <c r="X50" i="19"/>
  <c r="X60" i="19" s="1"/>
  <c r="X56" i="19"/>
  <c r="AA67" i="21"/>
  <c r="Y54" i="19" l="1"/>
  <c r="Y55" i="19" s="1"/>
  <c r="Z52" i="19"/>
  <c r="Z54" i="19" s="1"/>
  <c r="Z55" i="19" s="1"/>
  <c r="AI40" i="24" l="1"/>
  <c r="AH33" i="24"/>
  <c r="AD33" i="24"/>
  <c r="AG30" i="24"/>
  <c r="AC33" i="24"/>
  <c r="AE33" i="24"/>
  <c r="AF33" i="24"/>
  <c r="AM52" i="24" l="1"/>
  <c r="AM16" i="20" s="1"/>
  <c r="AM20" i="20" s="1"/>
  <c r="AK52" i="24"/>
  <c r="AK16" i="20" s="1"/>
  <c r="AK20" i="20" s="1"/>
  <c r="AI67" i="24"/>
  <c r="AI68" i="24"/>
  <c r="AI52" i="24"/>
  <c r="AI16" i="20" s="1"/>
  <c r="AI41" i="24"/>
  <c r="AE105" i="20"/>
  <c r="AE21" i="27"/>
  <c r="AE17" i="27" s="1"/>
  <c r="AE8" i="20"/>
  <c r="AE34" i="20" s="1"/>
  <c r="AF21" i="27"/>
  <c r="AF17" i="27" s="1"/>
  <c r="AF8" i="20"/>
  <c r="AF35" i="20" s="1"/>
  <c r="AF97" i="20"/>
  <c r="AF105" i="20"/>
  <c r="AH107" i="20" s="1"/>
  <c r="AH21" i="27"/>
  <c r="AH8" i="20"/>
  <c r="AH34" i="20" s="1"/>
  <c r="AD21" i="27"/>
  <c r="AD17" i="27" s="1"/>
  <c r="AD8" i="20"/>
  <c r="AD34" i="20" s="1"/>
  <c r="AC21" i="27"/>
  <c r="AC17" i="27" s="1"/>
  <c r="AC8" i="20"/>
  <c r="AC34" i="20" s="1"/>
  <c r="AD105" i="20"/>
  <c r="AE34" i="14"/>
  <c r="AC105" i="20"/>
  <c r="AH106" i="20" s="1"/>
  <c r="AC62" i="19"/>
  <c r="AC57" i="19" s="1"/>
  <c r="AC75" i="19" s="1"/>
  <c r="AH31" i="24"/>
  <c r="AH21" i="6"/>
  <c r="AC35" i="24"/>
  <c r="AC21" i="6"/>
  <c r="AC50" i="24"/>
  <c r="AC34" i="14"/>
  <c r="AD34" i="14"/>
  <c r="AD31" i="24"/>
  <c r="AD21" i="6"/>
  <c r="AC53" i="24"/>
  <c r="AC84" i="21"/>
  <c r="AC86" i="21" s="1"/>
  <c r="AC62" i="24"/>
  <c r="AC86" i="24"/>
  <c r="AC97" i="20"/>
  <c r="AC70" i="24"/>
  <c r="AC96" i="24"/>
  <c r="AC54" i="24"/>
  <c r="AC31" i="24"/>
  <c r="AD86" i="24"/>
  <c r="AD54" i="24"/>
  <c r="AH97" i="20"/>
  <c r="AH62" i="19"/>
  <c r="AH34" i="14"/>
  <c r="AH70" i="24"/>
  <c r="AH50" i="24"/>
  <c r="AH84" i="21"/>
  <c r="AH35" i="24"/>
  <c r="AH53" i="24"/>
  <c r="AH96" i="24"/>
  <c r="AH86" i="24"/>
  <c r="AE62" i="19"/>
  <c r="AE70" i="24"/>
  <c r="AE96" i="24"/>
  <c r="AE31" i="24"/>
  <c r="AD50" i="24"/>
  <c r="AD70" i="24"/>
  <c r="AD62" i="19"/>
  <c r="AD62" i="24"/>
  <c r="AD35" i="24"/>
  <c r="AD84" i="21"/>
  <c r="AD85" i="21" s="1"/>
  <c r="AD53" i="24"/>
  <c r="AD97" i="20"/>
  <c r="AF62" i="19"/>
  <c r="AF70" i="24"/>
  <c r="AF53" i="24"/>
  <c r="AF31" i="24"/>
  <c r="AF84" i="21"/>
  <c r="AF62" i="24"/>
  <c r="AF35" i="24"/>
  <c r="AF50" i="24"/>
  <c r="AF96" i="24"/>
  <c r="AF34" i="14"/>
  <c r="AF21" i="6"/>
  <c r="AF86" i="24"/>
  <c r="AF54" i="24"/>
  <c r="AH54" i="24"/>
  <c r="AE84" i="21"/>
  <c r="AE86" i="24"/>
  <c r="AE35" i="24"/>
  <c r="AE53" i="24"/>
  <c r="AE54" i="24"/>
  <c r="AE50" i="24"/>
  <c r="AE21" i="6"/>
  <c r="AE97" i="20"/>
  <c r="AE62" i="24"/>
  <c r="AD96" i="24"/>
  <c r="AE60" i="24"/>
  <c r="AE58" i="24"/>
  <c r="AE59" i="24"/>
  <c r="AE74" i="24"/>
  <c r="AG32" i="24"/>
  <c r="AD59" i="24"/>
  <c r="AD60" i="24"/>
  <c r="AD58" i="24"/>
  <c r="AD74" i="24"/>
  <c r="AF59" i="24"/>
  <c r="AF60" i="24"/>
  <c r="AF58" i="24"/>
  <c r="AF74" i="24"/>
  <c r="AC59" i="24"/>
  <c r="AC60" i="24"/>
  <c r="AC58" i="24"/>
  <c r="AG57" i="24"/>
  <c r="AC74" i="24"/>
  <c r="AK22" i="20" l="1"/>
  <c r="AP22" i="20"/>
  <c r="AM22" i="20"/>
  <c r="AM23" i="20"/>
  <c r="AR22" i="20"/>
  <c r="AI31" i="24"/>
  <c r="AI35" i="24"/>
  <c r="AG34" i="20"/>
  <c r="AK50" i="24"/>
  <c r="AP53" i="24"/>
  <c r="AM42" i="24"/>
  <c r="AM86" i="24"/>
  <c r="AM50" i="24"/>
  <c r="AM105" i="20"/>
  <c r="AM12" i="14"/>
  <c r="AM21" i="27"/>
  <c r="AM62" i="24"/>
  <c r="AM58" i="24"/>
  <c r="AM96" i="24"/>
  <c r="AM91" i="24"/>
  <c r="AM70" i="24"/>
  <c r="AM66" i="24"/>
  <c r="AM35" i="24"/>
  <c r="AM31" i="24"/>
  <c r="AK105" i="20"/>
  <c r="AK65" i="24"/>
  <c r="AK78" i="24"/>
  <c r="AK35" i="24"/>
  <c r="AK42" i="24"/>
  <c r="AK31" i="24"/>
  <c r="AH28" i="14"/>
  <c r="AH27" i="14"/>
  <c r="AF28" i="14"/>
  <c r="AF27" i="14"/>
  <c r="AI105" i="20"/>
  <c r="AM53" i="24"/>
  <c r="AR53" i="24"/>
  <c r="AR59" i="24"/>
  <c r="AM21" i="6"/>
  <c r="AM34" i="14"/>
  <c r="AM84" i="21"/>
  <c r="AM62" i="19"/>
  <c r="AH93" i="19"/>
  <c r="AH84" i="19"/>
  <c r="AH72" i="19"/>
  <c r="AM8" i="20"/>
  <c r="AM97" i="20"/>
  <c r="AI54" i="24"/>
  <c r="AI96" i="24"/>
  <c r="AI21" i="6"/>
  <c r="AI86" i="24"/>
  <c r="AI34" i="14"/>
  <c r="AI97" i="20"/>
  <c r="AI62" i="19"/>
  <c r="AI70" i="24"/>
  <c r="AI8" i="20"/>
  <c r="AI84" i="21"/>
  <c r="AI85" i="21" s="1"/>
  <c r="AI53" i="24"/>
  <c r="AI50" i="24"/>
  <c r="AI42" i="24"/>
  <c r="AI66" i="24"/>
  <c r="AI21" i="27"/>
  <c r="AF107" i="20"/>
  <c r="AE107" i="20"/>
  <c r="AF37" i="21"/>
  <c r="AF93" i="19"/>
  <c r="AF84" i="19"/>
  <c r="AF72" i="19"/>
  <c r="AF19" i="27"/>
  <c r="AF18" i="27"/>
  <c r="AG21" i="27"/>
  <c r="AG8" i="20"/>
  <c r="AG105" i="20"/>
  <c r="AG97" i="20"/>
  <c r="AE40" i="20"/>
  <c r="AE12" i="20"/>
  <c r="AE35" i="20"/>
  <c r="AE31" i="27"/>
  <c r="AE19" i="27"/>
  <c r="AE18" i="27"/>
  <c r="AC35" i="20"/>
  <c r="AC40" i="20"/>
  <c r="AC12" i="20"/>
  <c r="AC31" i="27"/>
  <c r="AE106" i="20"/>
  <c r="AC19" i="27"/>
  <c r="AC18" i="27"/>
  <c r="AE114" i="20"/>
  <c r="AD35" i="20"/>
  <c r="AD12" i="20"/>
  <c r="AD40" i="20"/>
  <c r="AD31" i="27"/>
  <c r="AD19" i="27"/>
  <c r="AD18" i="27"/>
  <c r="AH35" i="20"/>
  <c r="AH40" i="20"/>
  <c r="AH31" i="27"/>
  <c r="AF40" i="20"/>
  <c r="AF12" i="20"/>
  <c r="AF124" i="19" s="1"/>
  <c r="AF31" i="27"/>
  <c r="AK8" i="20"/>
  <c r="AK21" i="27"/>
  <c r="AF114" i="20"/>
  <c r="AF106" i="20"/>
  <c r="AE93" i="19"/>
  <c r="AE84" i="19"/>
  <c r="AE72" i="19"/>
  <c r="AE28" i="14"/>
  <c r="AE27" i="14"/>
  <c r="AD107" i="20"/>
  <c r="AD114" i="20"/>
  <c r="AD106" i="20"/>
  <c r="AM54" i="24"/>
  <c r="AH85" i="21"/>
  <c r="AD93" i="19"/>
  <c r="AD84" i="19"/>
  <c r="AD72" i="19"/>
  <c r="AC85" i="21"/>
  <c r="AD27" i="14"/>
  <c r="AD28" i="14"/>
  <c r="AC27" i="14"/>
  <c r="AC28" i="14"/>
  <c r="AC93" i="19"/>
  <c r="AC72" i="19"/>
  <c r="AC84" i="19"/>
  <c r="AC107" i="20"/>
  <c r="AC106" i="20"/>
  <c r="AC114" i="20"/>
  <c r="AK21" i="6"/>
  <c r="AD51" i="20"/>
  <c r="AD86" i="21"/>
  <c r="AE37" i="21"/>
  <c r="AH86" i="21"/>
  <c r="AG96" i="24"/>
  <c r="AE86" i="21"/>
  <c r="AF85" i="21"/>
  <c r="AG53" i="24"/>
  <c r="AG86" i="24"/>
  <c r="AG35" i="24"/>
  <c r="AG84" i="21"/>
  <c r="AG21" i="6"/>
  <c r="AG62" i="24"/>
  <c r="AG50" i="24"/>
  <c r="AG31" i="24"/>
  <c r="AG70" i="24"/>
  <c r="AG34" i="14"/>
  <c r="AG62" i="19"/>
  <c r="AE85" i="21"/>
  <c r="AF86" i="21"/>
  <c r="AF51" i="20"/>
  <c r="AK34" i="14"/>
  <c r="AK97" i="20"/>
  <c r="AK62" i="19"/>
  <c r="AK62" i="24"/>
  <c r="AK84" i="21"/>
  <c r="AP85" i="21" s="1"/>
  <c r="AK53" i="24"/>
  <c r="AK59" i="24"/>
  <c r="AK58" i="24"/>
  <c r="AG32" i="19"/>
  <c r="AE21" i="14"/>
  <c r="AE12" i="14"/>
  <c r="AE15" i="14"/>
  <c r="AC72" i="21"/>
  <c r="AC86" i="20"/>
  <c r="AC51" i="20"/>
  <c r="AC16" i="14"/>
  <c r="AC22" i="14"/>
  <c r="AE22" i="14"/>
  <c r="AG58" i="24"/>
  <c r="AG59" i="24"/>
  <c r="AD63" i="19"/>
  <c r="AD76" i="24"/>
  <c r="AD16" i="14"/>
  <c r="AD22" i="14"/>
  <c r="AG74" i="24"/>
  <c r="AF63" i="19"/>
  <c r="AF76" i="24"/>
  <c r="AD72" i="21"/>
  <c r="AE63" i="19"/>
  <c r="AE76" i="24"/>
  <c r="AC63" i="19"/>
  <c r="AC76" i="24"/>
  <c r="AE57" i="19"/>
  <c r="AE75" i="19" s="1"/>
  <c r="AF72" i="21"/>
  <c r="AG78" i="24"/>
  <c r="AG17" i="27" l="1"/>
  <c r="AG18" i="27" s="1"/>
  <c r="AG36" i="27"/>
  <c r="AG17" i="20"/>
  <c r="AG20" i="20" s="1"/>
  <c r="AG22" i="20" s="1"/>
  <c r="AI18" i="20"/>
  <c r="AI20" i="20" s="1"/>
  <c r="AM17" i="27"/>
  <c r="AM144" i="27"/>
  <c r="AM146" i="27" s="1"/>
  <c r="AM134" i="27"/>
  <c r="AM135" i="27" s="1"/>
  <c r="AG39" i="14"/>
  <c r="AG38" i="14"/>
  <c r="AR15" i="14"/>
  <c r="AM28" i="14"/>
  <c r="AM27" i="14"/>
  <c r="AM107" i="20"/>
  <c r="AK66" i="24"/>
  <c r="AM68" i="24"/>
  <c r="AM114" i="20"/>
  <c r="AM106" i="20"/>
  <c r="AM93" i="19"/>
  <c r="AM84" i="19"/>
  <c r="AI28" i="14"/>
  <c r="AI27" i="14"/>
  <c r="AI31" i="27"/>
  <c r="AI34" i="27" s="1"/>
  <c r="AI34" i="20"/>
  <c r="AI35" i="20" s="1"/>
  <c r="AI37" i="20" s="1"/>
  <c r="AM40" i="20"/>
  <c r="AM31" i="27"/>
  <c r="AR33" i="27" s="1"/>
  <c r="AP35" i="24"/>
  <c r="AP31" i="24"/>
  <c r="AK34" i="20"/>
  <c r="AK35" i="20" s="1"/>
  <c r="AK31" i="27"/>
  <c r="AK93" i="19"/>
  <c r="AK72" i="19"/>
  <c r="AK84" i="19"/>
  <c r="AK106" i="20"/>
  <c r="AK114" i="20"/>
  <c r="AK67" i="24"/>
  <c r="AH30" i="20"/>
  <c r="AG113" i="19"/>
  <c r="AG111" i="19"/>
  <c r="AG120" i="19" s="1"/>
  <c r="AG121" i="19" s="1"/>
  <c r="AH10" i="20"/>
  <c r="AL10" i="20"/>
  <c r="AG9" i="20"/>
  <c r="AG12" i="20" s="1"/>
  <c r="AG124" i="19" s="1"/>
  <c r="AG125" i="19" s="1"/>
  <c r="AI114" i="20"/>
  <c r="AI107" i="20"/>
  <c r="AI106" i="20"/>
  <c r="AP42" i="24"/>
  <c r="AU53" i="24"/>
  <c r="AR54" i="24"/>
  <c r="AR106" i="20"/>
  <c r="AM85" i="21"/>
  <c r="AR85" i="21"/>
  <c r="AI93" i="19"/>
  <c r="AI84" i="19"/>
  <c r="AI72" i="19"/>
  <c r="AM57" i="19"/>
  <c r="AM75" i="19" s="1"/>
  <c r="AM35" i="20"/>
  <c r="AC30" i="20"/>
  <c r="AC32" i="20" s="1"/>
  <c r="AG84" i="19"/>
  <c r="AG93" i="19"/>
  <c r="AI86" i="21"/>
  <c r="AI37" i="21"/>
  <c r="AD30" i="20"/>
  <c r="AD32" i="20" s="1"/>
  <c r="AI40" i="20"/>
  <c r="AF125" i="19"/>
  <c r="AF30" i="20"/>
  <c r="AF31" i="20" s="1"/>
  <c r="AF101" i="19"/>
  <c r="AK9" i="20"/>
  <c r="AK10" i="20"/>
  <c r="AJ9" i="20"/>
  <c r="AI10" i="20"/>
  <c r="AH9" i="20"/>
  <c r="AJ10" i="20"/>
  <c r="AI9" i="20"/>
  <c r="AC14" i="20"/>
  <c r="AC13" i="20"/>
  <c r="AD13" i="20"/>
  <c r="AD14" i="20"/>
  <c r="AC34" i="27"/>
  <c r="AC33" i="27"/>
  <c r="AH34" i="27"/>
  <c r="AH33" i="27"/>
  <c r="AD37" i="20"/>
  <c r="AD36" i="20"/>
  <c r="AC37" i="20"/>
  <c r="AC36" i="20"/>
  <c r="AG85" i="21"/>
  <c r="AG77" i="21"/>
  <c r="AP21" i="6"/>
  <c r="AP21" i="27"/>
  <c r="AP8" i="20"/>
  <c r="AQ34" i="20" s="1"/>
  <c r="AG114" i="20"/>
  <c r="AG107" i="20"/>
  <c r="AG106" i="20"/>
  <c r="AG40" i="20"/>
  <c r="AG35" i="20"/>
  <c r="AG31" i="27"/>
  <c r="AG33" i="27" s="1"/>
  <c r="AF13" i="20"/>
  <c r="AF14" i="20"/>
  <c r="AH36" i="20"/>
  <c r="AH37" i="20"/>
  <c r="AE33" i="27"/>
  <c r="AE34" i="27"/>
  <c r="AD33" i="27"/>
  <c r="AD34" i="27"/>
  <c r="AE36" i="20"/>
  <c r="AE37" i="20"/>
  <c r="AK40" i="20"/>
  <c r="AE14" i="20"/>
  <c r="AE13" i="20"/>
  <c r="AF37" i="20"/>
  <c r="AF36" i="20"/>
  <c r="AE30" i="20"/>
  <c r="AE28" i="20" s="1"/>
  <c r="AE27" i="20" s="1"/>
  <c r="AF33" i="27"/>
  <c r="AF34" i="27"/>
  <c r="AE101" i="19"/>
  <c r="AP34" i="14"/>
  <c r="AP105" i="20"/>
  <c r="AP86" i="20" s="1"/>
  <c r="AP97" i="20"/>
  <c r="AM15" i="14"/>
  <c r="AH16" i="14"/>
  <c r="AK85" i="21"/>
  <c r="AM86" i="21"/>
  <c r="AP50" i="24"/>
  <c r="AP62" i="24"/>
  <c r="AD101" i="19"/>
  <c r="AC101" i="19"/>
  <c r="AC124" i="19"/>
  <c r="AD86" i="20"/>
  <c r="AC12" i="14"/>
  <c r="AC30" i="14" s="1"/>
  <c r="AD21" i="14"/>
  <c r="AC15" i="14"/>
  <c r="AD12" i="14"/>
  <c r="AD18" i="14" s="1"/>
  <c r="AD15" i="14"/>
  <c r="AE72" i="21"/>
  <c r="AD57" i="19"/>
  <c r="AD75" i="19" s="1"/>
  <c r="AC21" i="14"/>
  <c r="AH15" i="14"/>
  <c r="AH57" i="19"/>
  <c r="AH75" i="19" s="1"/>
  <c r="AF57" i="19"/>
  <c r="AF75" i="19" s="1"/>
  <c r="AG9" i="19"/>
  <c r="AG71" i="19" s="1"/>
  <c r="AG73" i="19" s="1"/>
  <c r="AI15" i="14"/>
  <c r="AI21" i="14"/>
  <c r="AI51" i="20"/>
  <c r="AI86" i="20"/>
  <c r="AI57" i="19"/>
  <c r="AI75" i="19" s="1"/>
  <c r="AE51" i="20"/>
  <c r="AE86" i="20"/>
  <c r="AL32" i="19"/>
  <c r="AC25" i="24"/>
  <c r="AD124" i="19"/>
  <c r="AE124" i="19"/>
  <c r="AE125" i="19" s="1"/>
  <c r="AG63" i="19"/>
  <c r="AG76" i="24"/>
  <c r="AD82" i="24"/>
  <c r="AC82" i="24"/>
  <c r="AE30" i="14"/>
  <c r="AE18" i="14"/>
  <c r="AE35" i="14"/>
  <c r="AF82" i="24"/>
  <c r="AE82" i="24"/>
  <c r="AN18" i="20" l="1"/>
  <c r="AL17" i="20"/>
  <c r="AI23" i="20"/>
  <c r="AI22" i="20"/>
  <c r="AP144" i="27"/>
  <c r="AP146" i="27" s="1"/>
  <c r="AP134" i="27"/>
  <c r="AP135" i="27" s="1"/>
  <c r="AM138" i="27"/>
  <c r="AM139" i="27"/>
  <c r="AR138" i="27"/>
  <c r="AM148" i="27"/>
  <c r="AM147" i="27"/>
  <c r="AR147" i="27"/>
  <c r="AG78" i="21"/>
  <c r="AI33" i="27"/>
  <c r="AL111" i="19"/>
  <c r="AL120" i="19" s="1"/>
  <c r="AL121" i="19" s="1"/>
  <c r="AL113" i="19"/>
  <c r="AW9" i="20"/>
  <c r="AX10" i="20"/>
  <c r="AM30" i="20"/>
  <c r="AM32" i="20" s="1"/>
  <c r="AM33" i="27"/>
  <c r="AM34" i="27"/>
  <c r="AI30" i="20"/>
  <c r="AI39" i="20" s="1"/>
  <c r="AK33" i="27"/>
  <c r="AK30" i="20"/>
  <c r="AK32" i="20" s="1"/>
  <c r="AH12" i="20"/>
  <c r="AH124" i="19" s="1"/>
  <c r="AH125" i="19" s="1"/>
  <c r="AH32" i="20"/>
  <c r="AH39" i="20"/>
  <c r="AI36" i="20"/>
  <c r="AP9" i="20"/>
  <c r="AS10" i="20"/>
  <c r="AR9" i="20"/>
  <c r="AG72" i="19"/>
  <c r="AO111" i="19"/>
  <c r="AO120" i="19" s="1"/>
  <c r="AC31" i="20"/>
  <c r="AM51" i="20"/>
  <c r="AR36" i="20"/>
  <c r="AP106" i="20"/>
  <c r="AU106" i="20"/>
  <c r="AR107" i="20"/>
  <c r="AR112" i="20"/>
  <c r="AU85" i="21"/>
  <c r="AR86" i="21"/>
  <c r="AR18" i="14"/>
  <c r="AR16" i="14"/>
  <c r="AC28" i="20"/>
  <c r="AC27" i="20" s="1"/>
  <c r="AM16" i="14"/>
  <c r="AM36" i="20"/>
  <c r="AC39" i="20"/>
  <c r="AD31" i="20"/>
  <c r="AM37" i="20"/>
  <c r="AM71" i="19"/>
  <c r="AI18" i="14"/>
  <c r="AI22" i="14"/>
  <c r="AI16" i="14"/>
  <c r="AF39" i="20"/>
  <c r="AD28" i="20"/>
  <c r="AD27" i="20" s="1"/>
  <c r="AD39" i="20"/>
  <c r="AQ32" i="19"/>
  <c r="AK12" i="20"/>
  <c r="AF28" i="20"/>
  <c r="AF27" i="20" s="1"/>
  <c r="AI12" i="20"/>
  <c r="AF32" i="20"/>
  <c r="AF126" i="19"/>
  <c r="AN111" i="19"/>
  <c r="AN120" i="19" s="1"/>
  <c r="AQ10" i="20"/>
  <c r="AM10" i="20"/>
  <c r="AL9" i="20"/>
  <c r="AP10" i="20"/>
  <c r="AO9" i="20"/>
  <c r="AM9" i="20"/>
  <c r="AN10" i="20"/>
  <c r="AN9" i="20"/>
  <c r="AO10" i="20"/>
  <c r="AP35" i="20"/>
  <c r="AP40" i="20"/>
  <c r="AP31" i="27"/>
  <c r="AK36" i="20"/>
  <c r="AG30" i="20"/>
  <c r="AG39" i="20" s="1"/>
  <c r="AG36" i="20"/>
  <c r="AE31" i="20"/>
  <c r="AE32" i="20"/>
  <c r="AG13" i="20"/>
  <c r="AE39" i="20"/>
  <c r="AL22" i="21"/>
  <c r="AE126" i="19"/>
  <c r="AM37" i="21"/>
  <c r="AM120" i="19"/>
  <c r="AR121" i="19" s="1"/>
  <c r="AD126" i="19"/>
  <c r="AD125" i="19"/>
  <c r="AC18" i="14"/>
  <c r="AC126" i="19"/>
  <c r="AC125" i="19"/>
  <c r="AD35" i="14"/>
  <c r="AD24" i="14"/>
  <c r="AD30" i="14"/>
  <c r="AE24" i="14"/>
  <c r="AC24" i="14"/>
  <c r="AC35" i="14"/>
  <c r="AC27" i="24"/>
  <c r="AG57" i="19"/>
  <c r="AG75" i="19" s="1"/>
  <c r="AH35" i="14"/>
  <c r="AH18" i="14"/>
  <c r="AH30" i="14"/>
  <c r="AI30" i="14"/>
  <c r="AC26" i="24"/>
  <c r="AC28" i="24"/>
  <c r="AK86" i="20"/>
  <c r="AK51" i="20"/>
  <c r="AL9" i="19"/>
  <c r="AK57" i="19"/>
  <c r="AK75" i="19" s="1"/>
  <c r="AG25" i="24"/>
  <c r="AG26" i="24" s="1"/>
  <c r="AE25" i="24"/>
  <c r="AD25" i="24"/>
  <c r="AF25" i="24"/>
  <c r="AF58" i="19"/>
  <c r="AF104" i="19" s="1"/>
  <c r="AG28" i="19"/>
  <c r="AG100" i="19" s="1"/>
  <c r="AG102" i="19" s="1"/>
  <c r="AD83" i="20"/>
  <c r="AG82" i="24"/>
  <c r="AC58" i="19"/>
  <c r="AC104" i="19" s="1"/>
  <c r="AD58" i="19"/>
  <c r="AD104" i="19" s="1"/>
  <c r="AE58" i="19"/>
  <c r="AE104" i="19" s="1"/>
  <c r="AQ111" i="19" l="1"/>
  <c r="AQ120" i="19" s="1"/>
  <c r="AQ121" i="19" s="1"/>
  <c r="AS18" i="20"/>
  <c r="AS20" i="20" s="1"/>
  <c r="AQ17" i="20"/>
  <c r="AP138" i="27"/>
  <c r="AR139" i="27"/>
  <c r="AU138" i="27"/>
  <c r="AP147" i="27"/>
  <c r="AR148" i="27"/>
  <c r="AU147" i="27"/>
  <c r="AQ113" i="19"/>
  <c r="AK39" i="20"/>
  <c r="AM39" i="20"/>
  <c r="BB111" i="19"/>
  <c r="BB120" i="19" s="1"/>
  <c r="BG121" i="19" s="1"/>
  <c r="BC10" i="20"/>
  <c r="BB9" i="20"/>
  <c r="BB113" i="19"/>
  <c r="AM73" i="19"/>
  <c r="AR73" i="19"/>
  <c r="AO74" i="19"/>
  <c r="AS121" i="19"/>
  <c r="AP122" i="19"/>
  <c r="AO122" i="19"/>
  <c r="AT121" i="19"/>
  <c r="AO121" i="19"/>
  <c r="AU33" i="27"/>
  <c r="AR34" i="27"/>
  <c r="AP30" i="20"/>
  <c r="AP39" i="20" s="1"/>
  <c r="AY9" i="20"/>
  <c r="AZ10" i="20"/>
  <c r="AX9" i="20"/>
  <c r="AY10" i="20"/>
  <c r="AH28" i="20"/>
  <c r="AH126" i="19"/>
  <c r="AH13" i="20"/>
  <c r="AH14" i="20"/>
  <c r="AI28" i="20"/>
  <c r="AI27" i="20" s="1"/>
  <c r="AI31" i="20"/>
  <c r="AI32" i="20"/>
  <c r="AH31" i="20"/>
  <c r="AK13" i="20"/>
  <c r="AK124" i="19"/>
  <c r="AK28" i="20"/>
  <c r="AK31" i="20"/>
  <c r="AP12" i="20"/>
  <c r="AQ9" i="20"/>
  <c r="AV10" i="20"/>
  <c r="AR10" i="20"/>
  <c r="AR12" i="20" s="1"/>
  <c r="AR124" i="19" s="1"/>
  <c r="AG101" i="19"/>
  <c r="AS9" i="20"/>
  <c r="AS12" i="20" s="1"/>
  <c r="AS124" i="19" s="1"/>
  <c r="AT10" i="20"/>
  <c r="AV32" i="19"/>
  <c r="AU9" i="20"/>
  <c r="AN121" i="19"/>
  <c r="AU10" i="20"/>
  <c r="AT9" i="20"/>
  <c r="AM18" i="14"/>
  <c r="AM35" i="14"/>
  <c r="AM30" i="14"/>
  <c r="AU36" i="20"/>
  <c r="AR37" i="20"/>
  <c r="AP112" i="20"/>
  <c r="AU112" i="20"/>
  <c r="AR113" i="20"/>
  <c r="AM72" i="19"/>
  <c r="AI14" i="20"/>
  <c r="AI124" i="19"/>
  <c r="AI24" i="14"/>
  <c r="AI13" i="20"/>
  <c r="AI35" i="14"/>
  <c r="AG28" i="20"/>
  <c r="AG27" i="20" s="1"/>
  <c r="AM12" i="20"/>
  <c r="AM28" i="20" s="1"/>
  <c r="AP33" i="27"/>
  <c r="AP36" i="20"/>
  <c r="AG31" i="20"/>
  <c r="AG32" i="20"/>
  <c r="AE27" i="24"/>
  <c r="AQ10" i="21"/>
  <c r="AP114" i="20"/>
  <c r="AP51" i="20"/>
  <c r="AP57" i="19"/>
  <c r="AP75" i="19" s="1"/>
  <c r="AP71" i="19"/>
  <c r="AQ9" i="19"/>
  <c r="AQ22" i="21"/>
  <c r="AM122" i="19"/>
  <c r="AM121" i="19"/>
  <c r="AN122" i="19"/>
  <c r="AM74" i="19"/>
  <c r="AI25" i="24"/>
  <c r="AG27" i="24"/>
  <c r="AH25" i="24"/>
  <c r="AK25" i="24"/>
  <c r="AL71" i="19"/>
  <c r="AN74" i="19" s="1"/>
  <c r="AD27" i="24"/>
  <c r="AD28" i="24"/>
  <c r="AD26" i="24"/>
  <c r="AE28" i="24"/>
  <c r="AE26" i="24"/>
  <c r="AF26" i="24"/>
  <c r="AF28" i="24"/>
  <c r="AF27" i="24"/>
  <c r="AG58" i="19"/>
  <c r="AG104" i="19" s="1"/>
  <c r="BL32" i="19" l="1"/>
  <c r="BG17" i="20"/>
  <c r="BI18" i="20"/>
  <c r="AX18" i="20"/>
  <c r="AV17" i="20"/>
  <c r="AS23" i="20"/>
  <c r="BB121" i="19"/>
  <c r="BC122" i="19"/>
  <c r="BD9" i="20"/>
  <c r="BH10" i="20"/>
  <c r="BG9" i="20"/>
  <c r="AR74" i="19"/>
  <c r="AU73" i="19"/>
  <c r="BE10" i="20"/>
  <c r="BC9" i="20"/>
  <c r="BD10" i="20"/>
  <c r="AS126" i="19"/>
  <c r="AP13" i="20"/>
  <c r="AP124" i="19"/>
  <c r="AP125" i="19" s="1"/>
  <c r="AR28" i="20"/>
  <c r="AR27" i="20" s="1"/>
  <c r="AR31" i="20"/>
  <c r="AS28" i="20"/>
  <c r="AS27" i="20" s="1"/>
  <c r="AS31" i="20"/>
  <c r="AP32" i="20"/>
  <c r="AP28" i="20"/>
  <c r="AP27" i="20" s="1"/>
  <c r="BA10" i="20"/>
  <c r="AW10" i="20"/>
  <c r="AW12" i="20" s="1"/>
  <c r="AW124" i="19" s="1"/>
  <c r="BA32" i="19"/>
  <c r="AZ9" i="20"/>
  <c r="AZ12" i="20" s="1"/>
  <c r="AZ124" i="19" s="1"/>
  <c r="AP31" i="20"/>
  <c r="AM27" i="20"/>
  <c r="AM31" i="20"/>
  <c r="AR14" i="20"/>
  <c r="AP25" i="24"/>
  <c r="AK125" i="19"/>
  <c r="AV22" i="21"/>
  <c r="AV111" i="19"/>
  <c r="AV120" i="19" s="1"/>
  <c r="AV113" i="19"/>
  <c r="AV9" i="20"/>
  <c r="AS25" i="24"/>
  <c r="AS14" i="20"/>
  <c r="AU12" i="20"/>
  <c r="AU124" i="19" s="1"/>
  <c r="AR25" i="24"/>
  <c r="AM14" i="20"/>
  <c r="AR13" i="20"/>
  <c r="AQ71" i="19"/>
  <c r="AI126" i="19"/>
  <c r="AI125" i="19"/>
  <c r="AM13" i="20"/>
  <c r="AM25" i="24"/>
  <c r="AM124" i="19"/>
  <c r="AR125" i="19" s="1"/>
  <c r="AP72" i="19"/>
  <c r="AP37" i="21"/>
  <c r="AP73" i="19"/>
  <c r="AH26" i="24"/>
  <c r="AI26" i="24"/>
  <c r="AI27" i="24"/>
  <c r="AI28" i="24"/>
  <c r="AH28" i="24"/>
  <c r="AH27" i="24"/>
  <c r="AK27" i="24"/>
  <c r="AK26" i="24"/>
  <c r="AL73" i="19"/>
  <c r="AE83" i="20"/>
  <c r="BL111" i="19" l="1"/>
  <c r="BL120" i="19" s="1"/>
  <c r="BL121" i="19" s="1"/>
  <c r="BQ32" i="19"/>
  <c r="BL17" i="20"/>
  <c r="BL113" i="19"/>
  <c r="BN18" i="20"/>
  <c r="BM10" i="20"/>
  <c r="BL9" i="20"/>
  <c r="BC18" i="20"/>
  <c r="BA17" i="20"/>
  <c r="BM32" i="19"/>
  <c r="BH17" i="20"/>
  <c r="BJ18" i="20"/>
  <c r="BE17" i="20"/>
  <c r="BE20" i="20" s="1"/>
  <c r="BE22" i="20" s="1"/>
  <c r="BK18" i="20"/>
  <c r="BG18" i="20"/>
  <c r="BG20" i="20" s="1"/>
  <c r="BN32" i="19"/>
  <c r="BI17" i="20"/>
  <c r="AZ125" i="19"/>
  <c r="BA22" i="21"/>
  <c r="AW126" i="19"/>
  <c r="AW125" i="19"/>
  <c r="BH111" i="19"/>
  <c r="BH120" i="19" s="1"/>
  <c r="BH113" i="19"/>
  <c r="BI10" i="20"/>
  <c r="BH9" i="20"/>
  <c r="BI9" i="20"/>
  <c r="BJ10" i="20"/>
  <c r="BF22" i="21"/>
  <c r="AU126" i="19"/>
  <c r="AU125" i="19"/>
  <c r="AR126" i="19"/>
  <c r="AV73" i="19"/>
  <c r="AS74" i="19"/>
  <c r="BF10" i="20"/>
  <c r="BB10" i="20"/>
  <c r="BB12" i="20" s="1"/>
  <c r="BB122" i="19"/>
  <c r="BF32" i="19"/>
  <c r="BE9" i="20"/>
  <c r="BE12" i="20" s="1"/>
  <c r="BE124" i="19" s="1"/>
  <c r="AU31" i="20"/>
  <c r="AU28" i="20"/>
  <c r="AU27" i="20" s="1"/>
  <c r="AZ28" i="20"/>
  <c r="AZ27" i="20" s="1"/>
  <c r="AZ31" i="20"/>
  <c r="AW13" i="20"/>
  <c r="AW28" i="20"/>
  <c r="AW27" i="20" s="1"/>
  <c r="AW31" i="20"/>
  <c r="AZ25" i="24"/>
  <c r="BA113" i="19"/>
  <c r="BA111" i="19"/>
  <c r="BA120" i="19" s="1"/>
  <c r="BA121" i="19" s="1"/>
  <c r="BA9" i="20"/>
  <c r="AW25" i="24"/>
  <c r="AP26" i="24"/>
  <c r="AV121" i="19"/>
  <c r="AZ13" i="20"/>
  <c r="AW14" i="20"/>
  <c r="AR26" i="24"/>
  <c r="AP27" i="24"/>
  <c r="AR28" i="24"/>
  <c r="AU25" i="24"/>
  <c r="AU13" i="20"/>
  <c r="AS28" i="24"/>
  <c r="AS26" i="24"/>
  <c r="AQ73" i="19"/>
  <c r="AM26" i="24"/>
  <c r="AR27" i="24"/>
  <c r="AM27" i="24"/>
  <c r="AM126" i="19"/>
  <c r="AM28" i="24"/>
  <c r="AM125" i="19"/>
  <c r="BH122" i="19" l="1"/>
  <c r="BI122" i="19"/>
  <c r="BM22" i="21"/>
  <c r="BR32" i="19"/>
  <c r="BQ17" i="20"/>
  <c r="BS18" i="20"/>
  <c r="BQ9" i="20"/>
  <c r="BR10" i="20"/>
  <c r="BQ111" i="19"/>
  <c r="BQ120" i="19" s="1"/>
  <c r="BQ113" i="19"/>
  <c r="BN17" i="20"/>
  <c r="BS32" i="19"/>
  <c r="BM9" i="20"/>
  <c r="BM111" i="19"/>
  <c r="BM120" i="19" s="1"/>
  <c r="BM121" i="19" s="1"/>
  <c r="BO18" i="20"/>
  <c r="BM17" i="20"/>
  <c r="BE125" i="19"/>
  <c r="BM113" i="19"/>
  <c r="BN10" i="20"/>
  <c r="BN111" i="19"/>
  <c r="BN120" i="19" s="1"/>
  <c r="BO10" i="20"/>
  <c r="BN9" i="20"/>
  <c r="BN22" i="21"/>
  <c r="BN113" i="19"/>
  <c r="BL18" i="20"/>
  <c r="BL20" i="20" s="1"/>
  <c r="BJ17" i="20"/>
  <c r="BJ20" i="20" s="1"/>
  <c r="BJ22" i="20" s="1"/>
  <c r="BP18" i="20"/>
  <c r="BH18" i="20"/>
  <c r="BF17" i="20"/>
  <c r="BG22" i="20"/>
  <c r="BG23" i="20"/>
  <c r="BO32" i="19"/>
  <c r="BL22" i="21"/>
  <c r="BJ111" i="19"/>
  <c r="BJ120" i="19" s="1"/>
  <c r="BK32" i="19"/>
  <c r="BJ113" i="19"/>
  <c r="BK22" i="21"/>
  <c r="BJ9" i="20"/>
  <c r="BJ12" i="20" s="1"/>
  <c r="BJ13" i="20" s="1"/>
  <c r="BG10" i="20"/>
  <c r="BG12" i="20" s="1"/>
  <c r="BG124" i="19" s="1"/>
  <c r="BK10" i="20"/>
  <c r="BH121" i="19"/>
  <c r="BB13" i="20"/>
  <c r="BE13" i="20"/>
  <c r="BF113" i="19"/>
  <c r="BF111" i="19"/>
  <c r="BF120" i="19" s="1"/>
  <c r="BF9" i="20"/>
  <c r="BB14" i="20"/>
  <c r="BE31" i="20"/>
  <c r="BE25" i="24"/>
  <c r="D8" i="17" s="1"/>
  <c r="BE28" i="20"/>
  <c r="BE27" i="20" s="1"/>
  <c r="BB124" i="19"/>
  <c r="BB25" i="24"/>
  <c r="BB28" i="20"/>
  <c r="BB27" i="20" s="1"/>
  <c r="BB31" i="20"/>
  <c r="AW26" i="24"/>
  <c r="AZ26" i="24"/>
  <c r="AW27" i="24"/>
  <c r="AZ27" i="24"/>
  <c r="AW28" i="24"/>
  <c r="AU27" i="24"/>
  <c r="AU26" i="24"/>
  <c r="AG16" i="19"/>
  <c r="BQ121" i="19" l="1"/>
  <c r="BO17" i="20"/>
  <c r="BO20" i="20" s="1"/>
  <c r="BQ18" i="20"/>
  <c r="BQ20" i="20" s="1"/>
  <c r="BQ22" i="20" s="1"/>
  <c r="BT32" i="19"/>
  <c r="BU18" i="20"/>
  <c r="BQ22" i="21"/>
  <c r="BS22" i="21"/>
  <c r="BS17" i="20"/>
  <c r="BS111" i="19"/>
  <c r="BS120" i="19" s="1"/>
  <c r="BS113" i="19"/>
  <c r="BT10" i="20"/>
  <c r="BS9" i="20"/>
  <c r="BR111" i="19"/>
  <c r="BR120" i="19" s="1"/>
  <c r="BT18" i="20"/>
  <c r="BR22" i="21"/>
  <c r="BR17" i="20"/>
  <c r="BR113" i="19"/>
  <c r="BS10" i="20"/>
  <c r="BR9" i="20"/>
  <c r="BM122" i="19"/>
  <c r="BG125" i="19"/>
  <c r="BG126" i="19"/>
  <c r="BN122" i="19"/>
  <c r="BN121" i="19"/>
  <c r="BK17" i="20"/>
  <c r="BM18" i="20"/>
  <c r="BL22" i="20"/>
  <c r="BL23" i="20"/>
  <c r="BO111" i="19"/>
  <c r="BO120" i="19" s="1"/>
  <c r="BQ122" i="19" s="1"/>
  <c r="BO9" i="20"/>
  <c r="BO12" i="20" s="1"/>
  <c r="BO22" i="21"/>
  <c r="BP22" i="21" s="1"/>
  <c r="BP32" i="19"/>
  <c r="BO113" i="19"/>
  <c r="BP10" i="20"/>
  <c r="BL10" i="20"/>
  <c r="BL12" i="20" s="1"/>
  <c r="BJ122" i="19"/>
  <c r="BL122" i="19"/>
  <c r="BJ121" i="19"/>
  <c r="BG31" i="20"/>
  <c r="BG25" i="24"/>
  <c r="BG28" i="20"/>
  <c r="BG27" i="20" s="1"/>
  <c r="BJ31" i="20"/>
  <c r="BJ124" i="19"/>
  <c r="BJ125" i="19" s="1"/>
  <c r="BJ28" i="20"/>
  <c r="BJ27" i="20" s="1"/>
  <c r="BJ25" i="24"/>
  <c r="G8" i="17" s="1"/>
  <c r="BG13" i="20"/>
  <c r="BG14" i="20"/>
  <c r="BK111" i="19"/>
  <c r="BK120" i="19" s="1"/>
  <c r="BK121" i="19" s="1"/>
  <c r="BK113" i="19"/>
  <c r="BK9" i="20"/>
  <c r="BF121" i="19"/>
  <c r="BE27" i="24"/>
  <c r="BB28" i="24"/>
  <c r="AG89" i="19"/>
  <c r="AG87" i="19" s="1"/>
  <c r="AL82" i="19"/>
  <c r="BB27" i="24"/>
  <c r="BB125" i="19"/>
  <c r="BB126" i="19"/>
  <c r="BE26" i="24"/>
  <c r="BB26" i="24"/>
  <c r="AI83" i="20"/>
  <c r="BU32" i="19" l="1"/>
  <c r="BT22" i="21"/>
  <c r="BU22" i="21" s="1"/>
  <c r="BT17" i="20"/>
  <c r="BT20" i="20" s="1"/>
  <c r="BT22" i="20" s="1"/>
  <c r="BT111" i="19"/>
  <c r="BT120" i="19" s="1"/>
  <c r="BT113" i="19"/>
  <c r="BT9" i="20"/>
  <c r="BT12" i="20" s="1"/>
  <c r="BS122" i="19"/>
  <c r="BS121" i="19"/>
  <c r="BR121" i="19"/>
  <c r="BR122" i="19"/>
  <c r="BP17" i="20"/>
  <c r="BR18" i="20"/>
  <c r="BU10" i="20"/>
  <c r="BQ10" i="20"/>
  <c r="BQ12" i="20" s="1"/>
  <c r="BO22" i="20"/>
  <c r="BQ23" i="20"/>
  <c r="BL124" i="19"/>
  <c r="BL13" i="20"/>
  <c r="BL28" i="20"/>
  <c r="BL27" i="20" s="1"/>
  <c r="BL14" i="20"/>
  <c r="BL25" i="24"/>
  <c r="BL31" i="20"/>
  <c r="BP9" i="20"/>
  <c r="BP113" i="19"/>
  <c r="BP111" i="19"/>
  <c r="BP120" i="19" s="1"/>
  <c r="BP121" i="19" s="1"/>
  <c r="BO31" i="20"/>
  <c r="BO124" i="19"/>
  <c r="BO28" i="20"/>
  <c r="BO27" i="20" s="1"/>
  <c r="BO13" i="20"/>
  <c r="BO25" i="24"/>
  <c r="BO122" i="19"/>
  <c r="BO121" i="19"/>
  <c r="BG28" i="24"/>
  <c r="BJ26" i="24"/>
  <c r="BG27" i="24"/>
  <c r="BJ27" i="24"/>
  <c r="BG26" i="24"/>
  <c r="AL86" i="19"/>
  <c r="AB10" i="19"/>
  <c r="AG10" i="19"/>
  <c r="BQ124" i="19" l="1"/>
  <c r="BQ126" i="19" s="1"/>
  <c r="BQ25" i="24"/>
  <c r="BQ26" i="24" s="1"/>
  <c r="BQ28" i="20"/>
  <c r="BQ27" i="20" s="1"/>
  <c r="BQ31" i="20"/>
  <c r="BT124" i="19"/>
  <c r="BT125" i="19" s="1"/>
  <c r="BT25" i="24"/>
  <c r="BT26" i="24" s="1"/>
  <c r="BT28" i="20"/>
  <c r="BT27" i="20" s="1"/>
  <c r="BT31" i="20"/>
  <c r="BQ13" i="20"/>
  <c r="BT121" i="19"/>
  <c r="BT122" i="19"/>
  <c r="BT13" i="20"/>
  <c r="BQ14" i="20"/>
  <c r="BU111" i="19"/>
  <c r="BU120" i="19" s="1"/>
  <c r="BU121" i="19" s="1"/>
  <c r="BU113" i="19"/>
  <c r="BU17" i="20"/>
  <c r="BU9" i="20"/>
  <c r="BL26" i="24"/>
  <c r="BL28" i="24"/>
  <c r="BO26" i="24"/>
  <c r="BL27" i="24"/>
  <c r="BO125" i="19"/>
  <c r="BO27" i="24"/>
  <c r="BL125" i="19"/>
  <c r="BL126" i="19"/>
  <c r="AG136" i="19"/>
  <c r="AG132" i="19"/>
  <c r="AL133" i="19" s="1"/>
  <c r="AL18" i="21"/>
  <c r="AB132" i="19"/>
  <c r="AG128" i="19" s="1"/>
  <c r="AB136" i="19"/>
  <c r="AK133" i="19"/>
  <c r="AJ83" i="20"/>
  <c r="Y56" i="19"/>
  <c r="Y50" i="19"/>
  <c r="Y60" i="19" s="1"/>
  <c r="Z50" i="19"/>
  <c r="Z60" i="19" s="1"/>
  <c r="Z56" i="19"/>
  <c r="BQ125" i="19" l="1"/>
  <c r="BQ27" i="24"/>
  <c r="BQ28" i="24"/>
  <c r="BT27" i="24"/>
  <c r="AG138" i="19"/>
  <c r="AL138" i="19"/>
  <c r="AG137" i="19"/>
  <c r="AG133" i="19"/>
  <c r="AG129" i="19"/>
  <c r="AG142" i="19"/>
  <c r="AL128" i="19"/>
  <c r="AL129" i="19" s="1"/>
  <c r="AB138" i="19"/>
  <c r="AB137" i="19"/>
  <c r="AB133" i="19"/>
  <c r="AB142" i="19"/>
  <c r="AB129" i="19"/>
  <c r="AB90" i="24" l="1"/>
  <c r="AB91" i="24" s="1"/>
  <c r="AA91" i="24"/>
  <c r="AA92" i="24"/>
  <c r="AA93" i="24"/>
  <c r="AA100" i="24"/>
  <c r="AA64" i="19" s="1"/>
  <c r="AB92" i="24" l="1"/>
  <c r="AC92" i="24"/>
  <c r="AB100" i="24"/>
  <c r="AB64" i="19" s="1"/>
  <c r="AA78" i="19"/>
  <c r="AA107" i="19"/>
  <c r="AC91" i="24"/>
  <c r="AA103" i="24"/>
  <c r="AA101" i="24"/>
  <c r="AC100" i="24"/>
  <c r="AB101" i="24" l="1"/>
  <c r="AA104" i="24"/>
  <c r="AA109" i="24"/>
  <c r="AB103" i="24"/>
  <c r="AB11" i="19"/>
  <c r="AC101" i="24"/>
  <c r="AC103" i="24"/>
  <c r="AC64" i="19"/>
  <c r="AB21" i="21"/>
  <c r="AB29" i="19"/>
  <c r="AD91" i="24"/>
  <c r="AD92" i="24"/>
  <c r="AD100" i="24"/>
  <c r="AB106" i="19" l="1"/>
  <c r="AB107" i="19" s="1"/>
  <c r="AB37" i="19"/>
  <c r="AB46" i="19" s="1"/>
  <c r="AB77" i="19"/>
  <c r="AB79" i="19" s="1"/>
  <c r="AB13" i="19"/>
  <c r="AB23" i="19" s="1"/>
  <c r="AC78" i="19"/>
  <c r="AC107" i="19"/>
  <c r="AA110" i="24"/>
  <c r="AA115" i="24"/>
  <c r="AA113" i="24"/>
  <c r="AB109" i="24"/>
  <c r="AB104" i="24"/>
  <c r="AD101" i="24"/>
  <c r="AD103" i="24"/>
  <c r="AD64" i="19"/>
  <c r="AC104" i="24"/>
  <c r="AC109" i="24"/>
  <c r="AB19" i="21"/>
  <c r="AB26" i="21" s="1"/>
  <c r="AB64" i="21" s="1"/>
  <c r="AE91" i="24"/>
  <c r="AE92" i="24"/>
  <c r="AE100" i="24"/>
  <c r="AB78" i="19" l="1"/>
  <c r="AB108" i="19"/>
  <c r="AD107" i="19"/>
  <c r="AD78" i="19"/>
  <c r="AB110" i="24"/>
  <c r="AB115" i="24"/>
  <c r="AB113" i="24"/>
  <c r="AA117" i="24"/>
  <c r="AA50" i="20"/>
  <c r="AA71" i="20" s="1"/>
  <c r="AF91" i="24"/>
  <c r="AF92" i="24"/>
  <c r="AF100" i="24"/>
  <c r="AG90" i="24"/>
  <c r="AC110" i="24"/>
  <c r="AC113" i="24"/>
  <c r="AC115" i="24"/>
  <c r="AE64" i="19"/>
  <c r="AE101" i="24"/>
  <c r="AE103" i="24"/>
  <c r="AD104" i="24"/>
  <c r="AD109" i="24"/>
  <c r="AE78" i="19" l="1"/>
  <c r="AE107" i="19"/>
  <c r="AB117" i="24"/>
  <c r="AB50" i="20"/>
  <c r="AB71" i="20" s="1"/>
  <c r="AA57" i="20"/>
  <c r="AA72" i="20"/>
  <c r="AA23" i="6"/>
  <c r="AG100" i="24"/>
  <c r="AG91" i="24"/>
  <c r="AG92" i="24"/>
  <c r="AE37" i="19"/>
  <c r="AE46" i="19" s="1"/>
  <c r="AC117" i="24"/>
  <c r="AC50" i="20"/>
  <c r="AC71" i="20" s="1"/>
  <c r="AF64" i="19"/>
  <c r="AF101" i="24"/>
  <c r="AF103" i="24"/>
  <c r="AG103" i="24" s="1"/>
  <c r="AD110" i="24"/>
  <c r="AD113" i="24"/>
  <c r="AD115" i="24"/>
  <c r="AE104" i="24"/>
  <c r="AE109" i="24"/>
  <c r="AH91" i="24"/>
  <c r="AH92" i="24"/>
  <c r="AH100" i="24"/>
  <c r="AF107" i="19" l="1"/>
  <c r="AF78" i="19"/>
  <c r="AB57" i="20"/>
  <c r="AB72" i="20"/>
  <c r="AA92" i="20"/>
  <c r="AB23" i="6"/>
  <c r="AF37" i="19"/>
  <c r="AF46" i="19" s="1"/>
  <c r="AE110" i="24"/>
  <c r="AE113" i="24"/>
  <c r="AE115" i="24"/>
  <c r="AC57" i="20"/>
  <c r="AG64" i="19"/>
  <c r="AG101" i="24"/>
  <c r="AC23" i="6"/>
  <c r="AG104" i="24"/>
  <c r="AG109" i="24"/>
  <c r="AH64" i="19"/>
  <c r="AH101" i="24"/>
  <c r="AI91" i="24"/>
  <c r="AI92" i="24"/>
  <c r="AI100" i="24"/>
  <c r="AD117" i="24"/>
  <c r="AD50" i="20"/>
  <c r="AD71" i="20" s="1"/>
  <c r="AF109" i="24"/>
  <c r="AF104" i="24"/>
  <c r="AF53" i="20" l="1"/>
  <c r="AF56" i="20" s="1"/>
  <c r="AF79" i="20" s="1"/>
  <c r="AF92" i="20" s="1"/>
  <c r="AG112" i="24"/>
  <c r="AB92" i="20"/>
  <c r="AA68" i="21"/>
  <c r="AA71" i="21"/>
  <c r="AA74" i="21" s="1"/>
  <c r="AA67" i="19"/>
  <c r="AA88" i="21"/>
  <c r="AA94" i="20"/>
  <c r="AA95" i="20"/>
  <c r="AA125" i="24" s="1"/>
  <c r="AA93" i="20"/>
  <c r="AA124" i="24"/>
  <c r="AD23" i="6"/>
  <c r="AI64" i="19"/>
  <c r="AI101" i="24"/>
  <c r="AG110" i="24"/>
  <c r="AC92" i="20"/>
  <c r="AD57" i="20"/>
  <c r="AD72" i="20"/>
  <c r="AJ92" i="24"/>
  <c r="AJ100" i="24"/>
  <c r="AC72" i="20"/>
  <c r="AG29" i="19"/>
  <c r="AE117" i="24"/>
  <c r="AE50" i="20"/>
  <c r="AE71" i="20" s="1"/>
  <c r="AG11" i="19"/>
  <c r="AG77" i="19" s="1"/>
  <c r="AG79" i="19" s="1"/>
  <c r="AF110" i="24"/>
  <c r="AF113" i="24"/>
  <c r="AF115" i="24"/>
  <c r="AF117" i="24" s="1"/>
  <c r="AG37" i="19" l="1"/>
  <c r="AG46" i="19" s="1"/>
  <c r="AG106" i="19"/>
  <c r="AG78" i="19"/>
  <c r="AG113" i="24"/>
  <c r="AG53" i="20"/>
  <c r="AG56" i="20" s="1"/>
  <c r="AG79" i="20" s="1"/>
  <c r="AG92" i="20" s="1"/>
  <c r="AG95" i="20" s="1"/>
  <c r="AF95" i="20"/>
  <c r="AF93" i="20"/>
  <c r="AG115" i="24"/>
  <c r="AA76" i="21"/>
  <c r="AA77" i="21"/>
  <c r="AA68" i="19"/>
  <c r="AA126" i="24"/>
  <c r="AA75" i="21"/>
  <c r="AA52" i="19"/>
  <c r="AA54" i="19" s="1"/>
  <c r="AA55" i="19" s="1"/>
  <c r="AA90" i="21"/>
  <c r="AA89" i="21"/>
  <c r="AB93" i="20"/>
  <c r="AB88" i="21"/>
  <c r="AB89" i="21" s="1"/>
  <c r="AB124" i="24"/>
  <c r="AB95" i="20"/>
  <c r="AB125" i="24" s="1"/>
  <c r="AB71" i="21"/>
  <c r="AB74" i="21" s="1"/>
  <c r="AG75" i="21" s="1"/>
  <c r="AB67" i="19"/>
  <c r="AB68" i="21"/>
  <c r="AG67" i="21" s="1"/>
  <c r="AG68" i="21" s="1"/>
  <c r="AL67" i="21" s="1"/>
  <c r="AE23" i="6"/>
  <c r="AE57" i="20"/>
  <c r="AC124" i="24"/>
  <c r="AC93" i="20"/>
  <c r="AC94" i="20"/>
  <c r="AC95" i="20"/>
  <c r="AC125" i="24" s="1"/>
  <c r="AC88" i="21"/>
  <c r="AI37" i="19"/>
  <c r="AI46" i="19" s="1"/>
  <c r="AJ64" i="19"/>
  <c r="AF50" i="20"/>
  <c r="AF71" i="20" s="1"/>
  <c r="AC67" i="19"/>
  <c r="AC71" i="21"/>
  <c r="AC74" i="21" s="1"/>
  <c r="AA127" i="24" l="1"/>
  <c r="AA78" i="21"/>
  <c r="AG108" i="19"/>
  <c r="AG107" i="19"/>
  <c r="AG93" i="20"/>
  <c r="AG117" i="24"/>
  <c r="AG50" i="20"/>
  <c r="AG71" i="20" s="1"/>
  <c r="AI53" i="20"/>
  <c r="AI56" i="20" s="1"/>
  <c r="AI79" i="20" s="1"/>
  <c r="AC67" i="21"/>
  <c r="AC68" i="21" s="1"/>
  <c r="AA56" i="19"/>
  <c r="AB48" i="19"/>
  <c r="AA50" i="19"/>
  <c r="AA60" i="19" s="1"/>
  <c r="AB77" i="21"/>
  <c r="AB68" i="19"/>
  <c r="AB75" i="21"/>
  <c r="AB126" i="24"/>
  <c r="AD67" i="19"/>
  <c r="AD71" i="21"/>
  <c r="AD74" i="21" s="1"/>
  <c r="AC90" i="21"/>
  <c r="AC89" i="21"/>
  <c r="AF23" i="6"/>
  <c r="AE26" i="21"/>
  <c r="AE64" i="21" s="1"/>
  <c r="AC76" i="21"/>
  <c r="AC68" i="19"/>
  <c r="AC75" i="21"/>
  <c r="AC77" i="21"/>
  <c r="AC126" i="24"/>
  <c r="AF57" i="20"/>
  <c r="AE72" i="20"/>
  <c r="AC127" i="24" l="1"/>
  <c r="AC78" i="21"/>
  <c r="AB127" i="24"/>
  <c r="AB78" i="21"/>
  <c r="AG23" i="6"/>
  <c r="AG72" i="20"/>
  <c r="AG57" i="20"/>
  <c r="AD67" i="21"/>
  <c r="AD68" i="21" s="1"/>
  <c r="AE67" i="21" s="1"/>
  <c r="AC52" i="19"/>
  <c r="AC54" i="19" s="1"/>
  <c r="AC55" i="19" s="1"/>
  <c r="AB50" i="19"/>
  <c r="AB60" i="19" s="1"/>
  <c r="AB56" i="19"/>
  <c r="AB52" i="19"/>
  <c r="AB54" i="19" s="1"/>
  <c r="AB55" i="19" s="1"/>
  <c r="AF26" i="21"/>
  <c r="AF64" i="21" s="1"/>
  <c r="AF72" i="20"/>
  <c r="AE67" i="19"/>
  <c r="AE71" i="21"/>
  <c r="AE74" i="21" s="1"/>
  <c r="AE126" i="24" s="1"/>
  <c r="AD77" i="21"/>
  <c r="AD76" i="21"/>
  <c r="AD68" i="19"/>
  <c r="AD126" i="24"/>
  <c r="AD75" i="21"/>
  <c r="AD127" i="24" l="1"/>
  <c r="AD78" i="21"/>
  <c r="AC50" i="19"/>
  <c r="AC60" i="19" s="1"/>
  <c r="AD52" i="19"/>
  <c r="AD54" i="19" s="1"/>
  <c r="AD55" i="19" s="1"/>
  <c r="AF67" i="19"/>
  <c r="AF71" i="21"/>
  <c r="AF74" i="21" s="1"/>
  <c r="AE68" i="19"/>
  <c r="AE75" i="21"/>
  <c r="AE77" i="21"/>
  <c r="AE76" i="21"/>
  <c r="AF88" i="21"/>
  <c r="AF124" i="24"/>
  <c r="AF125" i="24"/>
  <c r="AE68" i="21"/>
  <c r="AE127" i="24" l="1"/>
  <c r="AE78" i="21"/>
  <c r="AC56" i="19"/>
  <c r="AD50" i="19"/>
  <c r="AD60" i="19" s="1"/>
  <c r="AE13" i="19"/>
  <c r="AE23" i="19" s="1"/>
  <c r="AF67" i="21"/>
  <c r="AF68" i="21" s="1"/>
  <c r="AF13" i="19" s="1"/>
  <c r="AF23" i="19" s="1"/>
  <c r="AF89" i="21"/>
  <c r="AF68" i="19"/>
  <c r="AF76" i="21"/>
  <c r="AF75" i="21"/>
  <c r="AF77" i="21"/>
  <c r="AF126" i="24"/>
  <c r="AF127" i="24" l="1"/>
  <c r="AF78" i="21"/>
  <c r="AD56" i="19"/>
  <c r="AE48" i="19"/>
  <c r="AE52" i="19"/>
  <c r="AE54" i="19" s="1"/>
  <c r="AE55" i="19" s="1"/>
  <c r="AF52" i="19"/>
  <c r="AF54" i="19" s="1"/>
  <c r="AF55" i="19" s="1"/>
  <c r="AF50" i="19" l="1"/>
  <c r="AF60" i="19" s="1"/>
  <c r="AF56" i="19"/>
  <c r="AG48" i="19"/>
  <c r="AE50" i="19"/>
  <c r="AE60" i="19" s="1"/>
  <c r="AE56" i="19"/>
  <c r="AG50" i="19" l="1"/>
  <c r="AG56" i="19"/>
  <c r="AR53" i="20" l="1"/>
  <c r="AR56" i="20" s="1"/>
  <c r="AR79" i="20" s="1"/>
  <c r="AD92" i="20" l="1"/>
  <c r="AD94" i="20" s="1"/>
  <c r="AD85" i="19"/>
  <c r="AD86" i="19" l="1"/>
  <c r="AD87" i="19"/>
  <c r="AD124" i="24"/>
  <c r="AD88" i="21"/>
  <c r="AD90" i="21" s="1"/>
  <c r="AD95" i="20"/>
  <c r="AD125" i="24" s="1"/>
  <c r="AD93" i="20"/>
  <c r="AD89" i="21" l="1"/>
  <c r="AF15" i="14" l="1"/>
  <c r="AH21" i="14" l="1"/>
  <c r="AF21" i="14"/>
  <c r="AG27" i="14"/>
  <c r="AG15" i="14" l="1"/>
  <c r="AE85" i="19" l="1"/>
  <c r="AE87" i="19" l="1"/>
  <c r="AE86" i="19"/>
  <c r="AE92" i="20"/>
  <c r="AF94" i="20" s="1"/>
  <c r="AE94" i="19"/>
  <c r="AE96" i="19" s="1"/>
  <c r="AE95" i="19" l="1"/>
  <c r="AE124" i="24"/>
  <c r="AE88" i="21"/>
  <c r="AE95" i="20"/>
  <c r="AE125" i="24" s="1"/>
  <c r="AE94" i="20"/>
  <c r="AE93" i="20"/>
  <c r="AE90" i="21" l="1"/>
  <c r="AE89" i="21"/>
  <c r="AF90" i="21"/>
  <c r="AG67" i="19" l="1"/>
  <c r="AG88" i="21"/>
  <c r="AG124" i="24"/>
  <c r="AG125" i="24"/>
  <c r="AG68" i="19" l="1"/>
  <c r="AG126" i="24"/>
  <c r="AG127" i="24"/>
  <c r="AG89" i="21"/>
  <c r="AH67" i="21"/>
  <c r="AG52" i="19" l="1"/>
  <c r="AG54" i="19" s="1"/>
  <c r="AG55" i="19" s="1"/>
  <c r="AG13" i="19"/>
  <c r="AG23" i="19" s="1"/>
  <c r="AG60" i="19" s="1"/>
  <c r="AH17" i="27" l="1"/>
  <c r="AM18" i="27" s="1"/>
  <c r="AI17" i="27" l="1"/>
  <c r="AI19" i="27" l="1"/>
  <c r="AH22" i="14" l="1"/>
  <c r="AF22" i="14"/>
  <c r="AF16" i="14"/>
  <c r="AF12" i="14"/>
  <c r="AF24" i="14" s="1"/>
  <c r="AG28" i="14"/>
  <c r="AF35" i="14" l="1"/>
  <c r="AH24" i="14"/>
  <c r="AG12" i="14"/>
  <c r="AG16" i="14"/>
  <c r="AF18" i="14"/>
  <c r="AF30" i="14"/>
  <c r="AG18" i="14" l="1"/>
  <c r="AG35" i="14"/>
  <c r="AG30" i="14"/>
  <c r="AH64" i="24" l="1"/>
  <c r="AH59" i="24"/>
  <c r="AH63" i="24"/>
  <c r="AH58" i="24"/>
  <c r="AH62" i="24"/>
  <c r="AH78" i="24" l="1"/>
  <c r="AH60" i="24"/>
  <c r="AH79" i="24" l="1"/>
  <c r="AH74" i="24"/>
  <c r="AH76" i="24" s="1"/>
  <c r="AH103" i="24" l="1"/>
  <c r="AH109" i="24" s="1"/>
  <c r="AH110" i="24" s="1"/>
  <c r="AR67" i="24"/>
  <c r="AH63" i="19"/>
  <c r="AH82" i="24"/>
  <c r="AH115" i="24" l="1"/>
  <c r="AH117" i="24" s="1"/>
  <c r="AH104" i="24"/>
  <c r="AH78" i="19"/>
  <c r="AH101" i="19"/>
  <c r="AH107" i="19"/>
  <c r="AM63" i="19"/>
  <c r="AM76" i="24"/>
  <c r="AH53" i="20"/>
  <c r="AH56" i="20" s="1"/>
  <c r="AH113" i="24"/>
  <c r="AH50" i="20" l="1"/>
  <c r="AM101" i="19"/>
  <c r="AM82" i="24"/>
  <c r="AH79" i="20"/>
  <c r="AH58" i="19"/>
  <c r="AH104" i="19" s="1"/>
  <c r="AH37" i="19"/>
  <c r="AH46" i="19" s="1"/>
  <c r="AH23" i="6"/>
  <c r="AM58" i="19"/>
  <c r="AM104" i="19" s="1"/>
  <c r="AI26" i="21" l="1"/>
  <c r="AI67" i="19" s="1"/>
  <c r="AI71" i="21" l="1"/>
  <c r="AI74" i="21" s="1"/>
  <c r="AI94" i="21" s="1"/>
  <c r="AI64" i="21"/>
  <c r="AI75" i="21" l="1"/>
  <c r="AI126" i="24"/>
  <c r="AI68" i="19"/>
  <c r="AI77" i="21"/>
  <c r="AI127" i="24" l="1"/>
  <c r="AI78" i="21"/>
  <c r="AH13" i="19"/>
  <c r="AH23" i="19" s="1"/>
  <c r="AH48" i="19" s="1"/>
  <c r="AH52" i="19"/>
  <c r="AH54" i="19" s="1"/>
  <c r="AH55" i="19" s="1"/>
  <c r="AH56" i="19" l="1"/>
  <c r="AH50" i="19"/>
  <c r="AH60" i="19" s="1"/>
  <c r="AH37" i="21" l="1"/>
  <c r="AH111" i="20"/>
  <c r="AM112" i="20" l="1"/>
  <c r="AH93" i="21"/>
  <c r="AH86" i="20"/>
  <c r="AI113" i="20"/>
  <c r="AH112" i="20"/>
  <c r="AH113" i="20"/>
  <c r="AH114" i="20"/>
  <c r="AH51" i="20"/>
  <c r="AH71" i="20" s="1"/>
  <c r="AH72" i="20" l="1"/>
  <c r="AH57" i="20"/>
  <c r="AH26" i="21" l="1"/>
  <c r="AH67" i="19" l="1"/>
  <c r="AH71" i="21"/>
  <c r="AH74" i="21" s="1"/>
  <c r="AH94" i="21" s="1"/>
  <c r="AH64" i="21"/>
  <c r="AH68" i="21" s="1"/>
  <c r="AI67" i="21" s="1"/>
  <c r="AI68" i="21" s="1"/>
  <c r="AJ67" i="21" l="1"/>
  <c r="AH126" i="24"/>
  <c r="AH75" i="21"/>
  <c r="AH68" i="19"/>
  <c r="AH77" i="21"/>
  <c r="AH76" i="21"/>
  <c r="AI76" i="21"/>
  <c r="AH127" i="24" l="1"/>
  <c r="AH78" i="21"/>
  <c r="AI52" i="19"/>
  <c r="AI54" i="19" s="1"/>
  <c r="AI55" i="19" s="1"/>
  <c r="AI13" i="19"/>
  <c r="AI23" i="19" s="1"/>
  <c r="AI50" i="19" l="1"/>
  <c r="AI60" i="19" s="1"/>
  <c r="AI56" i="19"/>
  <c r="AH85" i="19" l="1"/>
  <c r="AH87" i="19" s="1"/>
  <c r="AH86" i="19" l="1"/>
  <c r="AH92" i="20"/>
  <c r="AH88" i="21" s="1"/>
  <c r="AH94" i="19"/>
  <c r="AH96" i="19" s="1"/>
  <c r="AH89" i="21" l="1"/>
  <c r="AH90" i="21"/>
  <c r="AH95" i="19"/>
  <c r="AH124" i="24"/>
  <c r="AH95" i="20"/>
  <c r="AH125" i="24" s="1"/>
  <c r="AH94" i="20"/>
  <c r="AH93" i="20"/>
  <c r="AH27" i="20" l="1"/>
  <c r="AL34" i="24"/>
  <c r="AL36" i="24" l="1"/>
  <c r="AM37" i="24"/>
  <c r="AN52" i="24" l="1"/>
  <c r="AN16" i="20" s="1"/>
  <c r="AN20" i="20" s="1"/>
  <c r="AN22" i="20" l="1"/>
  <c r="AN23" i="20"/>
  <c r="AS22" i="20"/>
  <c r="AN105" i="20"/>
  <c r="AS106" i="20" s="1"/>
  <c r="AN12" i="14"/>
  <c r="AN58" i="24"/>
  <c r="AS53" i="24"/>
  <c r="AN62" i="19"/>
  <c r="AN42" i="24"/>
  <c r="AN41" i="24"/>
  <c r="AI62" i="24"/>
  <c r="AJ64" i="24"/>
  <c r="AI79" i="24"/>
  <c r="AI64" i="24"/>
  <c r="AI63" i="24"/>
  <c r="AL61" i="24"/>
  <c r="AM64" i="24" s="1"/>
  <c r="AI57" i="24"/>
  <c r="AN70" i="24"/>
  <c r="AN50" i="24"/>
  <c r="AN53" i="24"/>
  <c r="AN54" i="24"/>
  <c r="AN97" i="20"/>
  <c r="AN21" i="6"/>
  <c r="AN84" i="21"/>
  <c r="AS85" i="21" s="1"/>
  <c r="AN21" i="27"/>
  <c r="AN34" i="14"/>
  <c r="AN8" i="20"/>
  <c r="AN144" i="27" l="1"/>
  <c r="AN146" i="27" s="1"/>
  <c r="AN134" i="27"/>
  <c r="AN135" i="27" s="1"/>
  <c r="AN93" i="19"/>
  <c r="AN72" i="19"/>
  <c r="AN114" i="20"/>
  <c r="AN106" i="20"/>
  <c r="AN57" i="19"/>
  <c r="AN75" i="19" s="1"/>
  <c r="AN86" i="21"/>
  <c r="AN85" i="21"/>
  <c r="AI58" i="24"/>
  <c r="AI59" i="24"/>
  <c r="AI60" i="24"/>
  <c r="AI78" i="24"/>
  <c r="AL63" i="24"/>
  <c r="AL79" i="24"/>
  <c r="AN63" i="24"/>
  <c r="AN62" i="24"/>
  <c r="AN64" i="24"/>
  <c r="AN40" i="20"/>
  <c r="AN35" i="20"/>
  <c r="AN31" i="27"/>
  <c r="AS33" i="27" s="1"/>
  <c r="AN12" i="20"/>
  <c r="AS13" i="20" s="1"/>
  <c r="AS112" i="20"/>
  <c r="AI74" i="24"/>
  <c r="AN138" i="27" l="1"/>
  <c r="AN139" i="27"/>
  <c r="AS138" i="27"/>
  <c r="AS147" i="27"/>
  <c r="AN147" i="27"/>
  <c r="AN148" i="27"/>
  <c r="AS36" i="20"/>
  <c r="AN30" i="20"/>
  <c r="AN39" i="20" s="1"/>
  <c r="AN59" i="24"/>
  <c r="AN60" i="24"/>
  <c r="AS18" i="14"/>
  <c r="AN37" i="21"/>
  <c r="AN66" i="24"/>
  <c r="AN68" i="24"/>
  <c r="AN67" i="24"/>
  <c r="AQ63" i="24"/>
  <c r="AN51" i="20"/>
  <c r="AN86" i="20"/>
  <c r="AN63" i="19"/>
  <c r="AN76" i="24"/>
  <c r="AN13" i="20"/>
  <c r="AN124" i="19"/>
  <c r="AS125" i="19" s="1"/>
  <c r="AN14" i="20"/>
  <c r="AN25" i="24"/>
  <c r="AI63" i="19"/>
  <c r="AI76" i="24"/>
  <c r="AN34" i="27"/>
  <c r="AN33" i="27"/>
  <c r="AN37" i="20"/>
  <c r="AN36" i="20"/>
  <c r="AP126" i="19" l="1"/>
  <c r="AN31" i="20"/>
  <c r="AN28" i="20"/>
  <c r="AN27" i="20" s="1"/>
  <c r="AN32" i="20"/>
  <c r="AN101" i="19"/>
  <c r="AS27" i="24"/>
  <c r="AS68" i="24"/>
  <c r="AS67" i="24"/>
  <c r="AS66" i="24"/>
  <c r="AI101" i="19"/>
  <c r="AI78" i="19"/>
  <c r="AI107" i="19"/>
  <c r="AN82" i="24"/>
  <c r="AI82" i="24"/>
  <c r="AI103" i="24"/>
  <c r="AI58" i="19"/>
  <c r="AI104" i="19" s="1"/>
  <c r="AN30" i="14"/>
  <c r="AN18" i="14"/>
  <c r="AN24" i="14"/>
  <c r="AN35" i="14"/>
  <c r="AN125" i="19"/>
  <c r="AN126" i="19"/>
  <c r="AN28" i="24"/>
  <c r="AN26" i="24"/>
  <c r="AN27" i="24"/>
  <c r="AS76" i="24" l="1"/>
  <c r="AI104" i="24"/>
  <c r="AI109" i="24"/>
  <c r="AN58" i="19"/>
  <c r="AN104" i="19" s="1"/>
  <c r="AS82" i="24" l="1"/>
  <c r="AI113" i="24"/>
  <c r="AI110" i="24"/>
  <c r="AI115" i="24"/>
  <c r="AI117" i="24" l="1"/>
  <c r="AI50" i="20"/>
  <c r="AI71" i="20" s="1"/>
  <c r="AI57" i="20" l="1"/>
  <c r="AI23" i="6"/>
  <c r="AS53" i="20" l="1"/>
  <c r="AS56" i="20" s="1"/>
  <c r="AI72" i="20"/>
  <c r="AS79" i="20" l="1"/>
  <c r="AO30" i="24" l="1"/>
  <c r="AJ52" i="24"/>
  <c r="AJ16" i="20" s="1"/>
  <c r="AJ20" i="20" s="1"/>
  <c r="AJ41" i="24"/>
  <c r="AL39" i="24"/>
  <c r="AJ23" i="20" l="1"/>
  <c r="AJ22" i="20"/>
  <c r="AK23" i="20"/>
  <c r="AJ35" i="24"/>
  <c r="AJ31" i="24"/>
  <c r="AO78" i="24"/>
  <c r="AP33" i="24"/>
  <c r="AO32" i="24"/>
  <c r="AJ105" i="20"/>
  <c r="AJ54" i="24"/>
  <c r="AJ53" i="24"/>
  <c r="AJ21" i="27"/>
  <c r="AJ17" i="27" s="1"/>
  <c r="AJ8" i="20"/>
  <c r="AJ62" i="19"/>
  <c r="AJ21" i="6"/>
  <c r="AL52" i="24"/>
  <c r="AL16" i="20" s="1"/>
  <c r="AL20" i="20" s="1"/>
  <c r="AL22" i="20" s="1"/>
  <c r="AJ34" i="14"/>
  <c r="AJ42" i="24"/>
  <c r="AJ84" i="21"/>
  <c r="AK86" i="21" s="1"/>
  <c r="AJ86" i="24"/>
  <c r="AJ50" i="24"/>
  <c r="AJ97" i="20"/>
  <c r="AK54" i="24"/>
  <c r="AJ91" i="24"/>
  <c r="AJ70" i="24"/>
  <c r="AJ62" i="24"/>
  <c r="AJ96" i="24"/>
  <c r="AO52" i="24"/>
  <c r="AO16" i="20" s="1"/>
  <c r="AO20" i="20" s="1"/>
  <c r="AP41" i="24"/>
  <c r="AO41" i="24"/>
  <c r="AQ39" i="24"/>
  <c r="AQ40" i="24" s="1"/>
  <c r="AJ101" i="24"/>
  <c r="AL30" i="24"/>
  <c r="AM33" i="24" s="1"/>
  <c r="AL40" i="24"/>
  <c r="AO23" i="20" l="1"/>
  <c r="AO22" i="20"/>
  <c r="AP23" i="20"/>
  <c r="AO105" i="20"/>
  <c r="AO106" i="20" s="1"/>
  <c r="AO66" i="24"/>
  <c r="AK107" i="20"/>
  <c r="AL105" i="20"/>
  <c r="AN107" i="20" s="1"/>
  <c r="AO74" i="24"/>
  <c r="AJ27" i="14"/>
  <c r="AJ28" i="14"/>
  <c r="AJ12" i="20"/>
  <c r="AJ124" i="19" s="1"/>
  <c r="AJ34" i="20"/>
  <c r="AL34" i="20" s="1"/>
  <c r="AT41" i="24"/>
  <c r="AT52" i="24"/>
  <c r="AO42" i="24"/>
  <c r="AO35" i="24"/>
  <c r="AO31" i="24"/>
  <c r="AT30" i="24"/>
  <c r="AJ93" i="19"/>
  <c r="AJ84" i="19"/>
  <c r="AJ72" i="19"/>
  <c r="AV39" i="24"/>
  <c r="AJ107" i="20"/>
  <c r="AJ106" i="20"/>
  <c r="AU41" i="24"/>
  <c r="AL31" i="24"/>
  <c r="AJ19" i="27"/>
  <c r="AJ31" i="27"/>
  <c r="AJ22" i="14"/>
  <c r="AJ40" i="20"/>
  <c r="AJ85" i="21"/>
  <c r="AJ86" i="21"/>
  <c r="AL8" i="20"/>
  <c r="AL12" i="20" s="1"/>
  <c r="AL50" i="24"/>
  <c r="AL34" i="14"/>
  <c r="AL62" i="19"/>
  <c r="AL53" i="24"/>
  <c r="AL21" i="27"/>
  <c r="AL36" i="27" s="1"/>
  <c r="AL38" i="27" s="1"/>
  <c r="AL35" i="24"/>
  <c r="AL97" i="20"/>
  <c r="AL21" i="6"/>
  <c r="AL42" i="24"/>
  <c r="AL62" i="24"/>
  <c r="AL84" i="21"/>
  <c r="AL85" i="21" s="1"/>
  <c r="AO62" i="19"/>
  <c r="AO21" i="6"/>
  <c r="AO97" i="20"/>
  <c r="AO84" i="21"/>
  <c r="AP86" i="21" s="1"/>
  <c r="AO62" i="24"/>
  <c r="AO21" i="27"/>
  <c r="AO70" i="24"/>
  <c r="AO50" i="24"/>
  <c r="AO34" i="14"/>
  <c r="AO8" i="20"/>
  <c r="AP54" i="24"/>
  <c r="AO54" i="24"/>
  <c r="AQ52" i="24"/>
  <c r="AQ16" i="20" s="1"/>
  <c r="AQ20" i="20" s="1"/>
  <c r="AQ22" i="20" s="1"/>
  <c r="AO53" i="24"/>
  <c r="AJ78" i="24"/>
  <c r="AJ65" i="24"/>
  <c r="AO67" i="24" s="1"/>
  <c r="AJ59" i="24"/>
  <c r="AJ74" i="24"/>
  <c r="AK60" i="24"/>
  <c r="AJ60" i="24"/>
  <c r="AL57" i="24"/>
  <c r="AM60" i="24" s="1"/>
  <c r="AJ58" i="24"/>
  <c r="AL32" i="24"/>
  <c r="AJ57" i="19"/>
  <c r="AJ75" i="19" s="1"/>
  <c r="AJ21" i="14"/>
  <c r="AJ15" i="14"/>
  <c r="AT16" i="20" l="1"/>
  <c r="AT20" i="20" s="1"/>
  <c r="AT23" i="20" s="1"/>
  <c r="AT13" i="24"/>
  <c r="AJ14" i="20"/>
  <c r="AJ13" i="20"/>
  <c r="AO144" i="27"/>
  <c r="AO146" i="27" s="1"/>
  <c r="AO134" i="27"/>
  <c r="AO135" i="27" s="1"/>
  <c r="AL38" i="14"/>
  <c r="AL54" i="14" s="1"/>
  <c r="AL39" i="14"/>
  <c r="AL55" i="14" s="1"/>
  <c r="AO93" i="19"/>
  <c r="AO84" i="19"/>
  <c r="AO72" i="19"/>
  <c r="AO114" i="20"/>
  <c r="AO107" i="20"/>
  <c r="AT21" i="6"/>
  <c r="AY52" i="24"/>
  <c r="L21" i="30" s="1"/>
  <c r="N21" i="30" s="1"/>
  <c r="O21" i="30" s="1"/>
  <c r="AY30" i="24"/>
  <c r="AZ41" i="24"/>
  <c r="AV40" i="24"/>
  <c r="AJ35" i="20"/>
  <c r="AK37" i="20" s="1"/>
  <c r="AK126" i="19"/>
  <c r="AL107" i="20"/>
  <c r="AL106" i="20"/>
  <c r="AP59" i="24"/>
  <c r="AR60" i="24"/>
  <c r="AP58" i="24"/>
  <c r="AP67" i="24"/>
  <c r="AP66" i="24"/>
  <c r="AR68" i="24"/>
  <c r="AQ42" i="24"/>
  <c r="AT54" i="24"/>
  <c r="AT62" i="24"/>
  <c r="AT35" i="24"/>
  <c r="AT42" i="24"/>
  <c r="AT34" i="14"/>
  <c r="AT9" i="14" s="1"/>
  <c r="AU54" i="24"/>
  <c r="AT84" i="21"/>
  <c r="AT85" i="21" s="1"/>
  <c r="AV52" i="24"/>
  <c r="AT70" i="24"/>
  <c r="AT105" i="20"/>
  <c r="AT106" i="20" s="1"/>
  <c r="AT21" i="27"/>
  <c r="AT50" i="24"/>
  <c r="AT97" i="20"/>
  <c r="AT53" i="24"/>
  <c r="AT8" i="20"/>
  <c r="AJ125" i="19"/>
  <c r="AJ25" i="24"/>
  <c r="AK28" i="24" s="1"/>
  <c r="AK14" i="20"/>
  <c r="AJ34" i="27"/>
  <c r="AK34" i="27"/>
  <c r="AJ126" i="19"/>
  <c r="AT62" i="19"/>
  <c r="AU33" i="24"/>
  <c r="AT32" i="24"/>
  <c r="AT31" i="24"/>
  <c r="AT65" i="24"/>
  <c r="AL57" i="19"/>
  <c r="AL75" i="19" s="1"/>
  <c r="AL84" i="19"/>
  <c r="AJ33" i="27"/>
  <c r="AJ16" i="14"/>
  <c r="AL93" i="19"/>
  <c r="AL72" i="19"/>
  <c r="AJ37" i="21"/>
  <c r="AL40" i="20"/>
  <c r="AL31" i="27"/>
  <c r="AL33" i="27" s="1"/>
  <c r="AL35" i="20"/>
  <c r="AL36" i="20" s="1"/>
  <c r="AJ63" i="19"/>
  <c r="AJ76" i="24"/>
  <c r="AL59" i="24"/>
  <c r="AL58" i="24"/>
  <c r="AL78" i="24"/>
  <c r="AP107" i="20"/>
  <c r="AO35" i="20"/>
  <c r="AO40" i="20"/>
  <c r="AO31" i="27"/>
  <c r="AO12" i="20"/>
  <c r="AO124" i="19" s="1"/>
  <c r="AO126" i="19" s="1"/>
  <c r="AO58" i="24"/>
  <c r="AO59" i="24"/>
  <c r="AP60" i="24"/>
  <c r="AQ57" i="24"/>
  <c r="AO60" i="24"/>
  <c r="AQ50" i="24"/>
  <c r="AQ34" i="14"/>
  <c r="AQ8" i="20"/>
  <c r="AQ97" i="20"/>
  <c r="AQ62" i="19"/>
  <c r="AQ21" i="27"/>
  <c r="AQ36" i="27" s="1"/>
  <c r="AQ38" i="27" s="1"/>
  <c r="AQ105" i="20"/>
  <c r="AQ84" i="21"/>
  <c r="AQ21" i="6"/>
  <c r="AQ62" i="24"/>
  <c r="AQ53" i="24"/>
  <c r="AO86" i="21"/>
  <c r="AO85" i="21"/>
  <c r="AJ68" i="24"/>
  <c r="AJ67" i="24"/>
  <c r="AK68" i="24"/>
  <c r="AL65" i="24"/>
  <c r="AJ66" i="24"/>
  <c r="AL17" i="21"/>
  <c r="AL13" i="20"/>
  <c r="AL25" i="24"/>
  <c r="AL124" i="19"/>
  <c r="AJ18" i="14"/>
  <c r="AJ35" i="14"/>
  <c r="AJ24" i="14"/>
  <c r="AU23" i="20" l="1"/>
  <c r="AT22" i="20"/>
  <c r="AY16" i="20"/>
  <c r="AY20" i="20" s="1"/>
  <c r="AZ23" i="20" s="1"/>
  <c r="AY13" i="24"/>
  <c r="AT14" i="24"/>
  <c r="AT6" i="24"/>
  <c r="AT7" i="24" s="1"/>
  <c r="AV16" i="20"/>
  <c r="AV20" i="20" s="1"/>
  <c r="AV22" i="20" s="1"/>
  <c r="BD162" i="27"/>
  <c r="BD163" i="27" s="1"/>
  <c r="AJ36" i="20"/>
  <c r="AJ37" i="20"/>
  <c r="AJ30" i="20"/>
  <c r="AJ31" i="20" s="1"/>
  <c r="AJ26" i="24"/>
  <c r="AJ27" i="24"/>
  <c r="AJ28" i="24"/>
  <c r="AT134" i="27"/>
  <c r="AT135" i="27" s="1"/>
  <c r="AT144" i="27"/>
  <c r="AT146" i="27" s="1"/>
  <c r="AO138" i="27"/>
  <c r="AO139" i="27"/>
  <c r="AP139" i="27"/>
  <c r="AO147" i="27"/>
  <c r="AO148" i="27"/>
  <c r="AP148" i="27"/>
  <c r="AQ146" i="27"/>
  <c r="AY8" i="20"/>
  <c r="AY31" i="27" s="1"/>
  <c r="AZ34" i="27" s="1"/>
  <c r="AQ39" i="14"/>
  <c r="AQ55" i="14" s="1"/>
  <c r="AQ38" i="14"/>
  <c r="AQ54" i="14" s="1"/>
  <c r="AU59" i="24"/>
  <c r="AU65" i="24"/>
  <c r="AT74" i="24"/>
  <c r="AT76" i="24" s="1"/>
  <c r="AT93" i="19"/>
  <c r="AT72" i="19"/>
  <c r="AT27" i="14"/>
  <c r="AT28" i="14"/>
  <c r="AO30" i="20"/>
  <c r="AO31" i="20" s="1"/>
  <c r="AU58" i="24"/>
  <c r="AY31" i="24"/>
  <c r="AY53" i="24"/>
  <c r="AY84" i="21"/>
  <c r="AY50" i="24"/>
  <c r="AY97" i="20"/>
  <c r="AZ33" i="24"/>
  <c r="AY32" i="24"/>
  <c r="AY21" i="27"/>
  <c r="AZ54" i="24"/>
  <c r="AY62" i="24"/>
  <c r="AY35" i="24"/>
  <c r="AY70" i="24"/>
  <c r="AY42" i="24"/>
  <c r="AY34" i="14"/>
  <c r="AY105" i="20"/>
  <c r="AZ107" i="20" s="1"/>
  <c r="AY21" i="6"/>
  <c r="AY62" i="19"/>
  <c r="AY57" i="19" s="1"/>
  <c r="BD52" i="24"/>
  <c r="BE41" i="24"/>
  <c r="BD30" i="24"/>
  <c r="AT12" i="20"/>
  <c r="AT31" i="27"/>
  <c r="AT33" i="27" s="1"/>
  <c r="AO125" i="19"/>
  <c r="AL30" i="20"/>
  <c r="AL39" i="20" s="1"/>
  <c r="AV21" i="6"/>
  <c r="AU107" i="20"/>
  <c r="AU86" i="21"/>
  <c r="AT86" i="21"/>
  <c r="AT40" i="20"/>
  <c r="AT35" i="20"/>
  <c r="AV50" i="24"/>
  <c r="AV34" i="14"/>
  <c r="AV62" i="19"/>
  <c r="AV72" i="19" s="1"/>
  <c r="AV42" i="24"/>
  <c r="AV97" i="20"/>
  <c r="AV8" i="20"/>
  <c r="AV53" i="24"/>
  <c r="AV21" i="27"/>
  <c r="AV36" i="27" s="1"/>
  <c r="AV38" i="27" s="1"/>
  <c r="AT107" i="20"/>
  <c r="AV84" i="21"/>
  <c r="AV85" i="21" s="1"/>
  <c r="AV105" i="20"/>
  <c r="AV106" i="20" s="1"/>
  <c r="AT58" i="24"/>
  <c r="AU60" i="24"/>
  <c r="AT59" i="24"/>
  <c r="AJ107" i="19"/>
  <c r="AJ78" i="19"/>
  <c r="AJ101" i="19"/>
  <c r="AT21" i="14"/>
  <c r="AT68" i="24"/>
  <c r="AT66" i="24"/>
  <c r="AT67" i="24"/>
  <c r="AT57" i="19"/>
  <c r="AT75" i="19" s="1"/>
  <c r="AQ106" i="20"/>
  <c r="AQ85" i="21"/>
  <c r="AO57" i="19"/>
  <c r="AO75" i="19" s="1"/>
  <c r="AQ58" i="24"/>
  <c r="AQ59" i="24"/>
  <c r="AP68" i="24"/>
  <c r="AQ65" i="24"/>
  <c r="AO86" i="20"/>
  <c r="AO51" i="20"/>
  <c r="AP113" i="20"/>
  <c r="AQ111" i="20"/>
  <c r="AQ93" i="21" s="1"/>
  <c r="AP34" i="27"/>
  <c r="AO34" i="27"/>
  <c r="AO33" i="27"/>
  <c r="AJ82" i="24"/>
  <c r="AJ103" i="24"/>
  <c r="AL67" i="24"/>
  <c r="AL66" i="24"/>
  <c r="AQ40" i="20"/>
  <c r="AQ35" i="20"/>
  <c r="AQ12" i="20"/>
  <c r="AQ31" i="27"/>
  <c r="AP37" i="20"/>
  <c r="AO37" i="20"/>
  <c r="AO36" i="20"/>
  <c r="AO25" i="24"/>
  <c r="AP14" i="20"/>
  <c r="AO14" i="20"/>
  <c r="AO13" i="20"/>
  <c r="AQ72" i="19"/>
  <c r="AQ93" i="19"/>
  <c r="AQ57" i="19"/>
  <c r="AQ75" i="19" s="1"/>
  <c r="AO63" i="19"/>
  <c r="AO76" i="24"/>
  <c r="AL125" i="19"/>
  <c r="AL27" i="24"/>
  <c r="AL26" i="24"/>
  <c r="BI53" i="24" l="1"/>
  <c r="F17" i="30" s="1"/>
  <c r="AY22" i="20"/>
  <c r="BD13" i="24"/>
  <c r="BD14" i="24" s="1"/>
  <c r="L25" i="30"/>
  <c r="AY14" i="24"/>
  <c r="AY6" i="24"/>
  <c r="AY7" i="24" s="1"/>
  <c r="BI30" i="24"/>
  <c r="BJ33" i="24" s="1"/>
  <c r="G16" i="17" s="1"/>
  <c r="BD16" i="20"/>
  <c r="BD20" i="20" s="1"/>
  <c r="BJ41" i="24"/>
  <c r="AJ32" i="20"/>
  <c r="AJ28" i="20"/>
  <c r="AJ27" i="20" s="1"/>
  <c r="AJ39" i="20"/>
  <c r="BN39" i="24"/>
  <c r="BS39" i="24" s="1"/>
  <c r="BS162" i="27" s="1"/>
  <c r="BS163" i="27" s="1"/>
  <c r="BI162" i="27"/>
  <c r="BI163" i="27" s="1"/>
  <c r="AT63" i="19"/>
  <c r="AT101" i="19" s="1"/>
  <c r="AY35" i="20"/>
  <c r="AY36" i="20" s="1"/>
  <c r="AY12" i="20"/>
  <c r="AY124" i="19" s="1"/>
  <c r="AZ126" i="19" s="1"/>
  <c r="AY40" i="20"/>
  <c r="AY144" i="27"/>
  <c r="AY146" i="27" s="1"/>
  <c r="AY134" i="27"/>
  <c r="AY135" i="27" s="1"/>
  <c r="AT148" i="27"/>
  <c r="AT147" i="27"/>
  <c r="AV146" i="27"/>
  <c r="AV147" i="27" s="1"/>
  <c r="AU148" i="27"/>
  <c r="AT139" i="27"/>
  <c r="AT138" i="27"/>
  <c r="AU139" i="27"/>
  <c r="AO32" i="20"/>
  <c r="AO39" i="20"/>
  <c r="AY93" i="19"/>
  <c r="AY72" i="19"/>
  <c r="AY84" i="19"/>
  <c r="AY27" i="14"/>
  <c r="AY28" i="14"/>
  <c r="AU67" i="24"/>
  <c r="AV39" i="14"/>
  <c r="AV55" i="14" s="1"/>
  <c r="AV38" i="14"/>
  <c r="AV54" i="14" s="1"/>
  <c r="AV65" i="24"/>
  <c r="AV67" i="24" s="1"/>
  <c r="AU68" i="24"/>
  <c r="AU66" i="24"/>
  <c r="AV40" i="20"/>
  <c r="AV31" i="27"/>
  <c r="AO28" i="20"/>
  <c r="AO27" i="20" s="1"/>
  <c r="AT25" i="24"/>
  <c r="AT27" i="24" s="1"/>
  <c r="AT124" i="19"/>
  <c r="BD42" i="24"/>
  <c r="AW59" i="24"/>
  <c r="AW58" i="24"/>
  <c r="AW60" i="24"/>
  <c r="AW68" i="24"/>
  <c r="AW67" i="24"/>
  <c r="AW74" i="24"/>
  <c r="AW66" i="24"/>
  <c r="AT51" i="20"/>
  <c r="AT93" i="21"/>
  <c r="AY72" i="21"/>
  <c r="AY85" i="21"/>
  <c r="AZ86" i="21"/>
  <c r="AY106" i="20"/>
  <c r="AY33" i="27"/>
  <c r="AT14" i="20"/>
  <c r="AT13" i="20"/>
  <c r="AU14" i="20"/>
  <c r="BD31" i="24"/>
  <c r="BE33" i="24"/>
  <c r="D16" i="17" s="1"/>
  <c r="BD32" i="24"/>
  <c r="BD34" i="14"/>
  <c r="BD27" i="14" s="1"/>
  <c r="BD21" i="6"/>
  <c r="BD97" i="20"/>
  <c r="BD84" i="21"/>
  <c r="BD62" i="19"/>
  <c r="BD84" i="19" s="1"/>
  <c r="BD21" i="27"/>
  <c r="BD105" i="20"/>
  <c r="BI106" i="20" s="1"/>
  <c r="BD8" i="20"/>
  <c r="BD53" i="24"/>
  <c r="BD50" i="24"/>
  <c r="BD70" i="24"/>
  <c r="BE54" i="24"/>
  <c r="BD35" i="24"/>
  <c r="AQ30" i="20"/>
  <c r="AQ39" i="20" s="1"/>
  <c r="AT34" i="27"/>
  <c r="AU34" i="27"/>
  <c r="AL32" i="20"/>
  <c r="AL31" i="20"/>
  <c r="AL28" i="20"/>
  <c r="AL27" i="20" s="1"/>
  <c r="AT36" i="20"/>
  <c r="AT30" i="20"/>
  <c r="AT39" i="20" s="1"/>
  <c r="AO101" i="19"/>
  <c r="AU113" i="20"/>
  <c r="AU37" i="20"/>
  <c r="AT114" i="20"/>
  <c r="AT37" i="20"/>
  <c r="AV12" i="20"/>
  <c r="AV35" i="20"/>
  <c r="AT12" i="14"/>
  <c r="AT30" i="14" s="1"/>
  <c r="AV57" i="19"/>
  <c r="AV75" i="19" s="1"/>
  <c r="AV93" i="19"/>
  <c r="AT22" i="14"/>
  <c r="AU22" i="14"/>
  <c r="AT86" i="20"/>
  <c r="AT113" i="20"/>
  <c r="AV111" i="20"/>
  <c r="AT112" i="20"/>
  <c r="AY75" i="19"/>
  <c r="AY16" i="14"/>
  <c r="AZ22" i="14"/>
  <c r="AV17" i="21"/>
  <c r="AT82" i="24"/>
  <c r="AQ33" i="27"/>
  <c r="AQ17" i="21"/>
  <c r="AQ124" i="19"/>
  <c r="AQ25" i="24"/>
  <c r="AQ13" i="20"/>
  <c r="AJ109" i="24"/>
  <c r="AJ104" i="24"/>
  <c r="AQ67" i="24"/>
  <c r="AQ66" i="24"/>
  <c r="AO26" i="24"/>
  <c r="AP28" i="24"/>
  <c r="AO28" i="24"/>
  <c r="AO27" i="24"/>
  <c r="AQ36" i="20"/>
  <c r="AO82" i="24"/>
  <c r="AQ114" i="20"/>
  <c r="AQ51" i="20"/>
  <c r="AQ86" i="20"/>
  <c r="AJ58" i="19"/>
  <c r="AJ104" i="19" s="1"/>
  <c r="AJ37" i="19"/>
  <c r="AJ46" i="19" s="1"/>
  <c r="AP74" i="19"/>
  <c r="AO37" i="21"/>
  <c r="D29" i="17" l="1"/>
  <c r="E18" i="30"/>
  <c r="N25" i="30"/>
  <c r="L29" i="30"/>
  <c r="BD6" i="24"/>
  <c r="BD7" i="24" s="1"/>
  <c r="BS45" i="24"/>
  <c r="BS52" i="24"/>
  <c r="BS21" i="6" s="1"/>
  <c r="BS44" i="24"/>
  <c r="BS65" i="24"/>
  <c r="BS30" i="24"/>
  <c r="BT41" i="24"/>
  <c r="BI16" i="20"/>
  <c r="BI20" i="20" s="1"/>
  <c r="BJ23" i="20" s="1"/>
  <c r="BI35" i="24"/>
  <c r="BJ54" i="24"/>
  <c r="G29" i="17" s="1"/>
  <c r="BI62" i="19"/>
  <c r="BI84" i="21"/>
  <c r="BJ86" i="21" s="1"/>
  <c r="BI21" i="6"/>
  <c r="BI34" i="14"/>
  <c r="BI9" i="14" s="1"/>
  <c r="BI144" i="27"/>
  <c r="BI146" i="27" s="1"/>
  <c r="BI8" i="20"/>
  <c r="BI40" i="20" s="1"/>
  <c r="BN45" i="24"/>
  <c r="BN44" i="24"/>
  <c r="BI31" i="24"/>
  <c r="AY13" i="20"/>
  <c r="BI32" i="24"/>
  <c r="BD10" i="14"/>
  <c r="BD93" i="19"/>
  <c r="BD72" i="19"/>
  <c r="BD22" i="20"/>
  <c r="BE23" i="20"/>
  <c r="AY25" i="24"/>
  <c r="AY27" i="24" s="1"/>
  <c r="BN162" i="27"/>
  <c r="BN163" i="27" s="1"/>
  <c r="BN30" i="24"/>
  <c r="BN65" i="24"/>
  <c r="BN52" i="24"/>
  <c r="BN16" i="20" s="1"/>
  <c r="BN20" i="20" s="1"/>
  <c r="BO41" i="24"/>
  <c r="AY125" i="19"/>
  <c r="AZ14" i="20"/>
  <c r="AZ37" i="20"/>
  <c r="AY30" i="20"/>
  <c r="AY32" i="20" s="1"/>
  <c r="BD144" i="27"/>
  <c r="BD146" i="27" s="1"/>
  <c r="BE148" i="27" s="1"/>
  <c r="AY138" i="27"/>
  <c r="AZ139" i="27"/>
  <c r="AY147" i="27"/>
  <c r="AZ148" i="27"/>
  <c r="BD134" i="27"/>
  <c r="BD135" i="27" s="1"/>
  <c r="BD138" i="27" s="1"/>
  <c r="AT28" i="24"/>
  <c r="AU28" i="24"/>
  <c r="AT26" i="24"/>
  <c r="AV66" i="24"/>
  <c r="AT126" i="19"/>
  <c r="AT125" i="19"/>
  <c r="AW63" i="19"/>
  <c r="AW76" i="24"/>
  <c r="AY86" i="20"/>
  <c r="AY93" i="21"/>
  <c r="AV51" i="20"/>
  <c r="AV93" i="21"/>
  <c r="AZ21" i="14"/>
  <c r="AY15" i="14"/>
  <c r="AY12" i="14"/>
  <c r="AY35" i="14" s="1"/>
  <c r="AZ113" i="20"/>
  <c r="AY114" i="20"/>
  <c r="AY51" i="20"/>
  <c r="AY112" i="20"/>
  <c r="BD106" i="20"/>
  <c r="BD93" i="21"/>
  <c r="BE107" i="20"/>
  <c r="BD85" i="21"/>
  <c r="BE86" i="21"/>
  <c r="BD40" i="20"/>
  <c r="BD31" i="27"/>
  <c r="BD35" i="20"/>
  <c r="BD12" i="20"/>
  <c r="BD124" i="19" s="1"/>
  <c r="BE126" i="19" s="1"/>
  <c r="AV30" i="20"/>
  <c r="AV32" i="20" s="1"/>
  <c r="AQ28" i="20"/>
  <c r="AQ27" i="20" s="1"/>
  <c r="AQ32" i="20"/>
  <c r="AQ31" i="20"/>
  <c r="AV25" i="24"/>
  <c r="AT31" i="20"/>
  <c r="AT28" i="20"/>
  <c r="AT27" i="20" s="1"/>
  <c r="AT32" i="20"/>
  <c r="AV86" i="20"/>
  <c r="AV112" i="20"/>
  <c r="AV36" i="20"/>
  <c r="AV13" i="20"/>
  <c r="AV124" i="19"/>
  <c r="AV125" i="19" s="1"/>
  <c r="AT35" i="14"/>
  <c r="AT24" i="14"/>
  <c r="AV10" i="21"/>
  <c r="AV114" i="20"/>
  <c r="AY37" i="21"/>
  <c r="AK83" i="20"/>
  <c r="AL83" i="20" s="1"/>
  <c r="AL8" i="21"/>
  <c r="AT58" i="19"/>
  <c r="AT104" i="19" s="1"/>
  <c r="AQ125" i="19"/>
  <c r="AJ110" i="24"/>
  <c r="AO58" i="19"/>
  <c r="AO104" i="19" s="1"/>
  <c r="AQ26" i="24"/>
  <c r="AQ27" i="24"/>
  <c r="N29" i="30" l="1"/>
  <c r="F16" i="30"/>
  <c r="BI93" i="19"/>
  <c r="BI84" i="19"/>
  <c r="BI72" i="19"/>
  <c r="O25" i="30"/>
  <c r="BS42" i="24"/>
  <c r="BS21" i="27"/>
  <c r="BS105" i="20"/>
  <c r="BS62" i="19"/>
  <c r="BS8" i="20"/>
  <c r="BS84" i="21"/>
  <c r="BS97" i="20"/>
  <c r="BS16" i="20"/>
  <c r="BS20" i="20" s="1"/>
  <c r="BS32" i="24"/>
  <c r="BS31" i="24"/>
  <c r="BT33" i="24"/>
  <c r="BS74" i="24"/>
  <c r="BS63" i="19" s="1"/>
  <c r="BS66" i="24"/>
  <c r="BS67" i="24"/>
  <c r="BT68" i="24"/>
  <c r="BS35" i="24"/>
  <c r="BS70" i="24"/>
  <c r="BS50" i="24"/>
  <c r="BS53" i="24"/>
  <c r="BT54" i="24"/>
  <c r="BI22" i="20"/>
  <c r="BJ107" i="20"/>
  <c r="BI134" i="27"/>
  <c r="BI135" i="27" s="1"/>
  <c r="BI138" i="27" s="1"/>
  <c r="BI10" i="14"/>
  <c r="BI16" i="14" s="1"/>
  <c r="BI85" i="21"/>
  <c r="BI35" i="20"/>
  <c r="BI36" i="20" s="1"/>
  <c r="BI12" i="20"/>
  <c r="BI31" i="27"/>
  <c r="BI33" i="27" s="1"/>
  <c r="BD28" i="14"/>
  <c r="BD16" i="14"/>
  <c r="BE22" i="14"/>
  <c r="BI15" i="14"/>
  <c r="BJ21" i="14"/>
  <c r="AZ28" i="24"/>
  <c r="AY39" i="20"/>
  <c r="BD125" i="19"/>
  <c r="AY26" i="24"/>
  <c r="BN22" i="20"/>
  <c r="BO23" i="20"/>
  <c r="BN66" i="24"/>
  <c r="BO68" i="24"/>
  <c r="BN74" i="24"/>
  <c r="BN76" i="24" s="1"/>
  <c r="BN21" i="6"/>
  <c r="BN42" i="24"/>
  <c r="BN70" i="24"/>
  <c r="BN35" i="24"/>
  <c r="BN62" i="19"/>
  <c r="BN84" i="21"/>
  <c r="BO54" i="24"/>
  <c r="BN105" i="20"/>
  <c r="BN53" i="24"/>
  <c r="BN21" i="27"/>
  <c r="BN97" i="20"/>
  <c r="BN8" i="20"/>
  <c r="BN50" i="24"/>
  <c r="BN31" i="24"/>
  <c r="BO33" i="24"/>
  <c r="BN32" i="24"/>
  <c r="AY28" i="20"/>
  <c r="AY27" i="20" s="1"/>
  <c r="AY31" i="20"/>
  <c r="BD147" i="27"/>
  <c r="BI147" i="27"/>
  <c r="BJ148" i="27"/>
  <c r="BE139" i="27"/>
  <c r="AV26" i="24"/>
  <c r="AW101" i="19"/>
  <c r="BI57" i="19"/>
  <c r="BI75" i="19" s="1"/>
  <c r="BI93" i="21"/>
  <c r="BI51" i="20"/>
  <c r="BJ113" i="20"/>
  <c r="AW58" i="19"/>
  <c r="AW104" i="19" s="1"/>
  <c r="AW82" i="24"/>
  <c r="AZ24" i="14"/>
  <c r="AY30" i="14"/>
  <c r="AY18" i="14"/>
  <c r="BD30" i="20"/>
  <c r="BD32" i="20" s="1"/>
  <c r="BD114" i="20"/>
  <c r="BD51" i="20"/>
  <c r="BD86" i="20"/>
  <c r="BD112" i="20"/>
  <c r="BE113" i="20"/>
  <c r="BD25" i="24"/>
  <c r="BE14" i="20"/>
  <c r="BD13" i="20"/>
  <c r="BD36" i="20"/>
  <c r="BE37" i="20"/>
  <c r="BD57" i="19"/>
  <c r="BD75" i="19" s="1"/>
  <c r="BE34" i="27"/>
  <c r="BD33" i="27"/>
  <c r="BD72" i="21"/>
  <c r="BD12" i="14"/>
  <c r="AV31" i="20"/>
  <c r="AV28" i="20"/>
  <c r="AV27" i="20" s="1"/>
  <c r="AV39" i="20"/>
  <c r="AV27" i="24"/>
  <c r="AJ115" i="24"/>
  <c r="AJ113" i="24"/>
  <c r="AJ53" i="20"/>
  <c r="AJ56" i="20" s="1"/>
  <c r="O29" i="30" l="1"/>
  <c r="F21" i="30" s="1"/>
  <c r="F20" i="30"/>
  <c r="BI25" i="24"/>
  <c r="BI124" i="19"/>
  <c r="BS22" i="20"/>
  <c r="BT23" i="20"/>
  <c r="BS85" i="21"/>
  <c r="BT86" i="21"/>
  <c r="BS35" i="20"/>
  <c r="BS31" i="27"/>
  <c r="BS40" i="20"/>
  <c r="BS12" i="20"/>
  <c r="BS28" i="19"/>
  <c r="BS83" i="19"/>
  <c r="BS30" i="21" s="1"/>
  <c r="BS9" i="19"/>
  <c r="BS111" i="20"/>
  <c r="BS106" i="20"/>
  <c r="BT107" i="20"/>
  <c r="BS144" i="27"/>
  <c r="BS146" i="27" s="1"/>
  <c r="BS134" i="27"/>
  <c r="BS135" i="27" s="1"/>
  <c r="BS76" i="24"/>
  <c r="BI12" i="14"/>
  <c r="BJ24" i="14" s="1"/>
  <c r="BJ139" i="27"/>
  <c r="BJ22" i="14"/>
  <c r="BJ34" i="27"/>
  <c r="BJ14" i="20"/>
  <c r="BI13" i="20"/>
  <c r="BJ37" i="20"/>
  <c r="BI30" i="20"/>
  <c r="BI39" i="20" s="1"/>
  <c r="BD18" i="14"/>
  <c r="BE24" i="14"/>
  <c r="BN82" i="24"/>
  <c r="BN106" i="20"/>
  <c r="BN111" i="20"/>
  <c r="BO107" i="20"/>
  <c r="BN63" i="19"/>
  <c r="BN28" i="19" s="1"/>
  <c r="BN83" i="19"/>
  <c r="BN30" i="21" s="1"/>
  <c r="BN9" i="19"/>
  <c r="BN144" i="27"/>
  <c r="BN146" i="27" s="1"/>
  <c r="BN134" i="27"/>
  <c r="BN135" i="27" s="1"/>
  <c r="BN31" i="27"/>
  <c r="BN35" i="20"/>
  <c r="BN12" i="20"/>
  <c r="BN40" i="20"/>
  <c r="BN85" i="21"/>
  <c r="BO86" i="21"/>
  <c r="BI72" i="21"/>
  <c r="BI37" i="21"/>
  <c r="BI26" i="24"/>
  <c r="BI27" i="24"/>
  <c r="BJ28" i="24"/>
  <c r="BJ74" i="19"/>
  <c r="BD31" i="20"/>
  <c r="BD28" i="20"/>
  <c r="BD27" i="20" s="1"/>
  <c r="BD39" i="20"/>
  <c r="BD26" i="24"/>
  <c r="BE28" i="24"/>
  <c r="BD27" i="24"/>
  <c r="BD35" i="14"/>
  <c r="BD30" i="14"/>
  <c r="AV33" i="27"/>
  <c r="BD37" i="21"/>
  <c r="AO53" i="20"/>
  <c r="AO56" i="20" s="1"/>
  <c r="AN53" i="20"/>
  <c r="AN56" i="20" s="1"/>
  <c r="AJ79" i="20"/>
  <c r="AL112" i="24"/>
  <c r="AK53" i="20"/>
  <c r="AK56" i="20" s="1"/>
  <c r="AJ50" i="20"/>
  <c r="AJ117" i="24"/>
  <c r="BI125" i="19" l="1"/>
  <c r="BS57" i="19"/>
  <c r="BS71" i="19"/>
  <c r="BT17" i="21"/>
  <c r="BS36" i="20"/>
  <c r="BT37" i="20"/>
  <c r="BS138" i="27"/>
  <c r="BT139" i="27"/>
  <c r="BS147" i="27"/>
  <c r="BT148" i="27"/>
  <c r="BS33" i="27"/>
  <c r="BT34" i="27"/>
  <c r="BS100" i="19"/>
  <c r="BS58" i="19"/>
  <c r="BT20" i="21"/>
  <c r="BS10" i="21"/>
  <c r="BS93" i="21"/>
  <c r="BS114" i="20"/>
  <c r="BS112" i="20"/>
  <c r="BS51" i="20"/>
  <c r="BS86" i="20"/>
  <c r="BT113" i="20"/>
  <c r="BS25" i="24"/>
  <c r="BS124" i="19"/>
  <c r="BS13" i="20"/>
  <c r="BT14" i="20"/>
  <c r="BS72" i="21"/>
  <c r="BS37" i="21"/>
  <c r="BS30" i="20"/>
  <c r="BI18" i="14"/>
  <c r="BS82" i="24"/>
  <c r="BI30" i="14"/>
  <c r="BI35" i="14"/>
  <c r="BI31" i="20"/>
  <c r="BI32" i="20"/>
  <c r="BJ126" i="19"/>
  <c r="BI28" i="20"/>
  <c r="BI27" i="20" s="1"/>
  <c r="BN37" i="21"/>
  <c r="BN72" i="21"/>
  <c r="BN30" i="20"/>
  <c r="BN57" i="19"/>
  <c r="BO17" i="21"/>
  <c r="BN71" i="19"/>
  <c r="BO14" i="20"/>
  <c r="BN124" i="19"/>
  <c r="BN25" i="24"/>
  <c r="BN13" i="20"/>
  <c r="BN33" i="27"/>
  <c r="BO34" i="27"/>
  <c r="BN36" i="20"/>
  <c r="BO37" i="20"/>
  <c r="BN138" i="27"/>
  <c r="BO139" i="27"/>
  <c r="BN86" i="20"/>
  <c r="BN93" i="21"/>
  <c r="BN51" i="20"/>
  <c r="BN10" i="21"/>
  <c r="BN112" i="20"/>
  <c r="BO113" i="20"/>
  <c r="BN114" i="20"/>
  <c r="BO20" i="21"/>
  <c r="BN100" i="19"/>
  <c r="BN58" i="19"/>
  <c r="BO148" i="27"/>
  <c r="BN147" i="27"/>
  <c r="AN79" i="20"/>
  <c r="AM53" i="20"/>
  <c r="AM56" i="20" s="1"/>
  <c r="AM79" i="20" s="1"/>
  <c r="AL53" i="20"/>
  <c r="AL56" i="20" s="1"/>
  <c r="AO79" i="20"/>
  <c r="AK79" i="20"/>
  <c r="AJ23" i="6"/>
  <c r="BS27" i="24" l="1"/>
  <c r="BS32" i="20"/>
  <c r="BS31" i="20"/>
  <c r="BS101" i="19"/>
  <c r="BS102" i="19"/>
  <c r="BT103" i="19"/>
  <c r="BS39" i="20"/>
  <c r="BS28" i="20"/>
  <c r="BS27" i="20" s="1"/>
  <c r="BS72" i="19"/>
  <c r="BS73" i="19"/>
  <c r="BT74" i="19"/>
  <c r="BS125" i="19"/>
  <c r="BT126" i="19"/>
  <c r="BT28" i="24"/>
  <c r="BS26" i="24"/>
  <c r="BN39" i="20"/>
  <c r="BN31" i="20"/>
  <c r="BN32" i="20"/>
  <c r="BN28" i="20"/>
  <c r="BN27" i="20" s="1"/>
  <c r="BN125" i="19"/>
  <c r="BO126" i="19"/>
  <c r="BN73" i="19"/>
  <c r="BN72" i="19"/>
  <c r="BO74" i="19"/>
  <c r="BO103" i="19"/>
  <c r="BN101" i="19"/>
  <c r="BN27" i="24"/>
  <c r="BO28" i="24"/>
  <c r="BN26" i="24"/>
  <c r="AP53" i="20"/>
  <c r="AP56" i="20" s="1"/>
  <c r="AP79" i="20" s="1"/>
  <c r="AQ112" i="24"/>
  <c r="AL79" i="20"/>
  <c r="AQ53" i="20" l="1"/>
  <c r="AQ56" i="20" s="1"/>
  <c r="AQ79" i="20" s="1"/>
  <c r="AJ13" i="19" l="1"/>
  <c r="AJ23" i="19" s="1"/>
  <c r="AJ52" i="19"/>
  <c r="AJ54" i="19" s="1"/>
  <c r="AJ55" i="19" s="1"/>
  <c r="AJ56" i="19" l="1"/>
  <c r="AJ50" i="19"/>
  <c r="AJ60" i="19" s="1"/>
  <c r="AI85" i="19" l="1"/>
  <c r="AI87" i="19" s="1"/>
  <c r="AI86" i="19" l="1"/>
  <c r="AI92" i="20" l="1"/>
  <c r="AI94" i="19"/>
  <c r="AI96" i="19" s="1"/>
  <c r="AI88" i="21" l="1"/>
  <c r="AI94" i="20"/>
  <c r="AI124" i="24"/>
  <c r="AI93" i="20"/>
  <c r="AI95" i="19"/>
  <c r="AI95" i="20"/>
  <c r="AI125" i="24" s="1"/>
  <c r="AI90" i="21" l="1"/>
  <c r="AI89" i="21"/>
  <c r="AJ111" i="20" l="1"/>
  <c r="AO112" i="20" l="1"/>
  <c r="AJ93" i="21"/>
  <c r="AK113" i="20"/>
  <c r="AJ114" i="20"/>
  <c r="AJ112" i="20"/>
  <c r="AJ86" i="20"/>
  <c r="AJ113" i="20"/>
  <c r="AJ51" i="20"/>
  <c r="AJ71" i="20" s="1"/>
  <c r="AJ74" i="20" l="1"/>
  <c r="AJ57" i="20"/>
  <c r="AJ26" i="21" l="1"/>
  <c r="AJ92" i="20"/>
  <c r="AJ72" i="20"/>
  <c r="AJ88" i="21" l="1"/>
  <c r="AJ94" i="20"/>
  <c r="AJ93" i="20"/>
  <c r="AJ124" i="24"/>
  <c r="AJ95" i="20"/>
  <c r="AJ125" i="24" s="1"/>
  <c r="AJ67" i="19"/>
  <c r="AJ64" i="21"/>
  <c r="AJ68" i="21" s="1"/>
  <c r="AK67" i="21" s="1"/>
  <c r="AJ71" i="21"/>
  <c r="AJ74" i="21" s="1"/>
  <c r="AJ94" i="21" s="1"/>
  <c r="AJ89" i="21" l="1"/>
  <c r="AJ90" i="21"/>
  <c r="AJ126" i="24"/>
  <c r="AJ77" i="21"/>
  <c r="AJ68" i="19"/>
  <c r="AJ76" i="21"/>
  <c r="AJ75" i="21"/>
  <c r="AJ127" i="24" l="1"/>
  <c r="AJ78" i="21"/>
  <c r="AK12" i="14"/>
  <c r="AK30" i="14" s="1"/>
  <c r="AK21" i="14"/>
  <c r="AM21" i="14"/>
  <c r="AK15" i="14"/>
  <c r="AK16" i="14"/>
  <c r="AM22" i="14"/>
  <c r="AK22" i="14"/>
  <c r="AL16" i="14"/>
  <c r="AK27" i="14"/>
  <c r="AK28" i="14"/>
  <c r="AK35" i="14" l="1"/>
  <c r="AM24" i="14"/>
  <c r="AL12" i="14"/>
  <c r="AL15" i="14"/>
  <c r="AL27" i="14"/>
  <c r="AL28" i="14"/>
  <c r="AK18" i="14"/>
  <c r="AK24" i="14"/>
  <c r="AL18" i="14" l="1"/>
  <c r="AL35" i="14"/>
  <c r="AL30" i="14"/>
  <c r="AK86" i="24"/>
  <c r="AL85" i="24"/>
  <c r="AK87" i="24"/>
  <c r="AL86" i="24" l="1"/>
  <c r="AL87" i="24"/>
  <c r="AK88" i="24" l="1"/>
  <c r="AN86" i="24" l="1"/>
  <c r="AN87" i="24"/>
  <c r="AO86" i="24" l="1"/>
  <c r="AO87" i="24"/>
  <c r="AP86" i="24"/>
  <c r="AP87" i="24"/>
  <c r="AQ85" i="24"/>
  <c r="AR86" i="24" l="1"/>
  <c r="AQ86" i="24"/>
  <c r="AQ87" i="24"/>
  <c r="AS87" i="24" l="1"/>
  <c r="AS86" i="24"/>
  <c r="AT87" i="24" l="1"/>
  <c r="AT86" i="24"/>
  <c r="AV85" i="24" l="1"/>
  <c r="AU87" i="24"/>
  <c r="AU86" i="24"/>
  <c r="AK91" i="24"/>
  <c r="AL90" i="24"/>
  <c r="AL91" i="24" s="1"/>
  <c r="AK92" i="24"/>
  <c r="AV87" i="24" l="1"/>
  <c r="AV86" i="24"/>
  <c r="AW87" i="24"/>
  <c r="AW86" i="24"/>
  <c r="AN92" i="24"/>
  <c r="AL92" i="24"/>
  <c r="AX87" i="24" l="1"/>
  <c r="AN91" i="24"/>
  <c r="AO92" i="24"/>
  <c r="D65" i="17" s="1"/>
  <c r="AK93" i="24"/>
  <c r="AY87" i="24" l="1"/>
  <c r="AY86" i="24"/>
  <c r="AO91" i="24"/>
  <c r="AQ90" i="24"/>
  <c r="AQ92" i="24" s="1"/>
  <c r="BB87" i="24" l="1"/>
  <c r="BA85" i="24"/>
  <c r="AZ87" i="24"/>
  <c r="AZ86" i="24"/>
  <c r="AP92" i="24"/>
  <c r="AQ91" i="24"/>
  <c r="AP91" i="24"/>
  <c r="BB86" i="24" l="1"/>
  <c r="BA87" i="24"/>
  <c r="AR91" i="24"/>
  <c r="AR92" i="24"/>
  <c r="G65" i="17" s="1"/>
  <c r="AS92" i="24"/>
  <c r="AS91" i="24"/>
  <c r="BC87" i="24" l="1"/>
  <c r="BD86" i="24" l="1"/>
  <c r="BD87" i="24"/>
  <c r="BF85" i="24" l="1"/>
  <c r="BE86" i="24"/>
  <c r="BE87" i="24"/>
  <c r="D59" i="17" s="1"/>
  <c r="AK96" i="24"/>
  <c r="AK97" i="24"/>
  <c r="AK100" i="24"/>
  <c r="AL95" i="24"/>
  <c r="BF87" i="24" l="1"/>
  <c r="BG87" i="24"/>
  <c r="BG86" i="24"/>
  <c r="AL97" i="24"/>
  <c r="AL100" i="24"/>
  <c r="AL101" i="24" s="1"/>
  <c r="AK64" i="19"/>
  <c r="AL96" i="24"/>
  <c r="AK101" i="24"/>
  <c r="BH87" i="24" l="1"/>
  <c r="AL64" i="19"/>
  <c r="AK98" i="24"/>
  <c r="AM100" i="24" l="1"/>
  <c r="BK85" i="24" l="1"/>
  <c r="BK87" i="24" s="1"/>
  <c r="G57" i="17"/>
  <c r="BJ87" i="24"/>
  <c r="G59" i="17" s="1"/>
  <c r="BL85" i="24"/>
  <c r="BL86" i="24" s="1"/>
  <c r="BJ86" i="24"/>
  <c r="AN97" i="24"/>
  <c r="AN96" i="24"/>
  <c r="AN100" i="24"/>
  <c r="AM64" i="19"/>
  <c r="AM103" i="24"/>
  <c r="AM101" i="24"/>
  <c r="AO96" i="24"/>
  <c r="AO97" i="24"/>
  <c r="D71" i="17" s="1"/>
  <c r="AO100" i="24"/>
  <c r="AO103" i="24" s="1"/>
  <c r="O57" i="17" l="1"/>
  <c r="L57" i="17"/>
  <c r="M57" i="17"/>
  <c r="J57" i="17"/>
  <c r="I57" i="17"/>
  <c r="P57" i="17"/>
  <c r="BL87" i="24"/>
  <c r="BM85" i="24"/>
  <c r="BN85" i="24" s="1"/>
  <c r="BO85" i="24" s="1"/>
  <c r="AM109" i="24"/>
  <c r="AM104" i="24"/>
  <c r="AM107" i="19"/>
  <c r="AN64" i="19"/>
  <c r="AN103" i="24"/>
  <c r="AN101" i="24"/>
  <c r="AP97" i="24"/>
  <c r="AP100" i="24"/>
  <c r="AP64" i="19" s="1"/>
  <c r="AP96" i="24"/>
  <c r="AQ95" i="24"/>
  <c r="AM37" i="19"/>
  <c r="AM46" i="19" s="1"/>
  <c r="AO101" i="24"/>
  <c r="AO64" i="19"/>
  <c r="AM77" i="19"/>
  <c r="BP85" i="24" l="1"/>
  <c r="BP87" i="24" s="1"/>
  <c r="BQ85" i="24"/>
  <c r="BN87" i="24"/>
  <c r="BN86" i="24"/>
  <c r="BM87" i="24"/>
  <c r="BO87" i="24"/>
  <c r="BO86" i="24"/>
  <c r="AR79" i="19"/>
  <c r="AO80" i="19"/>
  <c r="AO107" i="19"/>
  <c r="AO78" i="19"/>
  <c r="AM78" i="19"/>
  <c r="AN107" i="19"/>
  <c r="AN78" i="19"/>
  <c r="AM113" i="24"/>
  <c r="AM110" i="24"/>
  <c r="AM115" i="24"/>
  <c r="AN109" i="24"/>
  <c r="AN104" i="24"/>
  <c r="AM79" i="19"/>
  <c r="AR96" i="24"/>
  <c r="AR97" i="24"/>
  <c r="G71" i="17" s="1"/>
  <c r="AR100" i="24"/>
  <c r="AO104" i="24"/>
  <c r="AO109" i="24"/>
  <c r="AQ96" i="24"/>
  <c r="AQ100" i="24"/>
  <c r="AQ97" i="24"/>
  <c r="AN37" i="19"/>
  <c r="AN46" i="19" s="1"/>
  <c r="AP101" i="24"/>
  <c r="BQ87" i="24" l="1"/>
  <c r="BR85" i="24"/>
  <c r="BQ86" i="24"/>
  <c r="AM117" i="24"/>
  <c r="AM50" i="20"/>
  <c r="AM71" i="20" s="1"/>
  <c r="AM74" i="20" s="1"/>
  <c r="AN115" i="24"/>
  <c r="AN110" i="24"/>
  <c r="AN113" i="24"/>
  <c r="AO110" i="24"/>
  <c r="AO113" i="24"/>
  <c r="AO115" i="24"/>
  <c r="AO117" i="24" s="1"/>
  <c r="AR101" i="24"/>
  <c r="AR64" i="19"/>
  <c r="AR103" i="24"/>
  <c r="AQ64" i="19"/>
  <c r="AQ101" i="24"/>
  <c r="AS97" i="24"/>
  <c r="AS96" i="24"/>
  <c r="AS100" i="24"/>
  <c r="AS64" i="19" s="1"/>
  <c r="AO37" i="19"/>
  <c r="AO46" i="19" s="1"/>
  <c r="BS85" i="24" l="1"/>
  <c r="BR87" i="24"/>
  <c r="AS78" i="19"/>
  <c r="AS107" i="19"/>
  <c r="AR78" i="19"/>
  <c r="AR107" i="19"/>
  <c r="AM23" i="6"/>
  <c r="AM57" i="20"/>
  <c r="AN117" i="24"/>
  <c r="AN23" i="6" s="1"/>
  <c r="AN50" i="20"/>
  <c r="AN71" i="20" s="1"/>
  <c r="AN57" i="20" s="1"/>
  <c r="AM72" i="20"/>
  <c r="AM92" i="20"/>
  <c r="AR104" i="24"/>
  <c r="AR109" i="24"/>
  <c r="AO50" i="20"/>
  <c r="AO71" i="20" s="1"/>
  <c r="AS101" i="24"/>
  <c r="AS103" i="24"/>
  <c r="BT85" i="24" l="1"/>
  <c r="BU85" i="24" s="1"/>
  <c r="BU87" i="24" s="1"/>
  <c r="BS87" i="24"/>
  <c r="BS86" i="24"/>
  <c r="AN74" i="20"/>
  <c r="AN72" i="20" s="1"/>
  <c r="AR37" i="19"/>
  <c r="AR46" i="19" s="1"/>
  <c r="AS104" i="24"/>
  <c r="AS109" i="24"/>
  <c r="AR110" i="24"/>
  <c r="AR113" i="24"/>
  <c r="AR115" i="24"/>
  <c r="AO57" i="20"/>
  <c r="AO74" i="20"/>
  <c r="AO72" i="20" s="1"/>
  <c r="AO23" i="6"/>
  <c r="BT87" i="24" l="1"/>
  <c r="BT86" i="24"/>
  <c r="AR117" i="24"/>
  <c r="AR50" i="20"/>
  <c r="AR71" i="20" s="1"/>
  <c r="AS113" i="24"/>
  <c r="AS110" i="24"/>
  <c r="AS115" i="24"/>
  <c r="AS37" i="19"/>
  <c r="AS46" i="19" s="1"/>
  <c r="AS117" i="24" l="1"/>
  <c r="AS50" i="20"/>
  <c r="AS71" i="20" s="1"/>
  <c r="AR23" i="6"/>
  <c r="AT37" i="19"/>
  <c r="AT46" i="19" s="1"/>
  <c r="AR57" i="20"/>
  <c r="AR74" i="20"/>
  <c r="AR72" i="20" s="1"/>
  <c r="AT53" i="20" l="1"/>
  <c r="AT56" i="20" s="1"/>
  <c r="AS57" i="20"/>
  <c r="AS74" i="20"/>
  <c r="AS23" i="6"/>
  <c r="AT79" i="20" l="1"/>
  <c r="AS72" i="20"/>
  <c r="AM80" i="19" l="1"/>
  <c r="AL11" i="19"/>
  <c r="AL77" i="19" s="1"/>
  <c r="AN80" i="19" s="1"/>
  <c r="AL79" i="19" l="1"/>
  <c r="AL19" i="21"/>
  <c r="AL7" i="19"/>
  <c r="AL52" i="19" s="1"/>
  <c r="AL54" i="19" s="1"/>
  <c r="AL55" i="19" s="1"/>
  <c r="AK13" i="19"/>
  <c r="AK52" i="19"/>
  <c r="AK54" i="19" s="1"/>
  <c r="AK55" i="19" s="1"/>
  <c r="AL21" i="21"/>
  <c r="AL20" i="21"/>
  <c r="AK27" i="20"/>
  <c r="AK37" i="21"/>
  <c r="AL13" i="19" l="1"/>
  <c r="AL37" i="21"/>
  <c r="AL69" i="24"/>
  <c r="AK70" i="24"/>
  <c r="AK71" i="24"/>
  <c r="AK72" i="24"/>
  <c r="AL71" i="24" l="1"/>
  <c r="AM72" i="24"/>
  <c r="AL80" i="24"/>
  <c r="AL70" i="24"/>
  <c r="AK80" i="24" l="1"/>
  <c r="AK74" i="24"/>
  <c r="AK76" i="24" s="1"/>
  <c r="AK63" i="19" l="1"/>
  <c r="AK101" i="19" s="1"/>
  <c r="AK82" i="24"/>
  <c r="AK103" i="24"/>
  <c r="AL74" i="24"/>
  <c r="G51" i="17" l="1"/>
  <c r="AK107" i="19"/>
  <c r="AK78" i="19"/>
  <c r="I40" i="17"/>
  <c r="L40" i="17"/>
  <c r="M40" i="17"/>
  <c r="J40" i="17"/>
  <c r="AW72" i="24"/>
  <c r="AZ71" i="24"/>
  <c r="AK104" i="24"/>
  <c r="AL103" i="24"/>
  <c r="AK109" i="24"/>
  <c r="AU70" i="24"/>
  <c r="AV69" i="24"/>
  <c r="AU71" i="24"/>
  <c r="AU72" i="24"/>
  <c r="AU74" i="24"/>
  <c r="AU63" i="19" s="1"/>
  <c r="AP72" i="24"/>
  <c r="AR72" i="24"/>
  <c r="AP71" i="24"/>
  <c r="AQ69" i="24"/>
  <c r="AP70" i="24"/>
  <c r="AP74" i="24"/>
  <c r="AP63" i="19" s="1"/>
  <c r="AL63" i="19"/>
  <c r="AL76" i="24"/>
  <c r="AU101" i="19" l="1"/>
  <c r="AP107" i="19"/>
  <c r="AP101" i="19"/>
  <c r="P51" i="17"/>
  <c r="J51" i="17"/>
  <c r="I51" i="17"/>
  <c r="O51" i="17"/>
  <c r="L51" i="17"/>
  <c r="M51" i="17"/>
  <c r="BA71" i="24"/>
  <c r="AL78" i="19"/>
  <c r="AL104" i="24"/>
  <c r="AL109" i="24"/>
  <c r="AV74" i="24"/>
  <c r="AU76" i="24"/>
  <c r="AL82" i="24"/>
  <c r="AQ71" i="24"/>
  <c r="AQ80" i="24"/>
  <c r="AQ70" i="24"/>
  <c r="AK113" i="24"/>
  <c r="AK110" i="24"/>
  <c r="AK115" i="24"/>
  <c r="AV80" i="24"/>
  <c r="AV70" i="24"/>
  <c r="AV71" i="24"/>
  <c r="AQ74" i="24"/>
  <c r="AP76" i="24"/>
  <c r="AP82" i="24" s="1"/>
  <c r="AP103" i="24" l="1"/>
  <c r="AQ103" i="24" s="1"/>
  <c r="AL110" i="24"/>
  <c r="AL113" i="24"/>
  <c r="AL115" i="24"/>
  <c r="AQ76" i="24"/>
  <c r="AQ63" i="19"/>
  <c r="AU82" i="24"/>
  <c r="AK117" i="24"/>
  <c r="AK50" i="20"/>
  <c r="AK71" i="20" s="1"/>
  <c r="AV63" i="19"/>
  <c r="AV76" i="24"/>
  <c r="AL117" i="24" l="1"/>
  <c r="AL50" i="20"/>
  <c r="AP104" i="24"/>
  <c r="AP109" i="24"/>
  <c r="AU58" i="19"/>
  <c r="AU104" i="19" s="1"/>
  <c r="AV28" i="19"/>
  <c r="AK57" i="20"/>
  <c r="AK74" i="20"/>
  <c r="AK23" i="6"/>
  <c r="AV82" i="24"/>
  <c r="AP77" i="19"/>
  <c r="AU79" i="19" s="1"/>
  <c r="AQ11" i="19"/>
  <c r="AQ77" i="19" s="1"/>
  <c r="AS80" i="19" s="1"/>
  <c r="AQ19" i="21"/>
  <c r="AQ29" i="19"/>
  <c r="AQ106" i="19" s="1"/>
  <c r="AS109" i="19" s="1"/>
  <c r="AQ82" i="24"/>
  <c r="AP58" i="19"/>
  <c r="AP104" i="19" s="1"/>
  <c r="AQ28" i="19"/>
  <c r="AP37" i="19"/>
  <c r="AP46" i="19" s="1"/>
  <c r="AP78" i="19" l="1"/>
  <c r="AR80" i="19"/>
  <c r="AV20" i="21"/>
  <c r="AP80" i="19"/>
  <c r="AP79" i="19"/>
  <c r="AK92" i="20"/>
  <c r="AK26" i="21"/>
  <c r="AP110" i="24"/>
  <c r="AP113" i="24"/>
  <c r="AP115" i="24"/>
  <c r="AL23" i="6"/>
  <c r="AK72" i="20"/>
  <c r="AQ104" i="24"/>
  <c r="AQ109" i="24"/>
  <c r="AV58" i="19"/>
  <c r="AV104" i="19" s="1"/>
  <c r="AV100" i="19"/>
  <c r="AX103" i="19" s="1"/>
  <c r="AQ79" i="19"/>
  <c r="AQ78" i="19"/>
  <c r="AQ37" i="19"/>
  <c r="AQ46" i="19" s="1"/>
  <c r="AQ100" i="19"/>
  <c r="AS103" i="19" s="1"/>
  <c r="AQ107" i="19"/>
  <c r="AU53" i="20" l="1"/>
  <c r="AV112" i="24"/>
  <c r="AQ113" i="24"/>
  <c r="AQ110" i="24"/>
  <c r="AQ115" i="24"/>
  <c r="AV101" i="19"/>
  <c r="AV102" i="19"/>
  <c r="AK67" i="19"/>
  <c r="AK71" i="21"/>
  <c r="AK74" i="21" s="1"/>
  <c r="AK94" i="21" s="1"/>
  <c r="AK64" i="21"/>
  <c r="AK68" i="21" s="1"/>
  <c r="AP117" i="24"/>
  <c r="AP50" i="20"/>
  <c r="AP71" i="20" s="1"/>
  <c r="AP74" i="20" s="1"/>
  <c r="AK124" i="24"/>
  <c r="AK95" i="20"/>
  <c r="AK125" i="24" s="1"/>
  <c r="AK94" i="20"/>
  <c r="AK93" i="20"/>
  <c r="AK88" i="21"/>
  <c r="AQ101" i="19"/>
  <c r="AU56" i="20" l="1"/>
  <c r="AU79" i="20"/>
  <c r="AK89" i="21"/>
  <c r="AK90" i="21"/>
  <c r="AP23" i="6"/>
  <c r="AQ117" i="24"/>
  <c r="AQ50" i="20"/>
  <c r="AQ71" i="20" s="1"/>
  <c r="AP57" i="20"/>
  <c r="AP72" i="20"/>
  <c r="AV53" i="20"/>
  <c r="AV56" i="20" s="1"/>
  <c r="AK68" i="19"/>
  <c r="AK77" i="21"/>
  <c r="AK75" i="21"/>
  <c r="AK126" i="24"/>
  <c r="AK76" i="21"/>
  <c r="AK127" i="24" l="1"/>
  <c r="AK78" i="21"/>
  <c r="AV79" i="20"/>
  <c r="AQ57" i="20"/>
  <c r="AQ74" i="20"/>
  <c r="AQ72" i="20" s="1"/>
  <c r="AQ23" i="6"/>
  <c r="AQ7" i="21"/>
  <c r="AL16" i="19" l="1"/>
  <c r="AL89" i="19" s="1"/>
  <c r="AL87" i="19" s="1"/>
  <c r="AQ82" i="19" l="1"/>
  <c r="AN82" i="19"/>
  <c r="AP82" i="19" l="1"/>
  <c r="AQ16" i="19" l="1"/>
  <c r="AV82" i="19" l="1"/>
  <c r="AV16" i="19" l="1"/>
  <c r="BA82" i="19" s="1"/>
  <c r="AL20" i="19"/>
  <c r="AL23" i="19" s="1"/>
  <c r="AK23" i="19"/>
  <c r="AQ91" i="19" l="1"/>
  <c r="AN91" i="19" l="1"/>
  <c r="AO91" i="19" l="1"/>
  <c r="AN83" i="20"/>
  <c r="AN26" i="21"/>
  <c r="AN67" i="19" l="1"/>
  <c r="AN64" i="21"/>
  <c r="AN71" i="21"/>
  <c r="AN74" i="21" s="1"/>
  <c r="AN94" i="21" s="1"/>
  <c r="AN68" i="19" l="1"/>
  <c r="AN126" i="24"/>
  <c r="AN75" i="21"/>
  <c r="AN77" i="21"/>
  <c r="AN127" i="24" l="1"/>
  <c r="AN78" i="21"/>
  <c r="AO83" i="20"/>
  <c r="AO26" i="21"/>
  <c r="AP91" i="19"/>
  <c r="AO71" i="21" l="1"/>
  <c r="AO74" i="21" s="1"/>
  <c r="AO67" i="19"/>
  <c r="AO64" i="21"/>
  <c r="AO126" i="24" l="1"/>
  <c r="AO94" i="21"/>
  <c r="AO68" i="19"/>
  <c r="AO76" i="21"/>
  <c r="AO77" i="21"/>
  <c r="AO75" i="21"/>
  <c r="AO127" i="24" l="1"/>
  <c r="AO78" i="21"/>
  <c r="AQ20" i="19"/>
  <c r="AV91" i="19" l="1"/>
  <c r="AV20" i="19" l="1"/>
  <c r="BA91" i="19" s="1"/>
  <c r="AW83" i="20" l="1"/>
  <c r="BA20" i="19" l="1"/>
  <c r="BF91" i="19" s="1"/>
  <c r="BB91" i="19"/>
  <c r="BB95" i="19" s="1"/>
  <c r="AL28" i="19"/>
  <c r="AQ20" i="21"/>
  <c r="AK58" i="19"/>
  <c r="AK104" i="19" s="1"/>
  <c r="AQ58" i="19" l="1"/>
  <c r="AQ104" i="19" s="1"/>
  <c r="AL100" i="19"/>
  <c r="AL58" i="19"/>
  <c r="AL104" i="19" s="1"/>
  <c r="AL29" i="19"/>
  <c r="AL106" i="19" s="1"/>
  <c r="AK37" i="19"/>
  <c r="AK46" i="19" s="1"/>
  <c r="AQ21" i="21"/>
  <c r="AL37" i="19" l="1"/>
  <c r="AL46" i="19" s="1"/>
  <c r="AL108" i="19"/>
  <c r="AN109" i="19"/>
  <c r="AL107" i="19"/>
  <c r="AL102" i="19"/>
  <c r="AN103" i="19"/>
  <c r="AL101" i="19"/>
  <c r="AQ102" i="19"/>
  <c r="AM26" i="21"/>
  <c r="AM71" i="21" s="1"/>
  <c r="AM74" i="21" s="1"/>
  <c r="AQ108" i="19"/>
  <c r="AL48" i="19"/>
  <c r="AK56" i="19"/>
  <c r="AK50" i="19"/>
  <c r="AK60" i="19" s="1"/>
  <c r="AM77" i="21" l="1"/>
  <c r="AM94" i="21"/>
  <c r="AM67" i="19"/>
  <c r="AM68" i="19"/>
  <c r="AN76" i="21"/>
  <c r="AM76" i="21"/>
  <c r="AM126" i="24"/>
  <c r="AM75" i="21"/>
  <c r="AM64" i="21"/>
  <c r="AL56" i="19"/>
  <c r="AL50" i="19"/>
  <c r="AL60" i="19" s="1"/>
  <c r="AM127" i="24" l="1"/>
  <c r="AM78" i="21"/>
  <c r="AL7" i="27"/>
  <c r="AK17" i="27"/>
  <c r="AM11" i="27" l="1"/>
  <c r="AM12" i="27" s="1"/>
  <c r="AL8" i="27"/>
  <c r="AK19" i="27"/>
  <c r="AM19" i="27"/>
  <c r="AL17" i="27"/>
  <c r="AM13" i="27" l="1"/>
  <c r="AR12" i="27"/>
  <c r="AL94" i="19"/>
  <c r="AL95" i="19" s="1"/>
  <c r="AL98" i="19" l="1"/>
  <c r="AL96" i="19" s="1"/>
  <c r="AL111" i="20"/>
  <c r="AL93" i="21" s="1"/>
  <c r="AL26" i="21"/>
  <c r="AL71" i="21" s="1"/>
  <c r="AL74" i="21" s="1"/>
  <c r="AL94" i="21" l="1"/>
  <c r="BD81" i="20"/>
  <c r="AL86" i="20"/>
  <c r="AN113" i="20"/>
  <c r="AL112" i="20"/>
  <c r="AL126" i="24"/>
  <c r="AL68" i="19"/>
  <c r="AL75" i="21"/>
  <c r="AL77" i="21"/>
  <c r="AL113" i="20"/>
  <c r="AL67" i="19"/>
  <c r="AL114" i="20"/>
  <c r="AL64" i="21"/>
  <c r="AL68" i="21" s="1"/>
  <c r="AQ112" i="20"/>
  <c r="AL51" i="20"/>
  <c r="AL71" i="20" s="1"/>
  <c r="AL127" i="24" l="1"/>
  <c r="AL78" i="21"/>
  <c r="BE81" i="20"/>
  <c r="AL74" i="20"/>
  <c r="AL92" i="20" s="1"/>
  <c r="AL57" i="20"/>
  <c r="AM67" i="21"/>
  <c r="AM68" i="21" s="1"/>
  <c r="AQ67" i="21"/>
  <c r="AN67" i="21" l="1"/>
  <c r="AN68" i="21" s="1"/>
  <c r="AL93" i="20"/>
  <c r="AL95" i="20"/>
  <c r="AL125" i="24" s="1"/>
  <c r="AL124" i="24"/>
  <c r="AL88" i="21"/>
  <c r="AL72" i="20"/>
  <c r="BF20" i="19" l="1"/>
  <c r="BK91" i="19" s="1"/>
  <c r="BG91" i="19"/>
  <c r="AL89" i="21"/>
  <c r="AO67" i="21"/>
  <c r="AO68" i="21" s="1"/>
  <c r="AM52" i="19"/>
  <c r="AM54" i="19" s="1"/>
  <c r="AM55" i="19" s="1"/>
  <c r="AM13" i="19"/>
  <c r="AM23" i="19" s="1"/>
  <c r="BG98" i="19" l="1"/>
  <c r="BG96" i="19" s="1"/>
  <c r="BG95" i="19"/>
  <c r="BH91" i="19"/>
  <c r="BH95" i="19" s="1"/>
  <c r="AP67" i="21"/>
  <c r="AM56" i="19"/>
  <c r="AM50" i="19"/>
  <c r="AM60" i="19" s="1"/>
  <c r="AN52" i="19"/>
  <c r="AN54" i="19" s="1"/>
  <c r="AN55" i="19" s="1"/>
  <c r="AN13" i="19"/>
  <c r="AN23" i="19" s="1"/>
  <c r="AN50" i="19" l="1"/>
  <c r="AN60" i="19" s="1"/>
  <c r="AN56" i="19"/>
  <c r="AO52" i="19"/>
  <c r="AO54" i="19" s="1"/>
  <c r="AO55" i="19" s="1"/>
  <c r="AO13" i="19"/>
  <c r="AO23" i="19" s="1"/>
  <c r="BH98" i="19" l="1"/>
  <c r="BH81" i="20"/>
  <c r="AO50" i="19"/>
  <c r="AO60" i="19" s="1"/>
  <c r="AO56" i="19"/>
  <c r="BH96" i="19" l="1"/>
  <c r="AM94" i="20"/>
  <c r="AM88" i="21"/>
  <c r="AM93" i="20"/>
  <c r="AM124" i="24"/>
  <c r="AM95" i="20"/>
  <c r="AM125" i="24" s="1"/>
  <c r="AM85" i="19"/>
  <c r="AM86" i="19" s="1"/>
  <c r="BJ91" i="19" l="1"/>
  <c r="BJ95" i="19" s="1"/>
  <c r="AM89" i="19"/>
  <c r="AM87" i="19" s="1"/>
  <c r="AM89" i="21"/>
  <c r="AM90" i="21"/>
  <c r="BJ98" i="19" l="1"/>
  <c r="AN8" i="27"/>
  <c r="AN9" i="27"/>
  <c r="AN17" i="27"/>
  <c r="AN18" i="27" s="1"/>
  <c r="AN11" i="27"/>
  <c r="AS12" i="27" s="1"/>
  <c r="BK20" i="19" l="1"/>
  <c r="BP91" i="19" s="1"/>
  <c r="BL91" i="19"/>
  <c r="BJ96" i="19"/>
  <c r="BK94" i="19"/>
  <c r="BJ81" i="20"/>
  <c r="AO13" i="27"/>
  <c r="AN12" i="27"/>
  <c r="AO9" i="27"/>
  <c r="AO8" i="27"/>
  <c r="AN13" i="27"/>
  <c r="AO17" i="27"/>
  <c r="AN19" i="27"/>
  <c r="BL94" i="19" l="1"/>
  <c r="BK81" i="20"/>
  <c r="BK95" i="19"/>
  <c r="BK98" i="19"/>
  <c r="BK96" i="19" s="1"/>
  <c r="AO19" i="27"/>
  <c r="AO18" i="27"/>
  <c r="AS13" i="27"/>
  <c r="BL98" i="19" l="1"/>
  <c r="BL81" i="20"/>
  <c r="AN34" i="24"/>
  <c r="BL20" i="19" l="1"/>
  <c r="BM91" i="19" s="1"/>
  <c r="BL96" i="19"/>
  <c r="AN35" i="24"/>
  <c r="AQ34" i="24"/>
  <c r="AS34" i="24"/>
  <c r="AN37" i="24"/>
  <c r="AO37" i="24"/>
  <c r="AN30" i="24"/>
  <c r="BM94" i="19" l="1"/>
  <c r="AN31" i="24"/>
  <c r="AN33" i="24"/>
  <c r="AO33" i="24"/>
  <c r="AQ30" i="24"/>
  <c r="AN78" i="24"/>
  <c r="AN32" i="24"/>
  <c r="AQ36" i="24"/>
  <c r="AQ35" i="24"/>
  <c r="AV34" i="24"/>
  <c r="AS30" i="24"/>
  <c r="AS35" i="24"/>
  <c r="AT37" i="24"/>
  <c r="AX34" i="24"/>
  <c r="AS37" i="24"/>
  <c r="BM98" i="19" l="1"/>
  <c r="BM81" i="20"/>
  <c r="BC34" i="24"/>
  <c r="D50" i="17" s="1"/>
  <c r="I36" i="17"/>
  <c r="J36" i="17"/>
  <c r="M36" i="17"/>
  <c r="L36" i="17"/>
  <c r="AV35" i="24"/>
  <c r="AV36" i="24"/>
  <c r="AQ78" i="24"/>
  <c r="AQ32" i="24"/>
  <c r="AQ31" i="24"/>
  <c r="AV30" i="24"/>
  <c r="AT33" i="24"/>
  <c r="AS31" i="24"/>
  <c r="AS33" i="24"/>
  <c r="AS32" i="24"/>
  <c r="AS62" i="24"/>
  <c r="BA34" i="24"/>
  <c r="AX37" i="24"/>
  <c r="AY37" i="24"/>
  <c r="BH34" i="24" l="1"/>
  <c r="G50" i="17"/>
  <c r="O50" i="17" s="1"/>
  <c r="BM20" i="19"/>
  <c r="BN91" i="19" s="1"/>
  <c r="BM96" i="19"/>
  <c r="BD37" i="24"/>
  <c r="BC37" i="24"/>
  <c r="BF34" i="24"/>
  <c r="BF36" i="24" s="1"/>
  <c r="AV62" i="24"/>
  <c r="BA36" i="24"/>
  <c r="AS58" i="24"/>
  <c r="AV57" i="24"/>
  <c r="AV78" i="24" s="1"/>
  <c r="AS59" i="24"/>
  <c r="AT60" i="24"/>
  <c r="AS60" i="24"/>
  <c r="AV31" i="24"/>
  <c r="AV32" i="24"/>
  <c r="J50" i="17" l="1"/>
  <c r="M17" i="17"/>
  <c r="J17" i="17"/>
  <c r="BM34" i="24"/>
  <c r="L17" i="17"/>
  <c r="BI37" i="24"/>
  <c r="BH37" i="24"/>
  <c r="P17" i="17"/>
  <c r="BK34" i="24"/>
  <c r="BK36" i="24" s="1"/>
  <c r="I17" i="17"/>
  <c r="O17" i="17"/>
  <c r="P50" i="17"/>
  <c r="M50" i="17"/>
  <c r="I50" i="17"/>
  <c r="L50" i="17"/>
  <c r="BN94" i="19"/>
  <c r="BN98" i="19" s="1"/>
  <c r="AV59" i="24"/>
  <c r="AV58" i="24"/>
  <c r="BM37" i="24" l="1"/>
  <c r="BR34" i="24"/>
  <c r="BP34" i="24"/>
  <c r="BN37" i="24"/>
  <c r="BN20" i="19"/>
  <c r="BO91" i="19" s="1"/>
  <c r="BN96" i="19"/>
  <c r="BN81" i="20"/>
  <c r="AN84" i="19"/>
  <c r="BR37" i="24" l="1"/>
  <c r="BU34" i="24"/>
  <c r="BU36" i="24" s="1"/>
  <c r="BS37" i="24"/>
  <c r="BP36" i="24"/>
  <c r="BO94" i="19"/>
  <c r="AQ37" i="21"/>
  <c r="BO98" i="19" l="1"/>
  <c r="BO81" i="20"/>
  <c r="BP94" i="19"/>
  <c r="AQ18" i="21"/>
  <c r="AQ10" i="19"/>
  <c r="BP81" i="20" l="1"/>
  <c r="BP95" i="19"/>
  <c r="BP98" i="19"/>
  <c r="BP96" i="19" s="1"/>
  <c r="BO20" i="19"/>
  <c r="BO96" i="19"/>
  <c r="AQ136" i="19"/>
  <c r="AQ132" i="19"/>
  <c r="BP20" i="19" l="1"/>
  <c r="BU91" i="19" s="1"/>
  <c r="BQ91" i="19"/>
  <c r="AS128" i="19"/>
  <c r="AS129" i="19" s="1"/>
  <c r="AS134" i="19"/>
  <c r="AQ129" i="19"/>
  <c r="AQ142" i="19"/>
  <c r="AQ133" i="19"/>
  <c r="AV128" i="19"/>
  <c r="AQ137" i="19"/>
  <c r="AS139" i="19" s="1"/>
  <c r="AQ138" i="19"/>
  <c r="AS26" i="21"/>
  <c r="AS67" i="19" s="1"/>
  <c r="AP52" i="19"/>
  <c r="AP54" i="19" s="1"/>
  <c r="AP55" i="19" s="1"/>
  <c r="AP13" i="19"/>
  <c r="AP23" i="19" s="1"/>
  <c r="AQ7" i="19"/>
  <c r="AR26" i="21"/>
  <c r="BQ94" i="19" l="1"/>
  <c r="AP56" i="19"/>
  <c r="AP50" i="19"/>
  <c r="AP60" i="19" s="1"/>
  <c r="AQ48" i="19"/>
  <c r="AQ13" i="19"/>
  <c r="AQ23" i="19" s="1"/>
  <c r="AQ52" i="19"/>
  <c r="AQ54" i="19" s="1"/>
  <c r="AQ55" i="19" s="1"/>
  <c r="AS71" i="21"/>
  <c r="AS74" i="21" s="1"/>
  <c r="AS64" i="21"/>
  <c r="AR64" i="21"/>
  <c r="AR67" i="19"/>
  <c r="AR71" i="21"/>
  <c r="AR74" i="21" s="1"/>
  <c r="AR94" i="21" s="1"/>
  <c r="BQ81" i="20" l="1"/>
  <c r="BQ98" i="19"/>
  <c r="AS68" i="19"/>
  <c r="AS94" i="21"/>
  <c r="AR77" i="21"/>
  <c r="AR75" i="21"/>
  <c r="AR68" i="19"/>
  <c r="AR126" i="24"/>
  <c r="AS75" i="21"/>
  <c r="AS76" i="21"/>
  <c r="AS126" i="24"/>
  <c r="AS77" i="21"/>
  <c r="AQ50" i="19"/>
  <c r="AQ60" i="19" s="1"/>
  <c r="AQ56" i="19"/>
  <c r="AV10" i="19"/>
  <c r="BQ20" i="19" l="1"/>
  <c r="BR91" i="19" s="1"/>
  <c r="BQ96" i="19"/>
  <c r="AR127" i="24"/>
  <c r="AR78" i="21"/>
  <c r="AS127" i="24"/>
  <c r="AS78" i="21"/>
  <c r="AV18" i="21"/>
  <c r="AV136" i="19"/>
  <c r="AV132" i="19"/>
  <c r="BR94" i="19" l="1"/>
  <c r="BR98" i="19"/>
  <c r="BR20" i="19" s="1"/>
  <c r="BS91" i="19" s="1"/>
  <c r="AX128" i="19"/>
  <c r="AX129" i="19" s="1"/>
  <c r="AX134" i="19"/>
  <c r="AV142" i="19"/>
  <c r="AV133" i="19"/>
  <c r="BA128" i="19"/>
  <c r="AV129" i="19"/>
  <c r="AV137" i="19"/>
  <c r="AX139" i="19" s="1"/>
  <c r="AV138" i="19"/>
  <c r="BR96" i="19" l="1"/>
  <c r="BS94" i="19"/>
  <c r="BR81" i="20"/>
  <c r="BB132" i="19"/>
  <c r="BG133" i="19" s="1"/>
  <c r="BB136" i="19"/>
  <c r="BG138" i="19" s="1"/>
  <c r="BB128" i="19"/>
  <c r="BA10" i="19"/>
  <c r="BS98" i="19" l="1"/>
  <c r="BS81" i="20"/>
  <c r="BD128" i="19"/>
  <c r="BD129" i="19" s="1"/>
  <c r="BD134" i="19"/>
  <c r="BB137" i="19"/>
  <c r="BB138" i="19"/>
  <c r="BB134" i="19"/>
  <c r="BB129" i="19"/>
  <c r="BB133" i="19"/>
  <c r="BB142" i="19"/>
  <c r="BA132" i="19"/>
  <c r="BA136" i="19"/>
  <c r="BA18" i="21"/>
  <c r="BS20" i="19" l="1"/>
  <c r="BT91" i="19" s="1"/>
  <c r="BS96" i="19"/>
  <c r="BB139" i="19"/>
  <c r="BD139" i="19"/>
  <c r="BF128" i="19"/>
  <c r="BC128" i="19"/>
  <c r="BC129" i="19" s="1"/>
  <c r="BC134" i="19"/>
  <c r="BA129" i="19"/>
  <c r="BA142" i="19"/>
  <c r="BA133" i="19"/>
  <c r="BA137" i="19"/>
  <c r="BC139" i="19" s="1"/>
  <c r="BA138" i="19"/>
  <c r="BT94" i="19" l="1"/>
  <c r="BT98" i="19" s="1"/>
  <c r="BT20" i="19" s="1"/>
  <c r="BU20" i="19" s="1"/>
  <c r="BF10" i="19"/>
  <c r="BT96" i="19" l="1"/>
  <c r="BT81" i="20"/>
  <c r="BU94" i="19"/>
  <c r="BU95" i="19" s="1"/>
  <c r="BH132" i="19"/>
  <c r="BH136" i="19"/>
  <c r="BH128" i="19"/>
  <c r="BF18" i="21"/>
  <c r="BF132" i="19"/>
  <c r="BK128" i="19" s="1"/>
  <c r="BF136" i="19"/>
  <c r="AO85" i="19"/>
  <c r="AO89" i="19" s="1"/>
  <c r="AO87" i="19" s="1"/>
  <c r="BI128" i="19" l="1"/>
  <c r="BI129" i="19" s="1"/>
  <c r="BI134" i="19"/>
  <c r="BU81" i="20"/>
  <c r="BU98" i="19"/>
  <c r="BU96" i="19" s="1"/>
  <c r="BH142" i="19"/>
  <c r="BH129" i="19"/>
  <c r="BH133" i="19"/>
  <c r="BH134" i="19"/>
  <c r="BH138" i="19"/>
  <c r="BH137" i="19"/>
  <c r="BL10" i="19"/>
  <c r="BI136" i="19"/>
  <c r="BF137" i="19"/>
  <c r="BF138" i="19"/>
  <c r="BF142" i="19"/>
  <c r="BF133" i="19"/>
  <c r="BF129" i="19"/>
  <c r="AO86" i="19"/>
  <c r="AO92" i="20"/>
  <c r="AO93" i="20" s="1"/>
  <c r="AO94" i="19"/>
  <c r="AO98" i="19" s="1"/>
  <c r="BH139" i="19" l="1"/>
  <c r="BL132" i="19"/>
  <c r="BL18" i="21"/>
  <c r="BL136" i="19"/>
  <c r="BM10" i="19"/>
  <c r="BI138" i="19"/>
  <c r="BI137" i="19"/>
  <c r="BI139" i="19" s="1"/>
  <c r="BK18" i="21"/>
  <c r="BK10" i="19"/>
  <c r="BJ136" i="19"/>
  <c r="BJ132" i="19"/>
  <c r="BL128" i="19" s="1"/>
  <c r="BI142" i="19"/>
  <c r="BJ128" i="19"/>
  <c r="AO95" i="19"/>
  <c r="AO95" i="20"/>
  <c r="AO125" i="24" s="1"/>
  <c r="AO96" i="19"/>
  <c r="AO88" i="21"/>
  <c r="AO124" i="24"/>
  <c r="BM18" i="21" l="1"/>
  <c r="BM132" i="19"/>
  <c r="BN10" i="19"/>
  <c r="BM136" i="19"/>
  <c r="BL137" i="19"/>
  <c r="BL138" i="19"/>
  <c r="BM128" i="19"/>
  <c r="BL133" i="19"/>
  <c r="BL129" i="19"/>
  <c r="BL134" i="19"/>
  <c r="BL142" i="19"/>
  <c r="BJ129" i="19"/>
  <c r="BJ134" i="19"/>
  <c r="BJ133" i="19"/>
  <c r="BJ142" i="19"/>
  <c r="BK136" i="19"/>
  <c r="BK132" i="19"/>
  <c r="BP128" i="19" s="1"/>
  <c r="BJ138" i="19"/>
  <c r="BJ137" i="19"/>
  <c r="BJ139" i="19" s="1"/>
  <c r="AO89" i="21"/>
  <c r="AN85" i="19"/>
  <c r="BM137" i="19" l="1"/>
  <c r="BM138" i="19"/>
  <c r="BN18" i="21"/>
  <c r="BO10" i="19"/>
  <c r="BQ10" i="19" s="1"/>
  <c r="BN132" i="19"/>
  <c r="BN136" i="19"/>
  <c r="BM134" i="19"/>
  <c r="BN128" i="19"/>
  <c r="BM129" i="19"/>
  <c r="BM133" i="19"/>
  <c r="BM142" i="19"/>
  <c r="BK137" i="19"/>
  <c r="BK138" i="19"/>
  <c r="BK133" i="19"/>
  <c r="BK129" i="19"/>
  <c r="BK142" i="19"/>
  <c r="AN86" i="19"/>
  <c r="AN89" i="19"/>
  <c r="AN87" i="19" s="1"/>
  <c r="AN94" i="19"/>
  <c r="AN95" i="19" s="1"/>
  <c r="AN92" i="20"/>
  <c r="BQ132" i="19" l="1"/>
  <c r="BQ18" i="21"/>
  <c r="BQ136" i="19"/>
  <c r="BR10" i="19"/>
  <c r="BO128" i="19"/>
  <c r="BN129" i="19"/>
  <c r="BN133" i="19"/>
  <c r="BN134" i="19"/>
  <c r="BN142" i="19"/>
  <c r="BO18" i="21"/>
  <c r="BP18" i="21" s="1"/>
  <c r="BO136" i="19"/>
  <c r="BO132" i="19"/>
  <c r="BQ128" i="19" s="1"/>
  <c r="BP10" i="19"/>
  <c r="BN138" i="19"/>
  <c r="BN137" i="19"/>
  <c r="AN93" i="20"/>
  <c r="AN95" i="20"/>
  <c r="AN125" i="24" s="1"/>
  <c r="AN98" i="19"/>
  <c r="AN96" i="19" s="1"/>
  <c r="AN94" i="20"/>
  <c r="AN88" i="21"/>
  <c r="AO94" i="20"/>
  <c r="AN124" i="24"/>
  <c r="BR18" i="21" l="1"/>
  <c r="BS10" i="19"/>
  <c r="BR132" i="19"/>
  <c r="BR136" i="19"/>
  <c r="BQ138" i="19"/>
  <c r="BQ137" i="19"/>
  <c r="BQ133" i="19"/>
  <c r="BQ129" i="19"/>
  <c r="BR128" i="19"/>
  <c r="BQ134" i="19"/>
  <c r="BQ142" i="19"/>
  <c r="BO138" i="19"/>
  <c r="BO137" i="19"/>
  <c r="BO129" i="19"/>
  <c r="BO134" i="19"/>
  <c r="BO133" i="19"/>
  <c r="BO142" i="19"/>
  <c r="BP136" i="19"/>
  <c r="BP132" i="19"/>
  <c r="BU128" i="19" s="1"/>
  <c r="AO90" i="21"/>
  <c r="AN89" i="21"/>
  <c r="AN90" i="21"/>
  <c r="BR138" i="19" l="1"/>
  <c r="BR137" i="19"/>
  <c r="BR134" i="19"/>
  <c r="BS128" i="19"/>
  <c r="BR133" i="19"/>
  <c r="BR129" i="19"/>
  <c r="BR142" i="19"/>
  <c r="BS18" i="21"/>
  <c r="BS136" i="19"/>
  <c r="BT10" i="19"/>
  <c r="BS132" i="19"/>
  <c r="BP129" i="19"/>
  <c r="BP133" i="19"/>
  <c r="BP142" i="19"/>
  <c r="BP138" i="19"/>
  <c r="BP137" i="19"/>
  <c r="AP8" i="27"/>
  <c r="AP9" i="27"/>
  <c r="AP17" i="27"/>
  <c r="AP18" i="27" s="1"/>
  <c r="AQ7" i="27"/>
  <c r="AQ8" i="27" s="1"/>
  <c r="AR7" i="27"/>
  <c r="AR9" i="27" s="1"/>
  <c r="AP11" i="27"/>
  <c r="BS133" i="19" l="1"/>
  <c r="BS134" i="19"/>
  <c r="BT128" i="19"/>
  <c r="BS129" i="19"/>
  <c r="BS142" i="19"/>
  <c r="BT18" i="21"/>
  <c r="BU18" i="21" s="1"/>
  <c r="BT132" i="19"/>
  <c r="BT136" i="19"/>
  <c r="BU10" i="19"/>
  <c r="BS137" i="19"/>
  <c r="BS138" i="19"/>
  <c r="AQ17" i="27"/>
  <c r="AQ18" i="27" s="1"/>
  <c r="AQ11" i="27"/>
  <c r="AQ12" i="27" s="1"/>
  <c r="AR17" i="27"/>
  <c r="AR18" i="27" s="1"/>
  <c r="AP13" i="27"/>
  <c r="AP19" i="27"/>
  <c r="AR13" i="27"/>
  <c r="AP12" i="27"/>
  <c r="AS7" i="27"/>
  <c r="AR8" i="27"/>
  <c r="BT134" i="19" l="1"/>
  <c r="BT129" i="19"/>
  <c r="BT133" i="19"/>
  <c r="BT142" i="19"/>
  <c r="BU136" i="19"/>
  <c r="BU132" i="19"/>
  <c r="BT138" i="19"/>
  <c r="BT137" i="19"/>
  <c r="AR19" i="27"/>
  <c r="AS9" i="27"/>
  <c r="AS17" i="27"/>
  <c r="AS8" i="27"/>
  <c r="BU138" i="19" l="1"/>
  <c r="BU137" i="19"/>
  <c r="BU129" i="19"/>
  <c r="BU133" i="19"/>
  <c r="BU142" i="19"/>
  <c r="AS18" i="27"/>
  <c r="AS19" i="27"/>
  <c r="AT8" i="27"/>
  <c r="AT17" i="27"/>
  <c r="AT9" i="27"/>
  <c r="AT19" i="27" l="1"/>
  <c r="AT18" i="27"/>
  <c r="AU9" i="27"/>
  <c r="AU17" i="27"/>
  <c r="AU8" i="27"/>
  <c r="AV7" i="27"/>
  <c r="AV17" i="27" l="1"/>
  <c r="AV18" i="27" s="1"/>
  <c r="AV8" i="27"/>
  <c r="AW9" i="27"/>
  <c r="AW8" i="27"/>
  <c r="AW17" i="27"/>
  <c r="AU19" i="27"/>
  <c r="AU18" i="27"/>
  <c r="AX8" i="27" l="1"/>
  <c r="AX9" i="27"/>
  <c r="AW19" i="27"/>
  <c r="AW18" i="27"/>
  <c r="AP43" i="27" l="1"/>
  <c r="AR43" i="27"/>
  <c r="AP129" i="24"/>
  <c r="AQ129" i="24" s="1"/>
  <c r="AQ41" i="27"/>
  <c r="AQ42" i="27" s="1"/>
  <c r="AP42" i="27"/>
  <c r="AU43" i="27"/>
  <c r="AW43" i="27" l="1"/>
  <c r="AU129" i="24"/>
  <c r="AV129" i="24" s="1"/>
  <c r="BA41" i="27"/>
  <c r="BB43" i="24" s="1"/>
  <c r="AV41" i="27"/>
  <c r="AW43" i="24" s="1"/>
  <c r="AW45" i="24" l="1"/>
  <c r="AW44" i="24"/>
  <c r="BB45" i="24"/>
  <c r="BB44" i="24"/>
  <c r="BB153" i="27"/>
  <c r="BB154" i="27" s="1"/>
  <c r="AV42" i="27"/>
  <c r="AW153" i="27"/>
  <c r="AW154" i="27" s="1"/>
  <c r="AW161" i="27" s="1"/>
  <c r="AW163" i="27" s="1"/>
  <c r="BB45" i="27"/>
  <c r="BB156" i="27" s="1"/>
  <c r="BB157" i="27" s="1"/>
  <c r="BB159" i="27" s="1"/>
  <c r="BB161" i="27" s="1"/>
  <c r="BB163" i="27" s="1"/>
  <c r="AZ45" i="27"/>
  <c r="BF41" i="27"/>
  <c r="BB43" i="27"/>
  <c r="AZ43" i="27"/>
  <c r="AZ129" i="24"/>
  <c r="BA129" i="24" s="1"/>
  <c r="BA42" i="27"/>
  <c r="AT15" i="14"/>
  <c r="AO15" i="14"/>
  <c r="AO27" i="14"/>
  <c r="BG153" i="27" l="1"/>
  <c r="BG154" i="27" s="1"/>
  <c r="BG43" i="24"/>
  <c r="AZ156" i="27"/>
  <c r="AZ157" i="27" s="1"/>
  <c r="AZ159" i="27" s="1"/>
  <c r="AZ161" i="27" s="1"/>
  <c r="AZ163" i="27" s="1"/>
  <c r="AZ48" i="27"/>
  <c r="BJ2" i="24"/>
  <c r="BJ3" i="24" s="1"/>
  <c r="BL4" i="24" s="1"/>
  <c r="BL6" i="24" s="1"/>
  <c r="BL7" i="24" s="1"/>
  <c r="BG43" i="27"/>
  <c r="BG45" i="27"/>
  <c r="BG156" i="27" s="1"/>
  <c r="BG157" i="27" s="1"/>
  <c r="BG159" i="27" s="1"/>
  <c r="BE129" i="24"/>
  <c r="BF129" i="24" s="1"/>
  <c r="BE45" i="27"/>
  <c r="BA45" i="27"/>
  <c r="BA46" i="27" s="1"/>
  <c r="AZ47" i="27"/>
  <c r="AZ46" i="27"/>
  <c r="BB46" i="27"/>
  <c r="BB47" i="27"/>
  <c r="BC47" i="27"/>
  <c r="BE43" i="27"/>
  <c r="BF42" i="27"/>
  <c r="AO16" i="14"/>
  <c r="AT16" i="14"/>
  <c r="AO12" i="14"/>
  <c r="AO24" i="14" s="1"/>
  <c r="AO28" i="14"/>
  <c r="BG161" i="27" l="1"/>
  <c r="BG163" i="27" s="1"/>
  <c r="BG45" i="24"/>
  <c r="BG44" i="24"/>
  <c r="BF45" i="27"/>
  <c r="BF46" i="27" s="1"/>
  <c r="BE156" i="27"/>
  <c r="BE157" i="27" s="1"/>
  <c r="BE159" i="27" s="1"/>
  <c r="BE161" i="27" s="1"/>
  <c r="BE163" i="27" s="1"/>
  <c r="BO41" i="27"/>
  <c r="BL45" i="27"/>
  <c r="BL43" i="27"/>
  <c r="BG46" i="27"/>
  <c r="BH47" i="27"/>
  <c r="BJ129" i="24"/>
  <c r="BK129" i="24" s="1"/>
  <c r="BK41" i="27"/>
  <c r="BL43" i="24" s="1"/>
  <c r="BJ45" i="27"/>
  <c r="BJ43" i="27"/>
  <c r="BG47" i="27"/>
  <c r="BE46" i="27"/>
  <c r="BE47" i="27"/>
  <c r="AO30" i="14"/>
  <c r="AO35" i="14"/>
  <c r="AO18" i="14"/>
  <c r="AT18" i="14"/>
  <c r="AN15" i="14"/>
  <c r="AO21" i="14"/>
  <c r="AN21" i="14"/>
  <c r="AS15" i="14"/>
  <c r="AN27" i="14"/>
  <c r="BT41" i="27" l="1"/>
  <c r="BQ45" i="27"/>
  <c r="BQ43" i="27"/>
  <c r="BL45" i="24"/>
  <c r="BL44" i="24"/>
  <c r="BO129" i="24"/>
  <c r="BP129" i="24" s="1"/>
  <c r="BO2" i="24"/>
  <c r="BO3" i="24" s="1"/>
  <c r="BQ4" i="24" s="1"/>
  <c r="BQ6" i="24" s="1"/>
  <c r="BQ7" i="24" s="1"/>
  <c r="BJ156" i="27"/>
  <c r="BJ157" i="27" s="1"/>
  <c r="BJ159" i="27" s="1"/>
  <c r="BJ161" i="27" s="1"/>
  <c r="BJ163" i="27" s="1"/>
  <c r="BL46" i="27"/>
  <c r="BL156" i="27"/>
  <c r="BL157" i="27" s="1"/>
  <c r="BL159" i="27" s="1"/>
  <c r="BK42" i="27"/>
  <c r="BL153" i="27"/>
  <c r="BL154" i="27" s="1"/>
  <c r="BJ47" i="27"/>
  <c r="BM47" i="27"/>
  <c r="BL47" i="27"/>
  <c r="BP41" i="27"/>
  <c r="BO43" i="27"/>
  <c r="BO45" i="27"/>
  <c r="BO156" i="27" s="1"/>
  <c r="BO157" i="27" s="1"/>
  <c r="BO159" i="27" s="1"/>
  <c r="BO161" i="27" s="1"/>
  <c r="BO163" i="27" s="1"/>
  <c r="BK45" i="27"/>
  <c r="BJ46" i="27"/>
  <c r="AS16" i="14"/>
  <c r="AN16" i="14"/>
  <c r="AN22" i="14"/>
  <c r="AO22" i="14"/>
  <c r="AN28" i="14"/>
  <c r="AR22" i="14"/>
  <c r="AP16" i="14"/>
  <c r="AU16" i="14"/>
  <c r="AP22" i="14"/>
  <c r="AP28" i="14"/>
  <c r="AQ28" i="14" s="1"/>
  <c r="AQ16" i="14"/>
  <c r="BP42" i="27" l="1"/>
  <c r="BQ153" i="27"/>
  <c r="BQ154" i="27" s="1"/>
  <c r="BQ43" i="24"/>
  <c r="BQ156" i="27"/>
  <c r="BQ157" i="27" s="1"/>
  <c r="BQ159" i="27" s="1"/>
  <c r="BQ47" i="27"/>
  <c r="BQ46" i="27"/>
  <c r="BR47" i="27"/>
  <c r="BT45" i="27"/>
  <c r="BU45" i="27" s="1"/>
  <c r="BT2" i="24"/>
  <c r="BT3" i="24" s="1"/>
  <c r="BT43" i="27"/>
  <c r="BU41" i="27"/>
  <c r="BU42" i="27" s="1"/>
  <c r="BT129" i="24"/>
  <c r="BU129" i="24" s="1"/>
  <c r="BN57" i="27"/>
  <c r="BL161" i="27"/>
  <c r="BL163" i="27" s="1"/>
  <c r="BO47" i="27"/>
  <c r="BO46" i="27"/>
  <c r="BP45" i="27"/>
  <c r="BP46" i="27" s="1"/>
  <c r="BK46" i="27"/>
  <c r="AV16" i="14"/>
  <c r="AP12" i="14"/>
  <c r="AP30" i="14" s="1"/>
  <c r="AP21" i="14"/>
  <c r="AR21" i="14"/>
  <c r="AP15" i="14"/>
  <c r="AP27" i="14"/>
  <c r="AQ27" i="14" s="1"/>
  <c r="BQ161" i="27" l="1"/>
  <c r="BQ163" i="27" s="1"/>
  <c r="BU46" i="27"/>
  <c r="BQ45" i="24"/>
  <c r="BQ44" i="24"/>
  <c r="BT46" i="27"/>
  <c r="BT47" i="27"/>
  <c r="BT156" i="27"/>
  <c r="BT157" i="27" s="1"/>
  <c r="BT159" i="27" s="1"/>
  <c r="BT161" i="27" s="1"/>
  <c r="BT163" i="27" s="1"/>
  <c r="BS57" i="27"/>
  <c r="AP24" i="14"/>
  <c r="AR24" i="14"/>
  <c r="AP35" i="14"/>
  <c r="AQ12" i="14"/>
  <c r="AP18" i="14"/>
  <c r="AQ15" i="14"/>
  <c r="AQ18" i="14" l="1"/>
  <c r="AQ35" i="14"/>
  <c r="AQ30" i="14"/>
  <c r="AQ83" i="19"/>
  <c r="AP84" i="19"/>
  <c r="AQ84" i="19" l="1"/>
  <c r="AP26" i="21"/>
  <c r="AQ8" i="21"/>
  <c r="AQ26" i="21" s="1"/>
  <c r="AP71" i="21" l="1"/>
  <c r="AP74" i="21" s="1"/>
  <c r="AP77" i="21" s="1"/>
  <c r="AP67" i="19"/>
  <c r="AQ67" i="19"/>
  <c r="AQ64" i="21"/>
  <c r="AQ68" i="21" s="1"/>
  <c r="AQ71" i="21"/>
  <c r="AQ74" i="21" s="1"/>
  <c r="AP75" i="21"/>
  <c r="AP64" i="21"/>
  <c r="AP68" i="21" s="1"/>
  <c r="AQ83" i="20"/>
  <c r="AR76" i="21" l="1"/>
  <c r="AP126" i="24"/>
  <c r="AP76" i="21"/>
  <c r="AP127" i="24"/>
  <c r="AP78" i="21"/>
  <c r="AQ94" i="21"/>
  <c r="AP68" i="19"/>
  <c r="AP94" i="21"/>
  <c r="AQ126" i="24"/>
  <c r="AQ68" i="19"/>
  <c r="AQ77" i="21"/>
  <c r="AQ75" i="21"/>
  <c r="AR67" i="21"/>
  <c r="AR68" i="21" s="1"/>
  <c r="AV67" i="21"/>
  <c r="AQ127" i="24" l="1"/>
  <c r="AQ78" i="21"/>
  <c r="AS67" i="21"/>
  <c r="AS68" i="21" s="1"/>
  <c r="AR13" i="19" l="1"/>
  <c r="AR23" i="19" s="1"/>
  <c r="AR52" i="19"/>
  <c r="AR54" i="19" s="1"/>
  <c r="AR55" i="19" s="1"/>
  <c r="AT67" i="21"/>
  <c r="AS13" i="19" l="1"/>
  <c r="AS23" i="19" s="1"/>
  <c r="AR50" i="19"/>
  <c r="AR60" i="19" s="1"/>
  <c r="AR56" i="19"/>
  <c r="AT13" i="19" l="1"/>
  <c r="AT23" i="19" s="1"/>
  <c r="AT52" i="19"/>
  <c r="AT54" i="19" s="1"/>
  <c r="AT55" i="19" s="1"/>
  <c r="AS50" i="19"/>
  <c r="AS60" i="19" s="1"/>
  <c r="AT50" i="19" l="1"/>
  <c r="AT60" i="19" s="1"/>
  <c r="AT56" i="19"/>
  <c r="AP94" i="19" l="1"/>
  <c r="AP95" i="19" s="1"/>
  <c r="AP85" i="19"/>
  <c r="AQ85" i="19" s="1"/>
  <c r="AP92" i="20"/>
  <c r="AP88" i="21" s="1"/>
  <c r="AP89" i="21" l="1"/>
  <c r="AP90" i="21"/>
  <c r="AQ86" i="19"/>
  <c r="AQ80" i="20"/>
  <c r="AQ89" i="19"/>
  <c r="AQ87" i="19" s="1"/>
  <c r="AQ94" i="19"/>
  <c r="AP93" i="20"/>
  <c r="AP94" i="20"/>
  <c r="AP98" i="19"/>
  <c r="AP96" i="19" s="1"/>
  <c r="AP86" i="19"/>
  <c r="AP124" i="24"/>
  <c r="AP89" i="19"/>
  <c r="AP87" i="19" s="1"/>
  <c r="AP95" i="20"/>
  <c r="AP125" i="24" s="1"/>
  <c r="AQ98" i="19" l="1"/>
  <c r="AQ96" i="19" s="1"/>
  <c r="AQ81" i="20"/>
  <c r="AQ92" i="20" s="1"/>
  <c r="AQ95" i="19"/>
  <c r="AQ88" i="21" l="1"/>
  <c r="AQ95" i="20"/>
  <c r="AQ125" i="24" s="1"/>
  <c r="AQ124" i="24"/>
  <c r="AQ93" i="20"/>
  <c r="AQ89" i="21" l="1"/>
  <c r="AR51" i="27" l="1"/>
  <c r="AR52" i="27"/>
  <c r="AR85" i="19" l="1"/>
  <c r="AR89" i="19" s="1"/>
  <c r="AR87" i="19" l="1"/>
  <c r="AR86" i="19"/>
  <c r="AR92" i="20" l="1"/>
  <c r="AR94" i="19"/>
  <c r="AR95" i="19" s="1"/>
  <c r="AR88" i="21" l="1"/>
  <c r="AR96" i="19"/>
  <c r="AR93" i="20"/>
  <c r="AR95" i="20"/>
  <c r="AR125" i="24" s="1"/>
  <c r="AR124" i="24"/>
  <c r="AR94" i="20"/>
  <c r="AR90" i="21" l="1"/>
  <c r="AR89" i="21"/>
  <c r="P36" i="17" l="1"/>
  <c r="O36" i="17"/>
  <c r="P40" i="17"/>
  <c r="O40" i="17"/>
  <c r="AS51" i="27"/>
  <c r="AT51" i="27" l="1"/>
  <c r="AV50" i="27" l="1"/>
  <c r="AU51" i="27"/>
  <c r="AV51" i="27" l="1"/>
  <c r="AW51" i="27" l="1"/>
  <c r="AX51" i="27" l="1"/>
  <c r="AY51" i="27" l="1"/>
  <c r="AZ51" i="27" l="1"/>
  <c r="BA50" i="27"/>
  <c r="BA51" i="27" l="1"/>
  <c r="BB51" i="27" l="1"/>
  <c r="AS85" i="19" l="1"/>
  <c r="AS89" i="19" s="1"/>
  <c r="AS86" i="19" l="1"/>
  <c r="AS87" i="19"/>
  <c r="AS92" i="20"/>
  <c r="AS94" i="19"/>
  <c r="AS124" i="24" l="1"/>
  <c r="AS95" i="20"/>
  <c r="AS125" i="24" s="1"/>
  <c r="AS93" i="20"/>
  <c r="AS95" i="19"/>
  <c r="AS98" i="19"/>
  <c r="AS96" i="19" s="1"/>
  <c r="AS94" i="20"/>
  <c r="AS88" i="21"/>
  <c r="AS89" i="21" l="1"/>
  <c r="AS90" i="21"/>
  <c r="AT91" i="24"/>
  <c r="AT92" i="24"/>
  <c r="AT93" i="24" l="1"/>
  <c r="AT97" i="24" l="1"/>
  <c r="AT96" i="24"/>
  <c r="AT98" i="24" l="1"/>
  <c r="AT100" i="24"/>
  <c r="AT103" i="24" s="1"/>
  <c r="AT104" i="24" l="1"/>
  <c r="AT109" i="24"/>
  <c r="AT64" i="19"/>
  <c r="AT101" i="24"/>
  <c r="AT78" i="19" l="1"/>
  <c r="AT107" i="19"/>
  <c r="AT113" i="24"/>
  <c r="AT110" i="24"/>
  <c r="AT115" i="24"/>
  <c r="AT117" i="24" l="1"/>
  <c r="AT50" i="20"/>
  <c r="AT71" i="20" s="1"/>
  <c r="AT57" i="20" l="1"/>
  <c r="AT74" i="20"/>
  <c r="AT23" i="6"/>
  <c r="AT72" i="20" l="1"/>
  <c r="AT83" i="20" l="1"/>
  <c r="AT26" i="21"/>
  <c r="AT67" i="19" s="1"/>
  <c r="AT71" i="21" l="1"/>
  <c r="AT72" i="21"/>
  <c r="AT37" i="21"/>
  <c r="AT64" i="21" s="1"/>
  <c r="AT68" i="21" s="1"/>
  <c r="AU67" i="21" s="1"/>
  <c r="AT83" i="19"/>
  <c r="AT74" i="21" l="1"/>
  <c r="AT77" i="21" s="1"/>
  <c r="AT84" i="19"/>
  <c r="AT127" i="24" l="1"/>
  <c r="AT78" i="21"/>
  <c r="AT68" i="19"/>
  <c r="AT94" i="21"/>
  <c r="AT126" i="24"/>
  <c r="AT76" i="21"/>
  <c r="AT75" i="21"/>
  <c r="AT13" i="27" l="1"/>
  <c r="AT12" i="27"/>
  <c r="AY13" i="27" l="1"/>
  <c r="AY8" i="27" l="1"/>
  <c r="AY17" i="27"/>
  <c r="AY9" i="27"/>
  <c r="AY18" i="27" l="1"/>
  <c r="AT85" i="19" l="1"/>
  <c r="AT86" i="19" s="1"/>
  <c r="AT89" i="19" l="1"/>
  <c r="AT87" i="19" s="1"/>
  <c r="AT92" i="20"/>
  <c r="AT94" i="20" s="1"/>
  <c r="AT94" i="19"/>
  <c r="AT124" i="24" l="1"/>
  <c r="AT95" i="20"/>
  <c r="AT125" i="24" s="1"/>
  <c r="AT88" i="21"/>
  <c r="AT93" i="20"/>
  <c r="AT95" i="19"/>
  <c r="AT98" i="19"/>
  <c r="AT96" i="19" s="1"/>
  <c r="AT90" i="21" l="1"/>
  <c r="AT89" i="21"/>
  <c r="AU91" i="24"/>
  <c r="AV90" i="24"/>
  <c r="AU92" i="24"/>
  <c r="AW92" i="24" l="1"/>
  <c r="AW91" i="24"/>
  <c r="AV92" i="24"/>
  <c r="AV91" i="24"/>
  <c r="AX92" i="24" l="1"/>
  <c r="AY92" i="24" l="1"/>
  <c r="AY91" i="24"/>
  <c r="BA90" i="24" l="1"/>
  <c r="AZ91" i="24"/>
  <c r="AZ92" i="24"/>
  <c r="BA92" i="24" l="1"/>
  <c r="BB92" i="24"/>
  <c r="BB91" i="24"/>
  <c r="BC92" i="24" l="1"/>
  <c r="BD92" i="24" l="1"/>
  <c r="BD91" i="24"/>
  <c r="BF90" i="24" l="1"/>
  <c r="BF92" i="24" s="1"/>
  <c r="BE92" i="24"/>
  <c r="BE91" i="24"/>
  <c r="AU93" i="24"/>
  <c r="AU97" i="24"/>
  <c r="AU96" i="24"/>
  <c r="AV95" i="24"/>
  <c r="BG92" i="24" l="1"/>
  <c r="BG91" i="24"/>
  <c r="AV97" i="24"/>
  <c r="AV96" i="24"/>
  <c r="AV100" i="24"/>
  <c r="BH92" i="24" l="1"/>
  <c r="AV101" i="24"/>
  <c r="AV64" i="19"/>
  <c r="G63" i="17" l="1"/>
  <c r="M63" i="17" s="1"/>
  <c r="O63" i="17" l="1"/>
  <c r="I63" i="17"/>
  <c r="L63" i="17"/>
  <c r="J63" i="17"/>
  <c r="P63" i="17"/>
  <c r="BK90" i="24"/>
  <c r="BK92" i="24" s="1"/>
  <c r="BL90" i="24"/>
  <c r="BJ92" i="24"/>
  <c r="BJ91" i="24"/>
  <c r="BL92" i="24" l="1"/>
  <c r="BM90" i="24"/>
  <c r="BL91" i="24"/>
  <c r="AU98" i="24"/>
  <c r="AU100" i="24"/>
  <c r="AU64" i="19" s="1"/>
  <c r="BM92" i="24" l="1"/>
  <c r="BN90" i="24"/>
  <c r="AU103" i="24"/>
  <c r="AV103" i="24" s="1"/>
  <c r="AV104" i="24" s="1"/>
  <c r="AU78" i="19"/>
  <c r="AU107" i="19"/>
  <c r="AU101" i="24"/>
  <c r="AW97" i="24"/>
  <c r="AW96" i="24"/>
  <c r="AW100" i="24"/>
  <c r="AV109" i="24" l="1"/>
  <c r="AV110" i="24" s="1"/>
  <c r="BO90" i="24"/>
  <c r="BQ90" i="24" s="1"/>
  <c r="BN92" i="24"/>
  <c r="BN91" i="24"/>
  <c r="AU109" i="24"/>
  <c r="AU104" i="24"/>
  <c r="AY96" i="24"/>
  <c r="AX97" i="24"/>
  <c r="AX100" i="24"/>
  <c r="AW101" i="24"/>
  <c r="AW64" i="19"/>
  <c r="AW103" i="24"/>
  <c r="P19" i="30" s="1"/>
  <c r="R19" i="30" s="1"/>
  <c r="S19" i="30" s="1"/>
  <c r="BR90" i="24" l="1"/>
  <c r="BQ92" i="24"/>
  <c r="BQ91" i="24"/>
  <c r="AV115" i="24"/>
  <c r="AV117" i="24" s="1"/>
  <c r="AV113" i="24"/>
  <c r="AU113" i="24"/>
  <c r="BO92" i="24"/>
  <c r="BO91" i="24"/>
  <c r="BP90" i="24"/>
  <c r="AU115" i="24"/>
  <c r="AU50" i="20" s="1"/>
  <c r="AU71" i="20" s="1"/>
  <c r="AU110" i="24"/>
  <c r="AY100" i="24"/>
  <c r="AY97" i="24"/>
  <c r="AW107" i="19"/>
  <c r="AW78" i="19"/>
  <c r="AX64" i="19"/>
  <c r="AV21" i="21"/>
  <c r="AU37" i="19"/>
  <c r="AU46" i="19" s="1"/>
  <c r="AV29" i="19"/>
  <c r="AV19" i="21"/>
  <c r="AV11" i="19"/>
  <c r="AV77" i="19" s="1"/>
  <c r="AX80" i="19" s="1"/>
  <c r="AW104" i="24"/>
  <c r="AW109" i="24"/>
  <c r="AV50" i="20" l="1"/>
  <c r="AV71" i="20" s="1"/>
  <c r="BR92" i="24"/>
  <c r="BS90" i="24"/>
  <c r="AU117" i="24"/>
  <c r="AU23" i="6" s="1"/>
  <c r="BP92" i="24"/>
  <c r="BA95" i="24"/>
  <c r="AY101" i="24"/>
  <c r="AY64" i="19"/>
  <c r="BB100" i="24"/>
  <c r="AZ97" i="24"/>
  <c r="AZ96" i="24"/>
  <c r="AZ100" i="24"/>
  <c r="AZ101" i="24" s="1"/>
  <c r="AV23" i="6"/>
  <c r="AV57" i="20"/>
  <c r="AV74" i="20"/>
  <c r="AW113" i="24"/>
  <c r="AW110" i="24"/>
  <c r="AW115" i="24"/>
  <c r="AV78" i="19"/>
  <c r="AV79" i="19"/>
  <c r="AV106" i="19"/>
  <c r="AX109" i="19" s="1"/>
  <c r="AV37" i="19"/>
  <c r="AV46" i="19" s="1"/>
  <c r="AU57" i="20"/>
  <c r="AU74" i="20"/>
  <c r="AW37" i="19"/>
  <c r="AW46" i="19" s="1"/>
  <c r="BS92" i="24" l="1"/>
  <c r="BT90" i="24"/>
  <c r="BU90" i="24" s="1"/>
  <c r="BS91" i="24"/>
  <c r="BA97" i="24"/>
  <c r="BA100" i="24"/>
  <c r="BB96" i="24"/>
  <c r="BB64" i="19"/>
  <c r="BB97" i="24"/>
  <c r="BB101" i="24"/>
  <c r="AZ64" i="19"/>
  <c r="AU72" i="20"/>
  <c r="AV107" i="19"/>
  <c r="AV108" i="19"/>
  <c r="AV72" i="20"/>
  <c r="AW117" i="24"/>
  <c r="AW50" i="20"/>
  <c r="AW71" i="20" s="1"/>
  <c r="BU92" i="24" l="1"/>
  <c r="BT92" i="24"/>
  <c r="BT91" i="24"/>
  <c r="BA64" i="19"/>
  <c r="BC100" i="24"/>
  <c r="BC64" i="19" s="1"/>
  <c r="BC97" i="24"/>
  <c r="AW57" i="20"/>
  <c r="AW74" i="20"/>
  <c r="AW92" i="20" s="1"/>
  <c r="AW23" i="6"/>
  <c r="BD97" i="24" l="1"/>
  <c r="BD100" i="24"/>
  <c r="BD96" i="24"/>
  <c r="AW26" i="21"/>
  <c r="AW72" i="20"/>
  <c r="AV7" i="19"/>
  <c r="AU13" i="19"/>
  <c r="AU23" i="19" s="1"/>
  <c r="AU52" i="19"/>
  <c r="AU54" i="19" s="1"/>
  <c r="AU55" i="19" s="1"/>
  <c r="BE96" i="24" l="1"/>
  <c r="BE97" i="24"/>
  <c r="BF95" i="24"/>
  <c r="BE100" i="24"/>
  <c r="BD101" i="24"/>
  <c r="BD64" i="19"/>
  <c r="AW67" i="19"/>
  <c r="AW64" i="21"/>
  <c r="AW71" i="21"/>
  <c r="AW74" i="21" s="1"/>
  <c r="AV13" i="19"/>
  <c r="AV23" i="19" s="1"/>
  <c r="AV52" i="19"/>
  <c r="AV54" i="19" s="1"/>
  <c r="AV55" i="19" s="1"/>
  <c r="AV48" i="19"/>
  <c r="AU50" i="19"/>
  <c r="AU60" i="19" s="1"/>
  <c r="AU56" i="19"/>
  <c r="BF97" i="24" l="1"/>
  <c r="BF100" i="24"/>
  <c r="BG100" i="24"/>
  <c r="BG97" i="24"/>
  <c r="BG96" i="24"/>
  <c r="BE101" i="24"/>
  <c r="BE64" i="19"/>
  <c r="AW94" i="21"/>
  <c r="AW126" i="24"/>
  <c r="AW77" i="21"/>
  <c r="AW75" i="21"/>
  <c r="AW68" i="19"/>
  <c r="AV56" i="19"/>
  <c r="AV50" i="19"/>
  <c r="AV60" i="19" s="1"/>
  <c r="AW127" i="24" l="1"/>
  <c r="AW78" i="21"/>
  <c r="BH97" i="24"/>
  <c r="BH100" i="24"/>
  <c r="BG101" i="24"/>
  <c r="BG64" i="19"/>
  <c r="BF64" i="19"/>
  <c r="BH64" i="19" l="1"/>
  <c r="AU13" i="27" l="1"/>
  <c r="AZ8" i="27"/>
  <c r="AU12" i="27"/>
  <c r="AV11" i="27"/>
  <c r="AV12" i="27" s="1"/>
  <c r="BA7" i="27" l="1"/>
  <c r="AZ17" i="27"/>
  <c r="AZ9" i="27"/>
  <c r="BA8" i="27" l="1"/>
  <c r="BB11" i="27"/>
  <c r="BC13" i="27" s="1"/>
  <c r="AZ19" i="27"/>
  <c r="AZ18" i="27"/>
  <c r="BB12" i="27" l="1"/>
  <c r="AU83" i="20"/>
  <c r="AU92" i="20" s="1"/>
  <c r="AU26" i="21"/>
  <c r="AU67" i="19" s="1"/>
  <c r="AV8" i="21"/>
  <c r="AV83" i="20" s="1"/>
  <c r="AU71" i="21" l="1"/>
  <c r="AV26" i="21"/>
  <c r="AV67" i="19" l="1"/>
  <c r="AV71" i="21"/>
  <c r="AU37" i="21"/>
  <c r="AU64" i="21" s="1"/>
  <c r="AU68" i="21" s="1"/>
  <c r="AU72" i="21"/>
  <c r="AU74" i="21" s="1"/>
  <c r="AU83" i="19"/>
  <c r="AU94" i="21" l="1"/>
  <c r="AU76" i="21"/>
  <c r="AU77" i="21"/>
  <c r="AU75" i="21"/>
  <c r="AW76" i="21"/>
  <c r="AU126" i="24"/>
  <c r="AU68" i="19"/>
  <c r="AU84" i="19"/>
  <c r="AV83" i="19"/>
  <c r="AU127" i="24" l="1"/>
  <c r="AU78" i="21"/>
  <c r="AV84" i="19"/>
  <c r="AV30" i="21"/>
  <c r="AV72" i="21" s="1"/>
  <c r="AV74" i="21" l="1"/>
  <c r="AV37" i="21"/>
  <c r="AV64" i="21" s="1"/>
  <c r="AV68" i="21" s="1"/>
  <c r="AW67" i="21" s="1"/>
  <c r="AW68" i="21" l="1"/>
  <c r="BA67" i="21"/>
  <c r="AV68" i="19"/>
  <c r="AV126" i="24"/>
  <c r="AV94" i="21"/>
  <c r="AV75" i="21"/>
  <c r="AV77" i="21"/>
  <c r="AV78" i="21" s="1"/>
  <c r="AV127" i="24" l="1"/>
  <c r="AX67" i="21"/>
  <c r="AW52" i="19" l="1"/>
  <c r="AW54" i="19" s="1"/>
  <c r="AW55" i="19" s="1"/>
  <c r="AW13" i="19"/>
  <c r="AW23" i="19" s="1"/>
  <c r="AW56" i="19" l="1"/>
  <c r="AW50" i="19"/>
  <c r="AW60" i="19" s="1"/>
  <c r="AU85" i="19" l="1"/>
  <c r="AV85" i="19" l="1"/>
  <c r="AU89" i="19"/>
  <c r="AU87" i="19" s="1"/>
  <c r="AU86" i="19"/>
  <c r="AV89" i="19" l="1"/>
  <c r="AV87" i="19" s="1"/>
  <c r="AV86" i="19"/>
  <c r="AV80" i="20"/>
  <c r="AU94" i="19"/>
  <c r="AV94" i="19" s="1"/>
  <c r="AV81" i="20" l="1"/>
  <c r="AV92" i="20" s="1"/>
  <c r="AV98" i="19"/>
  <c r="AV96" i="19" s="1"/>
  <c r="AV95" i="19"/>
  <c r="AU88" i="21"/>
  <c r="AU93" i="20"/>
  <c r="AU94" i="20"/>
  <c r="AU124" i="24"/>
  <c r="AU95" i="19"/>
  <c r="AU95" i="20"/>
  <c r="AU125" i="24" s="1"/>
  <c r="AU98" i="19"/>
  <c r="AU96" i="19" s="1"/>
  <c r="AU89" i="21" l="1"/>
  <c r="AU90" i="21"/>
  <c r="AV124" i="24"/>
  <c r="AV93" i="20"/>
  <c r="AV88" i="21"/>
  <c r="AV95" i="20"/>
  <c r="AV125" i="24" s="1"/>
  <c r="AV89" i="21" l="1"/>
  <c r="AW24" i="14"/>
  <c r="AU24" i="14"/>
  <c r="AU30" i="14"/>
  <c r="AU35" i="14"/>
  <c r="AU18" i="14"/>
  <c r="AZ18" i="14"/>
  <c r="AU21" i="14" l="1"/>
  <c r="AZ15" i="14"/>
  <c r="AU15" i="14"/>
  <c r="AW21" i="14"/>
  <c r="AV12" i="14" l="1"/>
  <c r="AV15" i="14"/>
  <c r="AV30" i="14" l="1"/>
  <c r="AV35" i="14"/>
  <c r="AV18" i="14"/>
  <c r="AX13" i="27" l="1"/>
  <c r="AW13" i="27"/>
  <c r="AW12" i="27"/>
  <c r="BB17" i="27" l="1"/>
  <c r="BB8" i="27"/>
  <c r="BB9" i="27"/>
  <c r="BB19" i="27" l="1"/>
  <c r="BB18" i="27"/>
  <c r="AW85" i="19" l="1"/>
  <c r="AW86" i="19" s="1"/>
  <c r="AW89" i="19" l="1"/>
  <c r="AW87" i="19" s="1"/>
  <c r="AW124" i="24"/>
  <c r="AW94" i="19"/>
  <c r="AW93" i="20" l="1"/>
  <c r="AW94" i="20"/>
  <c r="AW96" i="19"/>
  <c r="AW95" i="19"/>
  <c r="AW95" i="20"/>
  <c r="AW125" i="24" s="1"/>
  <c r="AW88" i="21"/>
  <c r="AW90" i="21" l="1"/>
  <c r="AW89" i="21"/>
  <c r="AY41" i="24"/>
  <c r="AX41" i="24"/>
  <c r="BA39" i="24"/>
  <c r="BA40" i="24" l="1"/>
  <c r="AX30" i="24"/>
  <c r="AX74" i="24" l="1"/>
  <c r="AY33" i="24"/>
  <c r="AX33" i="24"/>
  <c r="AX68" i="24"/>
  <c r="AX67" i="24"/>
  <c r="AX32" i="24"/>
  <c r="BA30" i="24"/>
  <c r="AX63" i="19" l="1"/>
  <c r="AX78" i="19" s="1"/>
  <c r="AY68" i="24"/>
  <c r="AY67" i="24"/>
  <c r="AY74" i="24"/>
  <c r="AY66" i="24"/>
  <c r="AY58" i="24"/>
  <c r="AY59" i="24"/>
  <c r="AX60" i="24"/>
  <c r="AX59" i="24"/>
  <c r="AY60" i="24"/>
  <c r="BA32" i="24"/>
  <c r="AX101" i="19" l="1"/>
  <c r="AX107" i="19"/>
  <c r="AY76" i="24"/>
  <c r="AY63" i="19"/>
  <c r="AZ59" i="24"/>
  <c r="AZ60" i="24"/>
  <c r="AZ58" i="24"/>
  <c r="AZ66" i="24"/>
  <c r="AZ74" i="24"/>
  <c r="AZ76" i="24" s="1"/>
  <c r="AZ68" i="24"/>
  <c r="AZ67" i="24"/>
  <c r="BA65" i="24"/>
  <c r="BA67" i="24" s="1"/>
  <c r="BA57" i="24"/>
  <c r="BA78" i="24" s="1"/>
  <c r="AX37" i="19"/>
  <c r="AX46" i="19" s="1"/>
  <c r="AX58" i="19"/>
  <c r="AX104" i="19" s="1"/>
  <c r="AY107" i="19" l="1"/>
  <c r="AY78" i="19"/>
  <c r="AY101" i="19"/>
  <c r="BA59" i="24"/>
  <c r="AZ63" i="19"/>
  <c r="BA74" i="24"/>
  <c r="BB74" i="24"/>
  <c r="BB66" i="24"/>
  <c r="BB68" i="24"/>
  <c r="BB67" i="24"/>
  <c r="AY82" i="24"/>
  <c r="AY103" i="24"/>
  <c r="P21" i="30" s="1"/>
  <c r="R21" i="30" s="1"/>
  <c r="S21" i="30" s="1"/>
  <c r="AX40" i="24"/>
  <c r="AX52" i="24"/>
  <c r="L20" i="30" s="1"/>
  <c r="N20" i="30" s="1"/>
  <c r="O20" i="30" s="1"/>
  <c r="AX16" i="20" l="1"/>
  <c r="AX20" i="20" s="1"/>
  <c r="AX23" i="20" s="1"/>
  <c r="AX13" i="24"/>
  <c r="BC52" i="24"/>
  <c r="AZ101" i="19"/>
  <c r="AZ107" i="19"/>
  <c r="AZ78" i="19"/>
  <c r="BA52" i="24"/>
  <c r="AZ82" i="24"/>
  <c r="AZ103" i="24"/>
  <c r="P22" i="30" s="1"/>
  <c r="R22" i="30" s="1"/>
  <c r="S22" i="30" s="1"/>
  <c r="BA63" i="19"/>
  <c r="BD66" i="24"/>
  <c r="BD74" i="24"/>
  <c r="BD76" i="24" s="1"/>
  <c r="BD82" i="24" s="1"/>
  <c r="BD67" i="24"/>
  <c r="BB76" i="24"/>
  <c r="BB63" i="19"/>
  <c r="AY58" i="19"/>
  <c r="AY104" i="19" s="1"/>
  <c r="AY37" i="19"/>
  <c r="AY46" i="19" s="1"/>
  <c r="AY109" i="24"/>
  <c r="AY104" i="24"/>
  <c r="BD41" i="24"/>
  <c r="BC41" i="24"/>
  <c r="BF39" i="24"/>
  <c r="BC30" i="24"/>
  <c r="AX76" i="24"/>
  <c r="AX62" i="19"/>
  <c r="M13" i="17"/>
  <c r="AX54" i="24"/>
  <c r="AX50" i="24"/>
  <c r="AX21" i="6"/>
  <c r="AX42" i="24"/>
  <c r="AX97" i="20"/>
  <c r="AX70" i="24"/>
  <c r="AX62" i="24"/>
  <c r="AX53" i="24"/>
  <c r="AX91" i="24"/>
  <c r="AY54" i="24"/>
  <c r="AX96" i="24"/>
  <c r="AX86" i="24"/>
  <c r="AX35" i="24"/>
  <c r="AX101" i="24"/>
  <c r="AX84" i="21"/>
  <c r="AX8" i="20"/>
  <c r="AX21" i="27"/>
  <c r="AX66" i="24"/>
  <c r="AX31" i="24"/>
  <c r="AX58" i="24"/>
  <c r="AX105" i="20"/>
  <c r="AX34" i="14"/>
  <c r="AX10" i="14" s="1"/>
  <c r="P13" i="17" l="1"/>
  <c r="O13" i="17"/>
  <c r="I13" i="17"/>
  <c r="J13" i="17"/>
  <c r="L13" i="17"/>
  <c r="L24" i="30"/>
  <c r="AY23" i="20"/>
  <c r="AX22" i="20"/>
  <c r="BH45" i="24"/>
  <c r="BH44" i="24"/>
  <c r="BC16" i="20"/>
  <c r="BC20" i="20" s="1"/>
  <c r="BC23" i="20" s="1"/>
  <c r="BC13" i="24"/>
  <c r="AX14" i="24"/>
  <c r="AX6" i="24"/>
  <c r="AX7" i="24" s="1"/>
  <c r="BA16" i="20"/>
  <c r="BA20" i="20" s="1"/>
  <c r="BA22" i="20" s="1"/>
  <c r="BA58" i="24"/>
  <c r="BA97" i="20"/>
  <c r="BA50" i="24"/>
  <c r="BM39" i="24"/>
  <c r="BR39" i="24" s="1"/>
  <c r="BR162" i="27" s="1"/>
  <c r="BR163" i="27" s="1"/>
  <c r="BH162" i="27"/>
  <c r="BH163" i="27" s="1"/>
  <c r="BA8" i="20"/>
  <c r="BA12" i="20" s="1"/>
  <c r="BA21" i="6"/>
  <c r="BA62" i="19"/>
  <c r="BA57" i="19" s="1"/>
  <c r="BA75" i="19" s="1"/>
  <c r="BA21" i="27"/>
  <c r="BA84" i="21"/>
  <c r="BA85" i="21" s="1"/>
  <c r="BA76" i="24"/>
  <c r="BA31" i="24"/>
  <c r="BA42" i="24"/>
  <c r="BA35" i="24"/>
  <c r="BA86" i="24"/>
  <c r="BA105" i="20"/>
  <c r="BA106" i="20" s="1"/>
  <c r="BA62" i="24"/>
  <c r="BA70" i="24"/>
  <c r="AX17" i="27"/>
  <c r="AX19" i="27" s="1"/>
  <c r="AX144" i="27"/>
  <c r="AX146" i="27" s="1"/>
  <c r="AX134" i="27"/>
  <c r="AX135" i="27" s="1"/>
  <c r="BC42" i="24"/>
  <c r="BC8" i="20"/>
  <c r="BC12" i="20" s="1"/>
  <c r="BC124" i="19" s="1"/>
  <c r="BD126" i="19" s="1"/>
  <c r="BC84" i="21"/>
  <c r="BC86" i="21" s="1"/>
  <c r="BC35" i="24"/>
  <c r="BC97" i="20"/>
  <c r="BC62" i="19"/>
  <c r="BC84" i="19" s="1"/>
  <c r="BC96" i="24"/>
  <c r="BC21" i="6"/>
  <c r="BC21" i="27"/>
  <c r="BC105" i="20"/>
  <c r="BD107" i="20" s="1"/>
  <c r="BC101" i="24"/>
  <c r="BD54" i="24"/>
  <c r="BC70" i="24"/>
  <c r="BC53" i="24"/>
  <c r="BC86" i="24"/>
  <c r="BC50" i="24"/>
  <c r="BC54" i="24"/>
  <c r="BC34" i="14"/>
  <c r="BC91" i="24"/>
  <c r="BF52" i="24"/>
  <c r="BA66" i="24"/>
  <c r="BA53" i="24"/>
  <c r="BA101" i="24"/>
  <c r="BA34" i="14"/>
  <c r="BA91" i="24"/>
  <c r="BA96" i="24"/>
  <c r="AX93" i="19"/>
  <c r="AX72" i="19"/>
  <c r="AX27" i="14"/>
  <c r="AX28" i="14"/>
  <c r="AY113" i="24"/>
  <c r="AY110" i="24"/>
  <c r="AY115" i="24"/>
  <c r="BD63" i="19"/>
  <c r="BE68" i="24"/>
  <c r="BE67" i="24"/>
  <c r="BE66" i="24"/>
  <c r="BA19" i="21"/>
  <c r="BA11" i="19"/>
  <c r="BA77" i="19" s="1"/>
  <c r="BC80" i="19" s="1"/>
  <c r="BA21" i="21"/>
  <c r="BA29" i="19"/>
  <c r="BA106" i="19" s="1"/>
  <c r="BC109" i="19" s="1"/>
  <c r="BB82" i="24"/>
  <c r="BB103" i="24"/>
  <c r="P23" i="30" s="1"/>
  <c r="R23" i="30" s="1"/>
  <c r="S23" i="30" s="1"/>
  <c r="BA20" i="21"/>
  <c r="AZ58" i="19"/>
  <c r="AZ104" i="19" s="1"/>
  <c r="BA28" i="19"/>
  <c r="AZ37" i="19"/>
  <c r="AZ46" i="19" s="1"/>
  <c r="AZ104" i="24"/>
  <c r="AZ109" i="24"/>
  <c r="BC68" i="24"/>
  <c r="BC66" i="24"/>
  <c r="BC67" i="24"/>
  <c r="BF65" i="24"/>
  <c r="BF78" i="24" s="1"/>
  <c r="BD68" i="24"/>
  <c r="BC74" i="24"/>
  <c r="BC33" i="24"/>
  <c r="BC32" i="24"/>
  <c r="BC31" i="24"/>
  <c r="BF30" i="24"/>
  <c r="BD33" i="24"/>
  <c r="BF40" i="24"/>
  <c r="BH41" i="24"/>
  <c r="BK39" i="24"/>
  <c r="BH30" i="24"/>
  <c r="BH52" i="24"/>
  <c r="BI54" i="24" s="1"/>
  <c r="F18" i="30" s="1"/>
  <c r="AX106" i="20"/>
  <c r="AX107" i="20"/>
  <c r="AY107" i="20"/>
  <c r="AX31" i="27"/>
  <c r="AX40" i="20"/>
  <c r="AX35" i="20"/>
  <c r="AX12" i="20"/>
  <c r="AX124" i="19" s="1"/>
  <c r="AY86" i="21"/>
  <c r="AX85" i="21"/>
  <c r="AX86" i="21"/>
  <c r="AX82" i="24"/>
  <c r="AX103" i="24"/>
  <c r="P20" i="30" s="1"/>
  <c r="R20" i="30" s="1"/>
  <c r="S20" i="30" s="1"/>
  <c r="N24" i="30" l="1"/>
  <c r="D47" i="17"/>
  <c r="D53" i="17" s="1"/>
  <c r="D64" i="17"/>
  <c r="D58" i="17"/>
  <c r="D78" i="17"/>
  <c r="D70" i="17"/>
  <c r="D76" i="17"/>
  <c r="L28" i="30"/>
  <c r="N28" i="30" s="1"/>
  <c r="G23" i="30" s="1"/>
  <c r="M26" i="17"/>
  <c r="O24" i="30"/>
  <c r="BR65" i="24"/>
  <c r="BR45" i="24"/>
  <c r="BR30" i="24"/>
  <c r="BR52" i="24"/>
  <c r="BR21" i="6" s="1"/>
  <c r="BR44" i="24"/>
  <c r="BR41" i="24"/>
  <c r="BU39" i="24"/>
  <c r="BS41" i="24"/>
  <c r="BM45" i="24"/>
  <c r="BM44" i="24"/>
  <c r="BD23" i="20"/>
  <c r="BC22" i="20"/>
  <c r="BM30" i="24"/>
  <c r="BM32" i="24" s="1"/>
  <c r="BC14" i="24"/>
  <c r="BC6" i="24"/>
  <c r="BC7" i="24" s="1"/>
  <c r="BL67" i="24"/>
  <c r="BN41" i="24"/>
  <c r="BP39" i="24"/>
  <c r="BM52" i="24"/>
  <c r="BM21" i="6" s="1"/>
  <c r="BA17" i="27"/>
  <c r="BA18" i="27" s="1"/>
  <c r="BA36" i="27"/>
  <c r="BA38" i="27" s="1"/>
  <c r="BA40" i="20"/>
  <c r="BA31" i="27"/>
  <c r="BA33" i="27" s="1"/>
  <c r="BM162" i="27"/>
  <c r="BM163" i="27" s="1"/>
  <c r="BF16" i="20"/>
  <c r="BF20" i="20" s="1"/>
  <c r="BF22" i="20" s="1"/>
  <c r="BA35" i="20"/>
  <c r="BD101" i="19"/>
  <c r="BD107" i="19"/>
  <c r="BD78" i="19"/>
  <c r="BM65" i="24"/>
  <c r="BN68" i="24" s="1"/>
  <c r="BM41" i="24"/>
  <c r="BH42" i="24"/>
  <c r="BH16" i="20"/>
  <c r="BH20" i="20" s="1"/>
  <c r="AX18" i="27"/>
  <c r="BA93" i="19"/>
  <c r="BA72" i="19"/>
  <c r="BA82" i="24"/>
  <c r="J26" i="17"/>
  <c r="G64" i="17"/>
  <c r="O64" i="17" s="1"/>
  <c r="P26" i="17"/>
  <c r="G58" i="17"/>
  <c r="M58" i="17" s="1"/>
  <c r="AY19" i="27"/>
  <c r="BC125" i="19"/>
  <c r="BC126" i="19"/>
  <c r="BC93" i="19"/>
  <c r="BC72" i="19"/>
  <c r="BC10" i="14"/>
  <c r="BC27" i="14"/>
  <c r="BC35" i="20"/>
  <c r="BD37" i="20" s="1"/>
  <c r="BC134" i="27"/>
  <c r="BC135" i="27" s="1"/>
  <c r="BC138" i="27" s="1"/>
  <c r="BC144" i="27"/>
  <c r="BC146" i="27" s="1"/>
  <c r="BC40" i="20"/>
  <c r="BC31" i="27"/>
  <c r="BD34" i="27" s="1"/>
  <c r="AX138" i="27"/>
  <c r="AX139" i="27"/>
  <c r="AY139" i="27"/>
  <c r="AX148" i="27"/>
  <c r="AX147" i="27"/>
  <c r="BA146" i="27"/>
  <c r="BA147" i="27" s="1"/>
  <c r="AY148" i="27"/>
  <c r="BA38" i="14"/>
  <c r="BA54" i="14" s="1"/>
  <c r="BA39" i="14"/>
  <c r="BA55" i="14" s="1"/>
  <c r="BF42" i="24"/>
  <c r="BC85" i="21"/>
  <c r="BD86" i="21"/>
  <c r="BC57" i="19"/>
  <c r="BC75" i="19" s="1"/>
  <c r="BC112" i="20"/>
  <c r="BC106" i="20"/>
  <c r="BC107" i="20"/>
  <c r="BF86" i="24"/>
  <c r="BF35" i="24"/>
  <c r="BF97" i="20"/>
  <c r="BF50" i="24"/>
  <c r="BF34" i="14"/>
  <c r="BF21" i="6"/>
  <c r="BF62" i="19"/>
  <c r="BF84" i="19" s="1"/>
  <c r="BF8" i="20"/>
  <c r="BF53" i="24"/>
  <c r="BF91" i="24"/>
  <c r="BF105" i="20"/>
  <c r="BF106" i="20" s="1"/>
  <c r="BF21" i="27"/>
  <c r="BF36" i="27" s="1"/>
  <c r="BF96" i="24"/>
  <c r="BF101" i="24"/>
  <c r="BF70" i="24"/>
  <c r="BF84" i="21"/>
  <c r="BF85" i="21" s="1"/>
  <c r="AX126" i="19"/>
  <c r="AX125" i="19"/>
  <c r="AY126" i="19"/>
  <c r="AZ53" i="20"/>
  <c r="AZ56" i="20" s="1"/>
  <c r="AZ79" i="20" s="1"/>
  <c r="BA112" i="24"/>
  <c r="AZ110" i="24"/>
  <c r="AZ115" i="24"/>
  <c r="BG74" i="24"/>
  <c r="BG67" i="24"/>
  <c r="BG66" i="24"/>
  <c r="BG68" i="24"/>
  <c r="BB104" i="24"/>
  <c r="BB109" i="24"/>
  <c r="BA108" i="19"/>
  <c r="BA107" i="19"/>
  <c r="BD103" i="24"/>
  <c r="P25" i="30" s="1"/>
  <c r="BE63" i="19"/>
  <c r="AY117" i="24"/>
  <c r="AY50" i="20"/>
  <c r="AY71" i="20" s="1"/>
  <c r="BB106" i="19"/>
  <c r="BG108" i="19" s="1"/>
  <c r="BB77" i="19"/>
  <c r="BG79" i="19" s="1"/>
  <c r="BA100" i="19"/>
  <c r="BC103" i="19" s="1"/>
  <c r="BA37" i="19"/>
  <c r="BA46" i="19" s="1"/>
  <c r="BA58" i="19"/>
  <c r="BA104" i="19" s="1"/>
  <c r="BB58" i="19"/>
  <c r="BB104" i="19" s="1"/>
  <c r="BB100" i="19"/>
  <c r="BB37" i="19"/>
  <c r="BB46" i="19" s="1"/>
  <c r="BA79" i="19"/>
  <c r="BA78" i="19"/>
  <c r="AX30" i="20"/>
  <c r="AX32" i="20" s="1"/>
  <c r="BK40" i="24"/>
  <c r="BC21" i="14"/>
  <c r="BF9" i="14"/>
  <c r="BC14" i="20"/>
  <c r="BD14" i="20"/>
  <c r="BC13" i="20"/>
  <c r="BC25" i="24"/>
  <c r="AX16" i="14"/>
  <c r="AY22" i="14"/>
  <c r="AX22" i="14"/>
  <c r="BA10" i="14"/>
  <c r="BA16" i="14" s="1"/>
  <c r="BI33" i="24"/>
  <c r="BH33" i="24"/>
  <c r="BH32" i="24"/>
  <c r="BK30" i="24"/>
  <c r="BH31" i="24"/>
  <c r="AX33" i="27"/>
  <c r="AY34" i="27"/>
  <c r="AX34" i="27"/>
  <c r="AX112" i="20"/>
  <c r="AX114" i="20"/>
  <c r="AY113" i="20"/>
  <c r="AX51" i="20"/>
  <c r="AX113" i="20"/>
  <c r="AX86" i="20"/>
  <c r="AX93" i="21"/>
  <c r="BA111" i="20"/>
  <c r="AX21" i="14"/>
  <c r="AX15" i="14"/>
  <c r="AY21" i="14"/>
  <c r="AX12" i="14"/>
  <c r="BA9" i="14"/>
  <c r="AX104" i="24"/>
  <c r="AX109" i="24"/>
  <c r="BA103" i="24"/>
  <c r="BF31" i="24"/>
  <c r="BF32" i="24"/>
  <c r="BF74" i="24"/>
  <c r="BC63" i="19"/>
  <c r="BC76" i="24"/>
  <c r="BA25" i="24"/>
  <c r="BA124" i="19"/>
  <c r="BA125" i="19" s="1"/>
  <c r="BA13" i="20"/>
  <c r="BH54" i="24"/>
  <c r="BH21" i="6"/>
  <c r="BH96" i="24"/>
  <c r="BH53" i="24"/>
  <c r="BH91" i="24"/>
  <c r="BH101" i="24"/>
  <c r="BH50" i="24"/>
  <c r="BH70" i="24"/>
  <c r="BH97" i="20"/>
  <c r="BH86" i="24"/>
  <c r="BH35" i="24"/>
  <c r="BH84" i="21"/>
  <c r="BH8" i="20"/>
  <c r="BH34" i="14"/>
  <c r="BH21" i="27"/>
  <c r="BD101" i="27" s="1"/>
  <c r="BH62" i="19"/>
  <c r="BK52" i="24"/>
  <c r="BH105" i="20"/>
  <c r="BI107" i="20" s="1"/>
  <c r="AX14" i="20"/>
  <c r="AY14" i="20"/>
  <c r="AX25" i="24"/>
  <c r="AX13" i="20"/>
  <c r="AX37" i="20"/>
  <c r="AX36" i="20"/>
  <c r="AY37" i="20"/>
  <c r="AX57" i="19"/>
  <c r="AX75" i="19" s="1"/>
  <c r="BF67" i="24"/>
  <c r="BF66" i="24"/>
  <c r="BC113" i="20"/>
  <c r="BC114" i="20"/>
  <c r="BF111" i="20"/>
  <c r="BN67" i="24" l="1"/>
  <c r="O28" i="30"/>
  <c r="G24" i="30" s="1"/>
  <c r="R25" i="30"/>
  <c r="BH93" i="19"/>
  <c r="BH84" i="19"/>
  <c r="I26" i="17"/>
  <c r="L26" i="17"/>
  <c r="D79" i="17"/>
  <c r="D86" i="17"/>
  <c r="BH68" i="24"/>
  <c r="J27" i="17"/>
  <c r="I27" i="17"/>
  <c r="O26" i="17"/>
  <c r="G18" i="30"/>
  <c r="G17" i="30"/>
  <c r="BR42" i="24"/>
  <c r="BR62" i="19"/>
  <c r="BR21" i="27"/>
  <c r="BR105" i="20"/>
  <c r="BR8" i="20"/>
  <c r="BR84" i="21"/>
  <c r="BR97" i="20"/>
  <c r="BR16" i="20"/>
  <c r="BR20" i="20" s="1"/>
  <c r="BU40" i="24"/>
  <c r="BR50" i="24"/>
  <c r="BR86" i="24"/>
  <c r="BR91" i="24"/>
  <c r="BR54" i="24"/>
  <c r="BR35" i="24"/>
  <c r="BR53" i="24"/>
  <c r="BR70" i="24"/>
  <c r="BS54" i="24"/>
  <c r="BU52" i="24"/>
  <c r="BU21" i="6" s="1"/>
  <c r="BR32" i="24"/>
  <c r="BR33" i="24"/>
  <c r="BR31" i="24"/>
  <c r="BU30" i="24"/>
  <c r="BS33" i="24"/>
  <c r="BR68" i="24"/>
  <c r="BR74" i="24"/>
  <c r="BR67" i="24"/>
  <c r="BR66" i="24"/>
  <c r="BU65" i="24"/>
  <c r="BS68" i="24"/>
  <c r="BF15" i="14"/>
  <c r="BP30" i="24"/>
  <c r="BP32" i="24" s="1"/>
  <c r="BN33" i="24"/>
  <c r="BM33" i="24"/>
  <c r="BC28" i="14"/>
  <c r="BC16" i="14"/>
  <c r="BD22" i="14"/>
  <c r="BF38" i="27"/>
  <c r="BD103" i="19"/>
  <c r="BG102" i="19"/>
  <c r="BA30" i="20"/>
  <c r="BA28" i="20" s="1"/>
  <c r="BA27" i="20" s="1"/>
  <c r="BA36" i="20"/>
  <c r="BM31" i="24"/>
  <c r="BP52" i="24"/>
  <c r="BM70" i="24"/>
  <c r="BP40" i="24"/>
  <c r="BM35" i="24"/>
  <c r="BM62" i="19"/>
  <c r="BM9" i="19" s="1"/>
  <c r="BM97" i="20"/>
  <c r="BM16" i="20"/>
  <c r="BM20" i="20" s="1"/>
  <c r="BM23" i="20" s="1"/>
  <c r="BN54" i="24"/>
  <c r="BM91" i="24"/>
  <c r="BM84" i="21"/>
  <c r="BN86" i="21" s="1"/>
  <c r="BM53" i="24"/>
  <c r="BM54" i="24"/>
  <c r="BM8" i="20"/>
  <c r="BM35" i="20" s="1"/>
  <c r="BM86" i="24"/>
  <c r="BM42" i="24"/>
  <c r="BM50" i="24"/>
  <c r="BM21" i="27"/>
  <c r="BM134" i="27" s="1"/>
  <c r="BM135" i="27" s="1"/>
  <c r="BM105" i="20"/>
  <c r="BM107" i="20" s="1"/>
  <c r="BP65" i="24"/>
  <c r="BP78" i="24" s="1"/>
  <c r="BE107" i="19"/>
  <c r="BE101" i="19"/>
  <c r="BE78" i="19"/>
  <c r="BM74" i="24"/>
  <c r="BM63" i="19" s="1"/>
  <c r="BM68" i="24"/>
  <c r="BM66" i="24"/>
  <c r="BK16" i="20"/>
  <c r="BK20" i="20" s="1"/>
  <c r="BK22" i="20" s="1"/>
  <c r="BB78" i="19"/>
  <c r="BD80" i="19"/>
  <c r="BB107" i="19"/>
  <c r="BD109" i="19"/>
  <c r="BH22" i="20"/>
  <c r="BH23" i="20"/>
  <c r="BI23" i="20"/>
  <c r="L58" i="17"/>
  <c r="J58" i="17"/>
  <c r="O58" i="17"/>
  <c r="I58" i="17"/>
  <c r="P58" i="17"/>
  <c r="J64" i="17"/>
  <c r="M64" i="17"/>
  <c r="P64" i="17"/>
  <c r="L64" i="17"/>
  <c r="I64" i="17"/>
  <c r="BC30" i="20"/>
  <c r="BC32" i="20" s="1"/>
  <c r="BC37" i="20"/>
  <c r="BC36" i="20"/>
  <c r="BC147" i="27"/>
  <c r="BF146" i="27"/>
  <c r="BF147" i="27" s="1"/>
  <c r="BH144" i="27"/>
  <c r="BH146" i="27" s="1"/>
  <c r="BH134" i="27"/>
  <c r="BH135" i="27" s="1"/>
  <c r="BC101" i="19"/>
  <c r="BC107" i="19"/>
  <c r="BC78" i="19"/>
  <c r="BC33" i="27"/>
  <c r="BD139" i="27"/>
  <c r="BC139" i="27"/>
  <c r="BC148" i="27"/>
  <c r="BD148" i="27"/>
  <c r="BC34" i="27"/>
  <c r="AX39" i="20"/>
  <c r="BC12" i="14"/>
  <c r="AX28" i="20"/>
  <c r="AX27" i="20" s="1"/>
  <c r="AX31" i="20"/>
  <c r="BM67" i="24"/>
  <c r="BC93" i="21"/>
  <c r="BD113" i="20"/>
  <c r="BC86" i="20"/>
  <c r="BC51" i="20"/>
  <c r="BF10" i="14"/>
  <c r="BF16" i="14" s="1"/>
  <c r="BC22" i="14"/>
  <c r="BF17" i="21"/>
  <c r="BH74" i="24"/>
  <c r="BH76" i="24" s="1"/>
  <c r="BH66" i="24"/>
  <c r="BH67" i="24"/>
  <c r="BF40" i="20"/>
  <c r="BF31" i="27"/>
  <c r="BF33" i="27" s="1"/>
  <c r="BF35" i="20"/>
  <c r="BF36" i="20" s="1"/>
  <c r="BF12" i="20"/>
  <c r="BF93" i="19"/>
  <c r="BF72" i="19"/>
  <c r="BF57" i="19"/>
  <c r="BF75" i="19" s="1"/>
  <c r="BA53" i="20"/>
  <c r="BA56" i="20" s="1"/>
  <c r="BA79" i="20" s="1"/>
  <c r="BB53" i="20"/>
  <c r="BB56" i="20" s="1"/>
  <c r="BB79" i="20" s="1"/>
  <c r="BK42" i="24"/>
  <c r="BA17" i="21"/>
  <c r="G32" i="17"/>
  <c r="O32" i="17" s="1"/>
  <c r="BD109" i="24"/>
  <c r="BD104" i="24"/>
  <c r="BB110" i="24"/>
  <c r="BB115" i="24"/>
  <c r="BB113" i="24"/>
  <c r="BG63" i="19"/>
  <c r="BG76" i="24"/>
  <c r="AZ117" i="24"/>
  <c r="AZ50" i="20"/>
  <c r="AZ71" i="20" s="1"/>
  <c r="BB101" i="19"/>
  <c r="BB102" i="19"/>
  <c r="BB103" i="19"/>
  <c r="BA102" i="19"/>
  <c r="BA101" i="19"/>
  <c r="BB109" i="19"/>
  <c r="BB108" i="19"/>
  <c r="BE82" i="24"/>
  <c r="BE103" i="24"/>
  <c r="P26" i="30" s="1"/>
  <c r="AY57" i="20"/>
  <c r="AY74" i="20"/>
  <c r="BD58" i="19"/>
  <c r="BD104" i="19" s="1"/>
  <c r="BD37" i="19"/>
  <c r="BD46" i="19" s="1"/>
  <c r="BB79" i="19"/>
  <c r="BB80" i="19"/>
  <c r="AY23" i="6"/>
  <c r="BC26" i="24"/>
  <c r="BC27" i="24"/>
  <c r="BC28" i="24"/>
  <c r="BD28" i="24"/>
  <c r="BF51" i="20"/>
  <c r="BF112" i="20"/>
  <c r="BF86" i="20"/>
  <c r="BF114" i="20"/>
  <c r="BF10" i="21"/>
  <c r="BF93" i="21"/>
  <c r="AX28" i="24"/>
  <c r="AY28" i="24"/>
  <c r="AX27" i="24"/>
  <c r="AX26" i="24"/>
  <c r="BF63" i="19"/>
  <c r="BF76" i="24"/>
  <c r="BA15" i="14"/>
  <c r="BA12" i="14"/>
  <c r="BA51" i="20"/>
  <c r="BA114" i="20"/>
  <c r="BA86" i="20"/>
  <c r="BA10" i="21"/>
  <c r="BA112" i="20"/>
  <c r="BA93" i="21"/>
  <c r="BH10" i="14"/>
  <c r="BH9" i="14"/>
  <c r="BA104" i="24"/>
  <c r="BA109" i="24"/>
  <c r="AX35" i="14"/>
  <c r="AX18" i="14"/>
  <c r="AY24" i="14"/>
  <c r="AX30" i="14"/>
  <c r="AX24" i="14"/>
  <c r="BA26" i="24"/>
  <c r="BA27" i="24"/>
  <c r="AX110" i="24"/>
  <c r="AX113" i="24"/>
  <c r="AX115" i="24"/>
  <c r="BC72" i="21"/>
  <c r="BC37" i="21"/>
  <c r="BH31" i="27"/>
  <c r="BH35" i="20"/>
  <c r="BH40" i="20"/>
  <c r="BH12" i="20"/>
  <c r="BC82" i="24"/>
  <c r="BC103" i="24"/>
  <c r="P24" i="30" s="1"/>
  <c r="BK31" i="24"/>
  <c r="BK32" i="24"/>
  <c r="BK35" i="24"/>
  <c r="BK53" i="24"/>
  <c r="BK97" i="20"/>
  <c r="BK50" i="24"/>
  <c r="BK34" i="14"/>
  <c r="BK86" i="24"/>
  <c r="BK70" i="24"/>
  <c r="BK91" i="24"/>
  <c r="BK21" i="6"/>
  <c r="BK62" i="19"/>
  <c r="BK8" i="20"/>
  <c r="BK105" i="20"/>
  <c r="BK106" i="20" s="1"/>
  <c r="BK84" i="21"/>
  <c r="BK85" i="21" s="1"/>
  <c r="BK21" i="27"/>
  <c r="BK36" i="27" s="1"/>
  <c r="BK38" i="27" s="1"/>
  <c r="BH107" i="20"/>
  <c r="BH106" i="20"/>
  <c r="BH86" i="21"/>
  <c r="BH85" i="21"/>
  <c r="BI86" i="21"/>
  <c r="R26" i="30" l="1"/>
  <c r="E26" i="30"/>
  <c r="E28" i="30" s="1"/>
  <c r="S25" i="30"/>
  <c r="I32" i="17"/>
  <c r="J32" i="17"/>
  <c r="G49" i="17"/>
  <c r="O49" i="17" s="1"/>
  <c r="G45" i="17"/>
  <c r="P45" i="17" s="1"/>
  <c r="M32" i="17"/>
  <c r="L32" i="17"/>
  <c r="P32" i="17"/>
  <c r="D87" i="17"/>
  <c r="D93" i="17"/>
  <c r="D96" i="17" s="1"/>
  <c r="D91" i="17"/>
  <c r="R24" i="30"/>
  <c r="BR85" i="21"/>
  <c r="BR86" i="21"/>
  <c r="BS86" i="21"/>
  <c r="BU8" i="20"/>
  <c r="BU84" i="21"/>
  <c r="BU97" i="20"/>
  <c r="BU16" i="20"/>
  <c r="BU20" i="20" s="1"/>
  <c r="BU62" i="19"/>
  <c r="BU21" i="27"/>
  <c r="BU105" i="20"/>
  <c r="BR35" i="20"/>
  <c r="BR31" i="27"/>
  <c r="BR40" i="20"/>
  <c r="BR12" i="20"/>
  <c r="BR111" i="20"/>
  <c r="BR107" i="20"/>
  <c r="BR106" i="20"/>
  <c r="BS107" i="20"/>
  <c r="BR134" i="27"/>
  <c r="BR135" i="27" s="1"/>
  <c r="BR144" i="27"/>
  <c r="BR146" i="27" s="1"/>
  <c r="BR83" i="19"/>
  <c r="BR9" i="19"/>
  <c r="BR22" i="20"/>
  <c r="BR23" i="20"/>
  <c r="BS23" i="20"/>
  <c r="BU74" i="24"/>
  <c r="BU63" i="19" s="1"/>
  <c r="BR63" i="19"/>
  <c r="BU35" i="24"/>
  <c r="BU50" i="24"/>
  <c r="BU70" i="24"/>
  <c r="BU53" i="24"/>
  <c r="BU86" i="24"/>
  <c r="BU91" i="24"/>
  <c r="BR76" i="24"/>
  <c r="BU31" i="24"/>
  <c r="BU32" i="24"/>
  <c r="BU42" i="24"/>
  <c r="BU67" i="24"/>
  <c r="BU66" i="24"/>
  <c r="BU78" i="24"/>
  <c r="BM86" i="21"/>
  <c r="BM85" i="21"/>
  <c r="BA32" i="20"/>
  <c r="BA31" i="20"/>
  <c r="BA39" i="20"/>
  <c r="BC18" i="14"/>
  <c r="BD24" i="14"/>
  <c r="BH21" i="14"/>
  <c r="BH15" i="14"/>
  <c r="BI21" i="14"/>
  <c r="BH16" i="14"/>
  <c r="BH22" i="14"/>
  <c r="BI22" i="14"/>
  <c r="BM31" i="27"/>
  <c r="BM34" i="27" s="1"/>
  <c r="BG107" i="19"/>
  <c r="BG78" i="19"/>
  <c r="BG101" i="19"/>
  <c r="BP16" i="20"/>
  <c r="BP20" i="20" s="1"/>
  <c r="BP22" i="20" s="1"/>
  <c r="BP91" i="24"/>
  <c r="BP21" i="27"/>
  <c r="BP36" i="27" s="1"/>
  <c r="BP38" i="27" s="1"/>
  <c r="BP42" i="24"/>
  <c r="BP86" i="24"/>
  <c r="BP31" i="24"/>
  <c r="BP105" i="20"/>
  <c r="BP106" i="20" s="1"/>
  <c r="BP62" i="19"/>
  <c r="BP93" i="19" s="1"/>
  <c r="BP35" i="24"/>
  <c r="BP53" i="24"/>
  <c r="BP50" i="24"/>
  <c r="BP84" i="21"/>
  <c r="BP85" i="21" s="1"/>
  <c r="BP21" i="6"/>
  <c r="BP8" i="20"/>
  <c r="BP31" i="27" s="1"/>
  <c r="BP66" i="24"/>
  <c r="BP97" i="20"/>
  <c r="BP70" i="24"/>
  <c r="BM83" i="19"/>
  <c r="BM30" i="21" s="1"/>
  <c r="BM22" i="20"/>
  <c r="BM12" i="20"/>
  <c r="BM124" i="19" s="1"/>
  <c r="BM40" i="20"/>
  <c r="BM30" i="20" s="1"/>
  <c r="BN23" i="20"/>
  <c r="BM144" i="27"/>
  <c r="BM146" i="27" s="1"/>
  <c r="BP146" i="27" s="1"/>
  <c r="BP74" i="24"/>
  <c r="BM106" i="20"/>
  <c r="BM111" i="20"/>
  <c r="BM112" i="20" s="1"/>
  <c r="BN107" i="20"/>
  <c r="BM28" i="19"/>
  <c r="BM20" i="21" s="1"/>
  <c r="BM76" i="24"/>
  <c r="BD113" i="24"/>
  <c r="BC39" i="20"/>
  <c r="BC28" i="20"/>
  <c r="BC27" i="20" s="1"/>
  <c r="BC31" i="20"/>
  <c r="BM139" i="27"/>
  <c r="BM138" i="27"/>
  <c r="BN139" i="27"/>
  <c r="BH138" i="27"/>
  <c r="BH139" i="27"/>
  <c r="BI139" i="27"/>
  <c r="BH148" i="27"/>
  <c r="BH147" i="27"/>
  <c r="BK146" i="27"/>
  <c r="BK147" i="27" s="1"/>
  <c r="BI148" i="27"/>
  <c r="BC24" i="14"/>
  <c r="BC30" i="14"/>
  <c r="BC35" i="14"/>
  <c r="BF12" i="14"/>
  <c r="BF18" i="14" s="1"/>
  <c r="BM57" i="19"/>
  <c r="BM17" i="21"/>
  <c r="BM71" i="19"/>
  <c r="BN17" i="21"/>
  <c r="BM36" i="20"/>
  <c r="BM37" i="20"/>
  <c r="BN37" i="20"/>
  <c r="BO67" i="24"/>
  <c r="BL68" i="24"/>
  <c r="BH63" i="19"/>
  <c r="BH103" i="24"/>
  <c r="P28" i="30" s="1"/>
  <c r="BH82" i="24"/>
  <c r="BF25" i="24"/>
  <c r="BF13" i="20"/>
  <c r="BF124" i="19"/>
  <c r="BF125" i="19" s="1"/>
  <c r="BF30" i="20"/>
  <c r="BC53" i="20"/>
  <c r="BC56" i="20" s="1"/>
  <c r="BC79" i="20" s="1"/>
  <c r="AY26" i="21"/>
  <c r="AY72" i="20"/>
  <c r="BF11" i="19"/>
  <c r="BF77" i="19" s="1"/>
  <c r="BF79" i="19" s="1"/>
  <c r="BF29" i="19"/>
  <c r="BF106" i="19" s="1"/>
  <c r="BF108" i="19" s="1"/>
  <c r="BG82" i="24"/>
  <c r="BG103" i="24"/>
  <c r="P27" i="30" s="1"/>
  <c r="BF28" i="19"/>
  <c r="BF58" i="19" s="1"/>
  <c r="BF104" i="19" s="1"/>
  <c r="BE58" i="19"/>
  <c r="BE104" i="19" s="1"/>
  <c r="BE37" i="19"/>
  <c r="BE46" i="19" s="1"/>
  <c r="AZ57" i="20"/>
  <c r="AZ74" i="20"/>
  <c r="BE104" i="24"/>
  <c r="BE109" i="24"/>
  <c r="BI63" i="19"/>
  <c r="BD110" i="24"/>
  <c r="AZ23" i="6"/>
  <c r="BB117" i="24"/>
  <c r="BB50" i="20"/>
  <c r="BB71" i="20" s="1"/>
  <c r="BJ68" i="24"/>
  <c r="BJ67" i="24"/>
  <c r="BJ74" i="24"/>
  <c r="BJ66" i="24"/>
  <c r="BK65" i="24"/>
  <c r="BK35" i="20"/>
  <c r="BK40" i="20"/>
  <c r="BK31" i="27"/>
  <c r="BK33" i="27" s="1"/>
  <c r="BK12" i="20"/>
  <c r="BH30" i="20"/>
  <c r="BH39" i="20" s="1"/>
  <c r="BA30" i="14"/>
  <c r="BA35" i="14"/>
  <c r="BA18" i="14"/>
  <c r="BH124" i="19"/>
  <c r="BI126" i="19" s="1"/>
  <c r="BH14" i="20"/>
  <c r="BH25" i="24"/>
  <c r="M8" i="17" s="1"/>
  <c r="BH13" i="20"/>
  <c r="BI14" i="20"/>
  <c r="BA113" i="24"/>
  <c r="BA110" i="24"/>
  <c r="BA115" i="24"/>
  <c r="BC37" i="19"/>
  <c r="BC46" i="19" s="1"/>
  <c r="BC58" i="19"/>
  <c r="BC104" i="19" s="1"/>
  <c r="BC104" i="24"/>
  <c r="BC109" i="24"/>
  <c r="BF103" i="24"/>
  <c r="BH36" i="20"/>
  <c r="BH37" i="20"/>
  <c r="BI37" i="20"/>
  <c r="BH71" i="19"/>
  <c r="BI74" i="19" s="1"/>
  <c r="BH57" i="19"/>
  <c r="BH75" i="19" s="1"/>
  <c r="BK72" i="19"/>
  <c r="BK93" i="19"/>
  <c r="BK57" i="19"/>
  <c r="BK75" i="19" s="1"/>
  <c r="BF82" i="24"/>
  <c r="BH12" i="14"/>
  <c r="BK9" i="14"/>
  <c r="BK15" i="14" s="1"/>
  <c r="BI34" i="27"/>
  <c r="BH33" i="27"/>
  <c r="BH34" i="27"/>
  <c r="BK10" i="14"/>
  <c r="BK16" i="14" s="1"/>
  <c r="BH112" i="20"/>
  <c r="BH113" i="20"/>
  <c r="BH86" i="20"/>
  <c r="BH114" i="20"/>
  <c r="BH51" i="20"/>
  <c r="BK111" i="20"/>
  <c r="BH93" i="21"/>
  <c r="AX117" i="24"/>
  <c r="AX50" i="20"/>
  <c r="AX71" i="20" s="1"/>
  <c r="O45" i="17" l="1"/>
  <c r="S26" i="30"/>
  <c r="E30" i="30"/>
  <c r="L45" i="17"/>
  <c r="M45" i="17"/>
  <c r="BI101" i="19"/>
  <c r="P49" i="17"/>
  <c r="G47" i="17"/>
  <c r="I47" i="17" s="1"/>
  <c r="J49" i="17"/>
  <c r="I45" i="17"/>
  <c r="I49" i="17"/>
  <c r="L49" i="17"/>
  <c r="M49" i="17"/>
  <c r="J45" i="17"/>
  <c r="I8" i="17"/>
  <c r="O8" i="17"/>
  <c r="L8" i="17"/>
  <c r="P8" i="17"/>
  <c r="J8" i="17"/>
  <c r="R27" i="30"/>
  <c r="E27" i="30"/>
  <c r="S24" i="30"/>
  <c r="R28" i="30"/>
  <c r="G27" i="30"/>
  <c r="BU93" i="19"/>
  <c r="BU57" i="19"/>
  <c r="BU75" i="19" s="1"/>
  <c r="BU72" i="19"/>
  <c r="BR71" i="19"/>
  <c r="BR17" i="21"/>
  <c r="BR57" i="19"/>
  <c r="BS17" i="21"/>
  <c r="BR10" i="21"/>
  <c r="BR93" i="21"/>
  <c r="BR113" i="20"/>
  <c r="BR114" i="20"/>
  <c r="BR112" i="20"/>
  <c r="BR86" i="20"/>
  <c r="BR51" i="20"/>
  <c r="BU111" i="20"/>
  <c r="BS113" i="20"/>
  <c r="BU22" i="20"/>
  <c r="BR30" i="21"/>
  <c r="BU83" i="19"/>
  <c r="BR14" i="20"/>
  <c r="BR124" i="19"/>
  <c r="BR13" i="20"/>
  <c r="BR25" i="24"/>
  <c r="BS14" i="20"/>
  <c r="BU76" i="24"/>
  <c r="BU82" i="24" s="1"/>
  <c r="BR30" i="20"/>
  <c r="BR39" i="20" s="1"/>
  <c r="BU85" i="21"/>
  <c r="BR28" i="19"/>
  <c r="BR148" i="27"/>
  <c r="BR147" i="27"/>
  <c r="BU146" i="27"/>
  <c r="BU147" i="27" s="1"/>
  <c r="BS148" i="27"/>
  <c r="BR33" i="27"/>
  <c r="BR34" i="27"/>
  <c r="BS34" i="27"/>
  <c r="BU40" i="20"/>
  <c r="BU35" i="20"/>
  <c r="BU31" i="27"/>
  <c r="BU33" i="27" s="1"/>
  <c r="BU12" i="20"/>
  <c r="BU58" i="19"/>
  <c r="BU104" i="19" s="1"/>
  <c r="BU101" i="19"/>
  <c r="BR139" i="27"/>
  <c r="BR138" i="27"/>
  <c r="BS139" i="27"/>
  <c r="BR36" i="20"/>
  <c r="BR37" i="20"/>
  <c r="BS37" i="20"/>
  <c r="BU106" i="20"/>
  <c r="BU36" i="27"/>
  <c r="BU38" i="27" s="1"/>
  <c r="BR82" i="24"/>
  <c r="BP67" i="24"/>
  <c r="BK78" i="24"/>
  <c r="BH18" i="14"/>
  <c r="BH24" i="14"/>
  <c r="BI24" i="14"/>
  <c r="BN34" i="27"/>
  <c r="BM33" i="27"/>
  <c r="BP35" i="20"/>
  <c r="BP36" i="20" s="1"/>
  <c r="BP40" i="20"/>
  <c r="BP72" i="19"/>
  <c r="BP57" i="19"/>
  <c r="BP75" i="19" s="1"/>
  <c r="BP12" i="20"/>
  <c r="BP124" i="19" s="1"/>
  <c r="BM25" i="24"/>
  <c r="BM13" i="20"/>
  <c r="BN14" i="20"/>
  <c r="BM14" i="20"/>
  <c r="BM28" i="20"/>
  <c r="BM27" i="20" s="1"/>
  <c r="BP83" i="19"/>
  <c r="BP30" i="21" s="1"/>
  <c r="BM113" i="20"/>
  <c r="BM86" i="20"/>
  <c r="BP63" i="19"/>
  <c r="BP76" i="24"/>
  <c r="BP82" i="24" s="1"/>
  <c r="BM10" i="21"/>
  <c r="BM51" i="20"/>
  <c r="BM147" i="27"/>
  <c r="BN148" i="27"/>
  <c r="BM148" i="27"/>
  <c r="BM93" i="21"/>
  <c r="BN113" i="20"/>
  <c r="BM114" i="20"/>
  <c r="BP111" i="20"/>
  <c r="BP93" i="21" s="1"/>
  <c r="BM58" i="19"/>
  <c r="BM100" i="19"/>
  <c r="BM101" i="19" s="1"/>
  <c r="BN20" i="21"/>
  <c r="BM82" i="24"/>
  <c r="BE113" i="24"/>
  <c r="BP147" i="27"/>
  <c r="BF35" i="14"/>
  <c r="BM32" i="20"/>
  <c r="BM31" i="20"/>
  <c r="BM39" i="20"/>
  <c r="BF30" i="14"/>
  <c r="BH77" i="19"/>
  <c r="BM74" i="19"/>
  <c r="BM72" i="19"/>
  <c r="BM73" i="19"/>
  <c r="BN74" i="19"/>
  <c r="BP17" i="21"/>
  <c r="BM125" i="19"/>
  <c r="BM126" i="19"/>
  <c r="BN126" i="19"/>
  <c r="BP33" i="27"/>
  <c r="BM72" i="21"/>
  <c r="BM37" i="21"/>
  <c r="BH58" i="19"/>
  <c r="BH104" i="19" s="1"/>
  <c r="BH104" i="24"/>
  <c r="BH109" i="24"/>
  <c r="BH113" i="24" s="1"/>
  <c r="BD115" i="24"/>
  <c r="BF39" i="20"/>
  <c r="BF31" i="20"/>
  <c r="BF32" i="20"/>
  <c r="BF28" i="20"/>
  <c r="BF27" i="20" s="1"/>
  <c r="BF26" i="24"/>
  <c r="BF27" i="24"/>
  <c r="BD53" i="20"/>
  <c r="BD56" i="20" s="1"/>
  <c r="BD79" i="20" s="1"/>
  <c r="BK30" i="20"/>
  <c r="BK28" i="20" s="1"/>
  <c r="BK27" i="20" s="1"/>
  <c r="BF107" i="19"/>
  <c r="BF78" i="19"/>
  <c r="BK67" i="24"/>
  <c r="BK66" i="24"/>
  <c r="BJ76" i="24"/>
  <c r="BJ63" i="19"/>
  <c r="BK74" i="24"/>
  <c r="BF100" i="19"/>
  <c r="BF37" i="19"/>
  <c r="BF46" i="19" s="1"/>
  <c r="BB57" i="20"/>
  <c r="BB74" i="20"/>
  <c r="BG58" i="19"/>
  <c r="BG104" i="19" s="1"/>
  <c r="BL102" i="19"/>
  <c r="BG37" i="19"/>
  <c r="BG46" i="19" s="1"/>
  <c r="BG104" i="24"/>
  <c r="BG109" i="24"/>
  <c r="BG113" i="24" s="1"/>
  <c r="AZ72" i="20"/>
  <c r="BB23" i="6"/>
  <c r="BE110" i="24"/>
  <c r="BF20" i="21"/>
  <c r="BF104" i="24"/>
  <c r="BF109" i="24"/>
  <c r="BH72" i="19"/>
  <c r="BH74" i="19"/>
  <c r="BH73" i="19"/>
  <c r="BC113" i="24"/>
  <c r="BC110" i="24"/>
  <c r="BC115" i="24"/>
  <c r="BH35" i="14"/>
  <c r="BH30" i="14"/>
  <c r="BK13" i="20"/>
  <c r="BK124" i="19"/>
  <c r="BK125" i="19" s="1"/>
  <c r="BK25" i="24"/>
  <c r="BH31" i="20"/>
  <c r="BH32" i="20"/>
  <c r="AX23" i="6"/>
  <c r="BK114" i="20"/>
  <c r="BK86" i="20"/>
  <c r="BK10" i="21"/>
  <c r="BK51" i="20"/>
  <c r="BK112" i="20"/>
  <c r="BK93" i="21"/>
  <c r="BH28" i="20"/>
  <c r="BH27" i="20" s="1"/>
  <c r="BH72" i="21"/>
  <c r="BH37" i="21"/>
  <c r="BA117" i="24"/>
  <c r="BA50" i="20"/>
  <c r="BA71" i="20" s="1"/>
  <c r="BH28" i="24"/>
  <c r="BI28" i="24"/>
  <c r="BH27" i="24"/>
  <c r="BH26" i="24"/>
  <c r="BK36" i="20"/>
  <c r="AX57" i="20"/>
  <c r="AX74" i="20"/>
  <c r="AX72" i="20" s="1"/>
  <c r="BH106" i="19"/>
  <c r="BK17" i="21"/>
  <c r="BH125" i="19"/>
  <c r="BH126" i="19"/>
  <c r="BF21" i="21"/>
  <c r="BK12" i="14"/>
  <c r="BK18" i="14" s="1"/>
  <c r="BF19" i="21"/>
  <c r="E31" i="30" l="1"/>
  <c r="J47" i="17"/>
  <c r="BH107" i="19"/>
  <c r="BI109" i="19"/>
  <c r="BH78" i="19"/>
  <c r="BI80" i="19"/>
  <c r="O47" i="17"/>
  <c r="L47" i="17"/>
  <c r="G53" i="17"/>
  <c r="P53" i="17" s="1"/>
  <c r="P47" i="17"/>
  <c r="M47" i="17"/>
  <c r="S28" i="30"/>
  <c r="S27" i="30"/>
  <c r="BR32" i="20"/>
  <c r="BR31" i="20"/>
  <c r="BR125" i="19"/>
  <c r="BR126" i="19"/>
  <c r="BS126" i="19"/>
  <c r="BR28" i="24"/>
  <c r="BS28" i="24"/>
  <c r="BR26" i="24"/>
  <c r="BU124" i="19"/>
  <c r="BU125" i="19" s="1"/>
  <c r="BU13" i="20"/>
  <c r="BU25" i="24"/>
  <c r="BU26" i="24" s="1"/>
  <c r="BR28" i="20"/>
  <c r="BR27" i="20" s="1"/>
  <c r="BU17" i="21"/>
  <c r="BR100" i="19"/>
  <c r="BR58" i="19"/>
  <c r="BR20" i="21"/>
  <c r="BS20" i="21"/>
  <c r="BU93" i="21"/>
  <c r="BU10" i="21"/>
  <c r="BU51" i="20"/>
  <c r="BU86" i="20"/>
  <c r="BU114" i="20"/>
  <c r="BU112" i="20"/>
  <c r="BR72" i="19"/>
  <c r="BR73" i="19"/>
  <c r="BR74" i="19"/>
  <c r="BS74" i="19"/>
  <c r="BU36" i="20"/>
  <c r="BU30" i="21"/>
  <c r="BU84" i="19"/>
  <c r="BU30" i="20"/>
  <c r="BR72" i="21"/>
  <c r="BR37" i="21"/>
  <c r="BM26" i="24"/>
  <c r="BR27" i="24"/>
  <c r="BN28" i="24"/>
  <c r="BM28" i="24"/>
  <c r="BM27" i="24"/>
  <c r="BP30" i="20"/>
  <c r="BP39" i="20" s="1"/>
  <c r="BP13" i="20"/>
  <c r="BP25" i="24"/>
  <c r="BP101" i="19"/>
  <c r="BP84" i="19"/>
  <c r="BP114" i="20"/>
  <c r="BP86" i="20"/>
  <c r="BP112" i="20"/>
  <c r="BP10" i="21"/>
  <c r="BP51" i="20"/>
  <c r="BN103" i="19"/>
  <c r="BM103" i="19"/>
  <c r="BH110" i="24"/>
  <c r="BH37" i="19"/>
  <c r="BH46" i="19" s="1"/>
  <c r="BH100" i="19"/>
  <c r="BP125" i="19"/>
  <c r="BP72" i="21"/>
  <c r="BP37" i="21"/>
  <c r="BF112" i="24"/>
  <c r="BF53" i="20" s="1"/>
  <c r="BF56" i="20" s="1"/>
  <c r="BF79" i="20" s="1"/>
  <c r="BD117" i="24"/>
  <c r="BD50" i="20"/>
  <c r="BD71" i="20" s="1"/>
  <c r="BD57" i="20" s="1"/>
  <c r="BE115" i="24"/>
  <c r="BK39" i="20"/>
  <c r="BE53" i="20"/>
  <c r="BE56" i="20" s="1"/>
  <c r="BK31" i="20"/>
  <c r="BK32" i="20"/>
  <c r="BA7" i="21"/>
  <c r="BB72" i="20"/>
  <c r="BJ82" i="24"/>
  <c r="BN102" i="19"/>
  <c r="BI58" i="19"/>
  <c r="BI104" i="19" s="1"/>
  <c r="BK76" i="24"/>
  <c r="BK63" i="19"/>
  <c r="BG110" i="24"/>
  <c r="BF102" i="19"/>
  <c r="BF101" i="19"/>
  <c r="BL20" i="21"/>
  <c r="BP20" i="21" s="1"/>
  <c r="BK30" i="14"/>
  <c r="BK35" i="14"/>
  <c r="BC117" i="24"/>
  <c r="BC50" i="20"/>
  <c r="BC71" i="20" s="1"/>
  <c r="BH80" i="19"/>
  <c r="BH79" i="19"/>
  <c r="BH108" i="19"/>
  <c r="BH109" i="19"/>
  <c r="BA57" i="20"/>
  <c r="BA74" i="20"/>
  <c r="BA72" i="20" s="1"/>
  <c r="AY83" i="20"/>
  <c r="AY92" i="20" s="1"/>
  <c r="AY96" i="20" s="1"/>
  <c r="BA23" i="6"/>
  <c r="BK27" i="24"/>
  <c r="BK26" i="24"/>
  <c r="BF110" i="24"/>
  <c r="L53" i="17" l="1"/>
  <c r="M53" i="17"/>
  <c r="I53" i="17"/>
  <c r="BM102" i="19"/>
  <c r="BI103" i="19"/>
  <c r="J53" i="17"/>
  <c r="O53" i="17"/>
  <c r="BP28" i="20"/>
  <c r="BP27" i="20" s="1"/>
  <c r="BR102" i="19"/>
  <c r="BR101" i="19"/>
  <c r="BR103" i="19"/>
  <c r="BS103" i="19"/>
  <c r="BU32" i="20"/>
  <c r="BU31" i="20"/>
  <c r="BU28" i="20"/>
  <c r="BU27" i="20" s="1"/>
  <c r="BU72" i="21"/>
  <c r="BU37" i="21"/>
  <c r="BU20" i="21"/>
  <c r="BU39" i="20"/>
  <c r="BP26" i="24"/>
  <c r="BU27" i="24"/>
  <c r="BP27" i="24"/>
  <c r="BP31" i="20"/>
  <c r="BP32" i="20"/>
  <c r="BH102" i="19"/>
  <c r="BH103" i="19"/>
  <c r="BH101" i="19"/>
  <c r="BF115" i="24"/>
  <c r="BF113" i="24"/>
  <c r="BD23" i="6"/>
  <c r="BD74" i="20"/>
  <c r="BE117" i="24"/>
  <c r="BE50" i="20"/>
  <c r="BG53" i="20"/>
  <c r="BG56" i="20" s="1"/>
  <c r="BG79" i="20" s="1"/>
  <c r="BG115" i="24"/>
  <c r="BK28" i="19"/>
  <c r="BP58" i="19" s="1"/>
  <c r="BP104" i="19" s="1"/>
  <c r="BK20" i="21"/>
  <c r="BJ58" i="19"/>
  <c r="BJ104" i="19" s="1"/>
  <c r="BJ100" i="19"/>
  <c r="BK82" i="24"/>
  <c r="BC57" i="20"/>
  <c r="BC74" i="20"/>
  <c r="BC72" i="20" s="1"/>
  <c r="BC23" i="6"/>
  <c r="AY64" i="21"/>
  <c r="AY67" i="19"/>
  <c r="AY71" i="21"/>
  <c r="AY74" i="21" s="1"/>
  <c r="AZ26" i="21"/>
  <c r="BE71" i="20" l="1"/>
  <c r="BE73" i="20" s="1"/>
  <c r="BF117" i="24"/>
  <c r="BF23" i="6" s="1"/>
  <c r="BF50" i="20"/>
  <c r="BF71" i="20" s="1"/>
  <c r="BF57" i="20" s="1"/>
  <c r="BL103" i="19"/>
  <c r="BO102" i="19"/>
  <c r="BG117" i="24"/>
  <c r="BD72" i="20"/>
  <c r="BE23" i="6"/>
  <c r="BH53" i="20"/>
  <c r="BH56" i="20" s="1"/>
  <c r="BH115" i="24"/>
  <c r="BG50" i="20"/>
  <c r="BG71" i="20" s="1"/>
  <c r="BG57" i="20" s="1"/>
  <c r="BK100" i="19"/>
  <c r="BP102" i="19" s="1"/>
  <c r="BK58" i="19"/>
  <c r="BK104" i="19" s="1"/>
  <c r="BJ102" i="19"/>
  <c r="BJ101" i="19"/>
  <c r="BJ103" i="19"/>
  <c r="AY77" i="21"/>
  <c r="AY75" i="21"/>
  <c r="AY94" i="21"/>
  <c r="AY126" i="24"/>
  <c r="AY68" i="19"/>
  <c r="AZ83" i="20"/>
  <c r="BB82" i="19"/>
  <c r="BB86" i="19" s="1"/>
  <c r="BA16" i="19"/>
  <c r="BF82" i="19" s="1"/>
  <c r="BF86" i="19" l="1"/>
  <c r="BF89" i="19"/>
  <c r="BF87" i="19" s="1"/>
  <c r="BE74" i="20"/>
  <c r="BE72" i="20" s="1"/>
  <c r="BE57" i="20"/>
  <c r="BG23" i="6"/>
  <c r="BF74" i="20"/>
  <c r="BF72" i="20" s="1"/>
  <c r="AY127" i="24"/>
  <c r="AY78" i="21"/>
  <c r="BF7" i="21"/>
  <c r="BG74" i="20"/>
  <c r="BH117" i="24"/>
  <c r="BH50" i="20"/>
  <c r="BH71" i="20" s="1"/>
  <c r="BH57" i="20" s="1"/>
  <c r="BH79" i="20"/>
  <c r="BK102" i="19"/>
  <c r="BK101" i="19"/>
  <c r="AZ67" i="19"/>
  <c r="AZ64" i="21"/>
  <c r="AZ71" i="21"/>
  <c r="AZ74" i="21" s="1"/>
  <c r="AX13" i="19"/>
  <c r="AX23" i="19" s="1"/>
  <c r="AX52" i="19"/>
  <c r="AX54" i="19" s="1"/>
  <c r="AX55" i="19" s="1"/>
  <c r="BG72" i="20" l="1"/>
  <c r="BH74" i="20"/>
  <c r="BH23" i="6"/>
  <c r="AZ75" i="21"/>
  <c r="AZ126" i="24"/>
  <c r="AZ94" i="21"/>
  <c r="AZ76" i="21"/>
  <c r="AZ68" i="19"/>
  <c r="AZ77" i="21"/>
  <c r="AX56" i="19"/>
  <c r="AX50" i="19"/>
  <c r="AX60" i="19" s="1"/>
  <c r="AZ127" i="24" l="1"/>
  <c r="AZ78" i="21"/>
  <c r="BH72" i="20"/>
  <c r="BB83" i="20"/>
  <c r="BB26" i="21"/>
  <c r="BB67" i="19" l="1"/>
  <c r="BB64" i="21"/>
  <c r="BB71" i="21"/>
  <c r="BC83" i="20" l="1"/>
  <c r="BC26" i="21"/>
  <c r="BC67" i="19" s="1"/>
  <c r="BC71" i="21" l="1"/>
  <c r="BC74" i="21" s="1"/>
  <c r="BC68" i="19" s="1"/>
  <c r="BC64" i="21"/>
  <c r="BD83" i="20" l="1"/>
  <c r="BD26" i="21"/>
  <c r="BC77" i="21"/>
  <c r="BC126" i="24"/>
  <c r="BC94" i="21"/>
  <c r="BC127" i="24" l="1"/>
  <c r="BC78" i="21"/>
  <c r="BD64" i="21"/>
  <c r="BD67" i="19"/>
  <c r="BD71" i="21"/>
  <c r="BD74" i="21" s="1"/>
  <c r="BF16" i="19"/>
  <c r="BE83" i="20" l="1"/>
  <c r="BE92" i="20" s="1"/>
  <c r="BE100" i="20" s="1"/>
  <c r="BE26" i="21"/>
  <c r="BF8" i="21"/>
  <c r="BD126" i="24"/>
  <c r="BD75" i="21"/>
  <c r="BD68" i="19"/>
  <c r="BD77" i="21"/>
  <c r="BD94" i="21"/>
  <c r="BD76" i="21"/>
  <c r="BK82" i="19"/>
  <c r="BD127" i="24" l="1"/>
  <c r="BD78" i="21"/>
  <c r="BH82" i="19"/>
  <c r="BH86" i="19" s="1"/>
  <c r="BF83" i="20"/>
  <c r="BF26" i="21"/>
  <c r="BE67" i="19"/>
  <c r="BE64" i="21"/>
  <c r="BE71" i="21"/>
  <c r="BE74" i="21" s="1"/>
  <c r="BE124" i="24"/>
  <c r="BE95" i="20"/>
  <c r="BE125" i="24" s="1"/>
  <c r="BE88" i="21"/>
  <c r="BF67" i="19" l="1"/>
  <c r="BF71" i="21"/>
  <c r="BG83" i="20"/>
  <c r="BG26" i="21"/>
  <c r="BE76" i="21"/>
  <c r="BE75" i="21"/>
  <c r="BE94" i="21"/>
  <c r="BE126" i="24"/>
  <c r="BE68" i="19"/>
  <c r="BE77" i="21"/>
  <c r="BH89" i="19"/>
  <c r="BE127" i="24" l="1"/>
  <c r="BE78" i="21"/>
  <c r="BG67" i="19"/>
  <c r="BG64" i="21"/>
  <c r="BG71" i="21"/>
  <c r="BG74" i="21" s="1"/>
  <c r="BH80" i="20"/>
  <c r="BH87" i="19"/>
  <c r="BG77" i="21" l="1"/>
  <c r="BG68" i="19"/>
  <c r="BG76" i="21"/>
  <c r="BG94" i="21"/>
  <c r="BG126" i="24"/>
  <c r="BH83" i="20"/>
  <c r="BH92" i="20" s="1"/>
  <c r="BH26" i="21"/>
  <c r="BG127" i="24" l="1"/>
  <c r="BG78" i="21"/>
  <c r="BH124" i="24"/>
  <c r="BH95" i="20"/>
  <c r="BH125" i="24" s="1"/>
  <c r="BH88" i="21"/>
  <c r="BH67" i="19"/>
  <c r="BH71" i="21"/>
  <c r="BH74" i="21" s="1"/>
  <c r="BH64" i="21"/>
  <c r="BJ82" i="19"/>
  <c r="BJ86" i="19" s="1"/>
  <c r="BH75" i="21" l="1"/>
  <c r="BH126" i="24"/>
  <c r="BH68" i="19"/>
  <c r="BH76" i="21"/>
  <c r="BH77" i="21"/>
  <c r="BH94" i="21"/>
  <c r="BH127" i="24" l="1"/>
  <c r="BH78" i="21"/>
  <c r="BK16" i="19"/>
  <c r="BP82" i="19" s="1"/>
  <c r="BJ80" i="20"/>
  <c r="BJ83" i="20" l="1"/>
  <c r="BK8" i="21"/>
  <c r="BK83" i="20" l="1"/>
  <c r="AX83" i="20" l="1"/>
  <c r="AX67" i="19"/>
  <c r="BA8" i="21"/>
  <c r="BA83" i="20" s="1"/>
  <c r="BA26" i="21" l="1"/>
  <c r="BA67" i="19" s="1"/>
  <c r="AX71" i="21"/>
  <c r="AX72" i="21"/>
  <c r="AX83" i="19"/>
  <c r="AX84" i="19" s="1"/>
  <c r="AX37" i="21"/>
  <c r="AX64" i="21" s="1"/>
  <c r="AX68" i="21" s="1"/>
  <c r="AY67" i="21" s="1"/>
  <c r="AY68" i="21" s="1"/>
  <c r="BA83" i="19" l="1"/>
  <c r="BA30" i="21" s="1"/>
  <c r="AX74" i="21"/>
  <c r="AX126" i="24" s="1"/>
  <c r="BA71" i="21"/>
  <c r="AZ67" i="21"/>
  <c r="AZ68" i="21" s="1"/>
  <c r="BA84" i="19" l="1"/>
  <c r="AX77" i="21"/>
  <c r="AX76" i="21"/>
  <c r="AX94" i="21"/>
  <c r="AY76" i="21"/>
  <c r="BC75" i="21"/>
  <c r="AX75" i="21"/>
  <c r="AX68" i="19"/>
  <c r="BA37" i="21"/>
  <c r="BA64" i="21" s="1"/>
  <c r="BA68" i="21" s="1"/>
  <c r="BB67" i="21" s="1"/>
  <c r="BA72" i="21"/>
  <c r="BA74" i="21" s="1"/>
  <c r="BA7" i="19"/>
  <c r="AZ52" i="19"/>
  <c r="AZ54" i="19" s="1"/>
  <c r="AZ55" i="19" s="1"/>
  <c r="AZ13" i="19"/>
  <c r="AZ23" i="19" s="1"/>
  <c r="AY13" i="19"/>
  <c r="AY23" i="19" s="1"/>
  <c r="AY52" i="19"/>
  <c r="AY54" i="19" s="1"/>
  <c r="AY55" i="19" s="1"/>
  <c r="AX127" i="24" l="1"/>
  <c r="AX78" i="21"/>
  <c r="AY50" i="19"/>
  <c r="AY60" i="19" s="1"/>
  <c r="AY56" i="19"/>
  <c r="BA13" i="19"/>
  <c r="BA23" i="19" s="1"/>
  <c r="BA52" i="19"/>
  <c r="BA54" i="19" s="1"/>
  <c r="BA55" i="19" s="1"/>
  <c r="BA126" i="24"/>
  <c r="BA77" i="21"/>
  <c r="BA78" i="21" s="1"/>
  <c r="BA68" i="19"/>
  <c r="BA94" i="21"/>
  <c r="BA75" i="21"/>
  <c r="BA48" i="19"/>
  <c r="AZ56" i="19"/>
  <c r="AZ50" i="19"/>
  <c r="AZ60" i="19" s="1"/>
  <c r="BB68" i="21"/>
  <c r="BF67" i="21"/>
  <c r="BA127" i="24" l="1"/>
  <c r="BC67" i="21"/>
  <c r="BC68" i="21" s="1"/>
  <c r="BA50" i="19"/>
  <c r="BA60" i="19" s="1"/>
  <c r="BA56" i="19"/>
  <c r="BD67" i="21" l="1"/>
  <c r="BD68" i="21" s="1"/>
  <c r="BB52" i="19"/>
  <c r="BB54" i="19" s="1"/>
  <c r="BB55" i="19" s="1"/>
  <c r="BB13" i="19"/>
  <c r="BB23" i="19" l="1"/>
  <c r="BB48" i="19" s="1"/>
  <c r="BE67" i="21"/>
  <c r="BE68" i="21" s="1"/>
  <c r="BG67" i="21" s="1"/>
  <c r="BC13" i="19"/>
  <c r="BC23" i="19" s="1"/>
  <c r="BC52" i="19"/>
  <c r="BC54" i="19" s="1"/>
  <c r="BC55" i="19" s="1"/>
  <c r="BB56" i="19" l="1"/>
  <c r="BB50" i="19"/>
  <c r="BB60" i="19" s="1"/>
  <c r="BE52" i="19"/>
  <c r="BE54" i="19" s="1"/>
  <c r="BE55" i="19" s="1"/>
  <c r="BE13" i="19"/>
  <c r="BE23" i="19" s="1"/>
  <c r="BF7" i="19"/>
  <c r="BD52" i="19"/>
  <c r="BD54" i="19" s="1"/>
  <c r="BD55" i="19" s="1"/>
  <c r="BD13" i="19"/>
  <c r="BD23" i="19" s="1"/>
  <c r="BC56" i="19"/>
  <c r="BC50" i="19"/>
  <c r="BC60" i="19" s="1"/>
  <c r="BF52" i="19" l="1"/>
  <c r="BF54" i="19" s="1"/>
  <c r="BF55" i="19" s="1"/>
  <c r="BF13" i="19"/>
  <c r="BF23" i="19" s="1"/>
  <c r="BF48" i="19"/>
  <c r="BE56" i="19"/>
  <c r="BE50" i="19"/>
  <c r="BE60" i="19" s="1"/>
  <c r="BD56" i="19"/>
  <c r="BD50" i="19"/>
  <c r="BD60" i="19" s="1"/>
  <c r="BF50" i="19" l="1"/>
  <c r="BF60" i="19" s="1"/>
  <c r="BF56" i="19"/>
  <c r="AX85" i="19" l="1"/>
  <c r="AX89" i="19" s="1"/>
  <c r="AX87" i="19" l="1"/>
  <c r="AX86" i="19"/>
  <c r="AX92" i="20" l="1"/>
  <c r="AX124" i="24" s="1"/>
  <c r="AX94" i="19"/>
  <c r="AX95" i="19" s="1"/>
  <c r="AX88" i="21" l="1"/>
  <c r="AX98" i="19"/>
  <c r="AX96" i="19" s="1"/>
  <c r="AX94" i="20"/>
  <c r="AX95" i="20"/>
  <c r="AX125" i="24" s="1"/>
  <c r="AX93" i="20"/>
  <c r="AX90" i="21" l="1"/>
  <c r="AX89" i="21"/>
  <c r="AY85" i="19"/>
  <c r="AY89" i="19" l="1"/>
  <c r="AY87" i="19" s="1"/>
  <c r="AY86" i="19"/>
  <c r="AY124" i="24"/>
  <c r="AY94" i="19"/>
  <c r="AY98" i="19" s="1"/>
  <c r="AY95" i="19" l="1"/>
  <c r="AY96" i="19"/>
  <c r="AY94" i="20"/>
  <c r="AY88" i="21"/>
  <c r="AY95" i="20"/>
  <c r="AY125" i="24" s="1"/>
  <c r="AY93" i="20"/>
  <c r="AY90" i="21" l="1"/>
  <c r="AY89" i="21"/>
  <c r="BB13" i="27" l="1"/>
  <c r="AZ13" i="27"/>
  <c r="BA11" i="27"/>
  <c r="BA12" i="27" s="1"/>
  <c r="AZ12" i="27"/>
  <c r="AZ85" i="19" l="1"/>
  <c r="BA85" i="19" s="1"/>
  <c r="BA80" i="20" l="1"/>
  <c r="BA89" i="19"/>
  <c r="BA87" i="19" s="1"/>
  <c r="BA86" i="19"/>
  <c r="AZ89" i="19"/>
  <c r="AZ87" i="19" s="1"/>
  <c r="AZ86" i="19"/>
  <c r="AZ94" i="19"/>
  <c r="AZ98" i="19" s="1"/>
  <c r="AZ92" i="20"/>
  <c r="AZ93" i="20" s="1"/>
  <c r="BA94" i="19" l="1"/>
  <c r="BA95" i="19" s="1"/>
  <c r="AZ124" i="24"/>
  <c r="AZ95" i="19"/>
  <c r="AZ95" i="20"/>
  <c r="AZ125" i="24" s="1"/>
  <c r="AZ96" i="19"/>
  <c r="AZ88" i="21"/>
  <c r="AZ94" i="20"/>
  <c r="BE93" i="20"/>
  <c r="BA98" i="19" l="1"/>
  <c r="BA96" i="19" s="1"/>
  <c r="BA81" i="20"/>
  <c r="BA92" i="20" s="1"/>
  <c r="BA93" i="20" s="1"/>
  <c r="BE89" i="21"/>
  <c r="AZ90" i="21"/>
  <c r="AZ89" i="21"/>
  <c r="BA124" i="24" l="1"/>
  <c r="BA88" i="21"/>
  <c r="BA89" i="21" s="1"/>
  <c r="BA95" i="20"/>
  <c r="BA125" i="24" s="1"/>
  <c r="BB72" i="21"/>
  <c r="BB74" i="21" s="1"/>
  <c r="BB68" i="19" l="1"/>
  <c r="BB76" i="21"/>
  <c r="BB126" i="24"/>
  <c r="BB94" i="21"/>
  <c r="BB75" i="21"/>
  <c r="BB77" i="21"/>
  <c r="BC76" i="21"/>
  <c r="BG75" i="21"/>
  <c r="BF30" i="21"/>
  <c r="BB127" i="24" l="1"/>
  <c r="BB78" i="21"/>
  <c r="BF37" i="21"/>
  <c r="BF64" i="21" s="1"/>
  <c r="BF68" i="21" s="1"/>
  <c r="BF72" i="21"/>
  <c r="BF74" i="21" s="1"/>
  <c r="BF94" i="21" l="1"/>
  <c r="BF75" i="21"/>
  <c r="BF68" i="19"/>
  <c r="BF77" i="21"/>
  <c r="BF126" i="24"/>
  <c r="BG68" i="21"/>
  <c r="BK67" i="21"/>
  <c r="BF78" i="21" l="1"/>
  <c r="BF127" i="24"/>
  <c r="BH67" i="21"/>
  <c r="BH68" i="21" s="1"/>
  <c r="BG52" i="19" l="1"/>
  <c r="BG54" i="19" s="1"/>
  <c r="BG55" i="19" s="1"/>
  <c r="BG13" i="19"/>
  <c r="BG23" i="19" s="1"/>
  <c r="BI67" i="21"/>
  <c r="BH13" i="19" l="1"/>
  <c r="BH52" i="19"/>
  <c r="BH54" i="19" s="1"/>
  <c r="BH55" i="19" s="1"/>
  <c r="BG50" i="19"/>
  <c r="BG60" i="19" s="1"/>
  <c r="BG56" i="19"/>
  <c r="BH23" i="19" l="1"/>
  <c r="BH56" i="19" l="1"/>
  <c r="BH50" i="19"/>
  <c r="BH60" i="19" s="1"/>
  <c r="BB89" i="19" l="1"/>
  <c r="BB87" i="19" s="1"/>
  <c r="BB98" i="19" l="1"/>
  <c r="BB96" i="19" s="1"/>
  <c r="BB92" i="20"/>
  <c r="BB124" i="24" s="1"/>
  <c r="BB88" i="21" l="1"/>
  <c r="BB94" i="20"/>
  <c r="BB95" i="20"/>
  <c r="BB125" i="24" s="1"/>
  <c r="BB93" i="20"/>
  <c r="BB89" i="21" l="1"/>
  <c r="BB90" i="21"/>
  <c r="BC12" i="27" l="1"/>
  <c r="BC8" i="27"/>
  <c r="BC17" i="27" l="1"/>
  <c r="BC9" i="27"/>
  <c r="BC51" i="27" l="1"/>
  <c r="BC52" i="27"/>
  <c r="BC18" i="27"/>
  <c r="BC19" i="27"/>
  <c r="BD12" i="27"/>
  <c r="BD51" i="27" l="1"/>
  <c r="BD52" i="27"/>
  <c r="BD9" i="27"/>
  <c r="BD8" i="27"/>
  <c r="BD17" i="27"/>
  <c r="BI18" i="27" s="1"/>
  <c r="BD18" i="27" l="1"/>
  <c r="BD19" i="27"/>
  <c r="BF11" i="27"/>
  <c r="BF12" i="27" s="1"/>
  <c r="BE9" i="27"/>
  <c r="BE12" i="27"/>
  <c r="BF7" i="27" l="1"/>
  <c r="BG11" i="27" s="1"/>
  <c r="BG12" i="27" s="1"/>
  <c r="BE8" i="27"/>
  <c r="BE17" i="27"/>
  <c r="BG13" i="27" l="1"/>
  <c r="BF8" i="27"/>
  <c r="BF17" i="27"/>
  <c r="BF18" i="27" s="1"/>
  <c r="BE51" i="27"/>
  <c r="BE52" i="27"/>
  <c r="BF50" i="27"/>
  <c r="BF51" i="27" s="1"/>
  <c r="BG8" i="27"/>
  <c r="BG9" i="27"/>
  <c r="BG17" i="27"/>
  <c r="BG50" i="27"/>
  <c r="P5" i="28" s="1"/>
  <c r="P6" i="28" s="1"/>
  <c r="BE18" i="27"/>
  <c r="BE19" i="27"/>
  <c r="BG19" i="27" l="1"/>
  <c r="BG18" i="27"/>
  <c r="BG52" i="27"/>
  <c r="BG51" i="27"/>
  <c r="BC95" i="19" l="1"/>
  <c r="BC98" i="19"/>
  <c r="BC96" i="19" s="1"/>
  <c r="BC81" i="20"/>
  <c r="BF94" i="19"/>
  <c r="BF95" i="19" s="1"/>
  <c r="BF98" i="19" l="1"/>
  <c r="BF96" i="19" s="1"/>
  <c r="BF81" i="20"/>
  <c r="BG89" i="19" l="1"/>
  <c r="BK85" i="19"/>
  <c r="BK86" i="19" l="1"/>
  <c r="BG92" i="20"/>
  <c r="BG87" i="19"/>
  <c r="BK80" i="20"/>
  <c r="BG94" i="20" l="1"/>
  <c r="BG88" i="21"/>
  <c r="BG93" i="20"/>
  <c r="BG124" i="24"/>
  <c r="BG95" i="20"/>
  <c r="BG125" i="24" s="1"/>
  <c r="BH94" i="20"/>
  <c r="BH90" i="21" l="1"/>
  <c r="BG89" i="21"/>
  <c r="BG90" i="21"/>
  <c r="BF80" i="20"/>
  <c r="BF92" i="20" s="1"/>
  <c r="BF93" i="20" s="1"/>
  <c r="BC80" i="20"/>
  <c r="BC92" i="20" s="1"/>
  <c r="BC124" i="24" s="1"/>
  <c r="BD80" i="20"/>
  <c r="BD92" i="20" s="1"/>
  <c r="BE94" i="20" s="1"/>
  <c r="BC88" i="21" l="1"/>
  <c r="BC89" i="21" s="1"/>
  <c r="BF95" i="20"/>
  <c r="BF125" i="24" s="1"/>
  <c r="BD95" i="20"/>
  <c r="BD125" i="24" s="1"/>
  <c r="BD93" i="20"/>
  <c r="BC93" i="20"/>
  <c r="BC94" i="20"/>
  <c r="BD88" i="21"/>
  <c r="BD94" i="20"/>
  <c r="BD124" i="24"/>
  <c r="BF88" i="21"/>
  <c r="BH93" i="20"/>
  <c r="BF124" i="24"/>
  <c r="BC95" i="20"/>
  <c r="BC125" i="24" s="1"/>
  <c r="BH89" i="21" l="1"/>
  <c r="BC90" i="21"/>
  <c r="BF89" i="21"/>
  <c r="BD90" i="21"/>
  <c r="BD89" i="21"/>
  <c r="BE90" i="21"/>
  <c r="BH50" i="27" l="1"/>
  <c r="BH52" i="27" l="1"/>
  <c r="BI52" i="27"/>
  <c r="BH17" i="27"/>
  <c r="BH8" i="27"/>
  <c r="BH9" i="27"/>
  <c r="Q5" i="28"/>
  <c r="Q6" i="28" s="1"/>
  <c r="BH51" i="27"/>
  <c r="BH19" i="27" l="1"/>
  <c r="BI19" i="27"/>
  <c r="BH18" i="27"/>
  <c r="R5" i="28" l="1"/>
  <c r="R6" i="28" s="1"/>
  <c r="BJ9" i="27"/>
  <c r="BK7" i="27"/>
  <c r="BJ17" i="27"/>
  <c r="BJ50" i="27"/>
  <c r="BJ8" i="27"/>
  <c r="BJ51" i="27" l="1"/>
  <c r="BJ52" i="27"/>
  <c r="BK50" i="27"/>
  <c r="BK51" i="27" s="1"/>
  <c r="S5" i="28"/>
  <c r="S6" i="28" s="1"/>
  <c r="BJ18" i="27"/>
  <c r="BJ19" i="27"/>
  <c r="BK8" i="27"/>
  <c r="BK17" i="27"/>
  <c r="BK18" i="27" s="1"/>
  <c r="BK95" i="24" l="1"/>
  <c r="BK97" i="24" s="1"/>
  <c r="G69" i="17"/>
  <c r="BI64" i="19"/>
  <c r="P29" i="30"/>
  <c r="BJ96" i="24"/>
  <c r="BJ97" i="24"/>
  <c r="BL95" i="24"/>
  <c r="BJ100" i="24"/>
  <c r="BK100" i="24" l="1"/>
  <c r="BK64" i="19" s="1"/>
  <c r="BK96" i="24"/>
  <c r="R29" i="30"/>
  <c r="F26" i="30"/>
  <c r="P69" i="17"/>
  <c r="G75" i="17"/>
  <c r="M69" i="17"/>
  <c r="I69" i="17"/>
  <c r="L69" i="17"/>
  <c r="O69" i="17"/>
  <c r="G70" i="17"/>
  <c r="J69" i="17"/>
  <c r="BI107" i="19"/>
  <c r="BI78" i="19"/>
  <c r="BJ101" i="24"/>
  <c r="BJ64" i="19"/>
  <c r="BJ103" i="24"/>
  <c r="P30" i="30" s="1"/>
  <c r="R30" i="30" s="1"/>
  <c r="S30" i="30" s="1"/>
  <c r="BL97" i="24"/>
  <c r="BL96" i="24"/>
  <c r="BM95" i="24"/>
  <c r="BL100" i="24"/>
  <c r="BK101" i="24" l="1"/>
  <c r="O75" i="17"/>
  <c r="G76" i="17"/>
  <c r="G78" i="17"/>
  <c r="J75" i="17"/>
  <c r="P75" i="17"/>
  <c r="L75" i="17"/>
  <c r="I75" i="17"/>
  <c r="M75" i="17"/>
  <c r="F28" i="30"/>
  <c r="F27" i="30"/>
  <c r="I70" i="17"/>
  <c r="L70" i="17"/>
  <c r="M70" i="17"/>
  <c r="P70" i="17"/>
  <c r="J70" i="17"/>
  <c r="O70" i="17"/>
  <c r="S29" i="30"/>
  <c r="F30" i="30"/>
  <c r="G33" i="30"/>
  <c r="BL101" i="24"/>
  <c r="BL64" i="19"/>
  <c r="BL103" i="24"/>
  <c r="BM96" i="24"/>
  <c r="BM97" i="24"/>
  <c r="BM100" i="24"/>
  <c r="BN95" i="24"/>
  <c r="BJ104" i="24"/>
  <c r="BJ109" i="24"/>
  <c r="BI37" i="19"/>
  <c r="BI46" i="19" s="1"/>
  <c r="BK103" i="24"/>
  <c r="L78" i="17" l="1"/>
  <c r="M78" i="17"/>
  <c r="J78" i="17"/>
  <c r="P78" i="17"/>
  <c r="G79" i="17"/>
  <c r="G86" i="17"/>
  <c r="L76" i="17"/>
  <c r="I76" i="17"/>
  <c r="P76" i="17"/>
  <c r="O76" i="17"/>
  <c r="M76" i="17"/>
  <c r="J76" i="17"/>
  <c r="F31" i="30"/>
  <c r="G34" i="30"/>
  <c r="BI50" i="20"/>
  <c r="BI71" i="20" s="1"/>
  <c r="BI74" i="20" s="1"/>
  <c r="BM101" i="24"/>
  <c r="BM64" i="19"/>
  <c r="BM103" i="24"/>
  <c r="BI23" i="6"/>
  <c r="BL29" i="19"/>
  <c r="BL11" i="19"/>
  <c r="BN97" i="24"/>
  <c r="BN96" i="24"/>
  <c r="BN100" i="24"/>
  <c r="BO95" i="24"/>
  <c r="BJ106" i="19"/>
  <c r="BJ107" i="19" s="1"/>
  <c r="BJ37" i="19"/>
  <c r="BJ46" i="19" s="1"/>
  <c r="BK21" i="21"/>
  <c r="BK29" i="19"/>
  <c r="BJ77" i="19"/>
  <c r="BJ78" i="19" s="1"/>
  <c r="BK19" i="21"/>
  <c r="BK11" i="19"/>
  <c r="BK77" i="19" s="1"/>
  <c r="BJ110" i="24"/>
  <c r="BK104" i="24"/>
  <c r="BK109" i="24"/>
  <c r="BL104" i="24"/>
  <c r="BL109" i="24"/>
  <c r="BI53" i="20"/>
  <c r="BI56" i="20" s="1"/>
  <c r="BI79" i="20" s="1"/>
  <c r="BI92" i="20" l="1"/>
  <c r="J79" i="17"/>
  <c r="P79" i="17"/>
  <c r="L79" i="17"/>
  <c r="M79" i="17"/>
  <c r="O86" i="17"/>
  <c r="P86" i="17"/>
  <c r="L86" i="17"/>
  <c r="I86" i="17"/>
  <c r="M86" i="17"/>
  <c r="G87" i="17"/>
  <c r="J86" i="17"/>
  <c r="BJ53" i="20"/>
  <c r="BJ56" i="20" s="1"/>
  <c r="BJ79" i="20" s="1"/>
  <c r="G90" i="17"/>
  <c r="O90" i="17" s="1"/>
  <c r="BI93" i="20"/>
  <c r="BI95" i="20"/>
  <c r="BI94" i="20"/>
  <c r="BK112" i="24"/>
  <c r="BK53" i="20" s="1"/>
  <c r="BK56" i="20" s="1"/>
  <c r="BJ115" i="24"/>
  <c r="BJ117" i="24" s="1"/>
  <c r="BJ23" i="6" s="1"/>
  <c r="BK78" i="19"/>
  <c r="BK79" i="19"/>
  <c r="BO97" i="24"/>
  <c r="BO96" i="24"/>
  <c r="BO100" i="24"/>
  <c r="BQ95" i="24"/>
  <c r="BK110" i="24"/>
  <c r="BM29" i="19"/>
  <c r="BM11" i="19"/>
  <c r="BJ79" i="19"/>
  <c r="BJ80" i="19"/>
  <c r="BJ108" i="19"/>
  <c r="BJ109" i="19"/>
  <c r="BN101" i="24"/>
  <c r="BN64" i="19"/>
  <c r="BN103" i="24"/>
  <c r="BK37" i="19"/>
  <c r="BK46" i="19" s="1"/>
  <c r="BK106" i="19"/>
  <c r="BM104" i="24"/>
  <c r="BM109" i="24"/>
  <c r="BL77" i="19"/>
  <c r="BL19" i="21"/>
  <c r="BI57" i="20"/>
  <c r="BL37" i="19"/>
  <c r="BL46" i="19" s="1"/>
  <c r="BL106" i="19"/>
  <c r="BL21" i="21"/>
  <c r="BL110" i="24"/>
  <c r="BL112" i="24"/>
  <c r="BP95" i="24"/>
  <c r="G93" i="17" l="1"/>
  <c r="M93" i="17" s="1"/>
  <c r="G91" i="17"/>
  <c r="L91" i="17" s="1"/>
  <c r="P90" i="17"/>
  <c r="M90" i="17"/>
  <c r="J90" i="17"/>
  <c r="I90" i="17"/>
  <c r="L87" i="17"/>
  <c r="P87" i="17"/>
  <c r="M87" i="17"/>
  <c r="J87" i="17"/>
  <c r="I87" i="17"/>
  <c r="O87" i="17"/>
  <c r="L90" i="17"/>
  <c r="BK113" i="24"/>
  <c r="L93" i="17"/>
  <c r="BK115" i="24"/>
  <c r="BK117" i="24" s="1"/>
  <c r="BK23" i="6" s="1"/>
  <c r="BJ50" i="20"/>
  <c r="BJ71" i="20" s="1"/>
  <c r="BJ74" i="20" s="1"/>
  <c r="BQ96" i="24"/>
  <c r="BQ97" i="24"/>
  <c r="BQ100" i="24"/>
  <c r="BR95" i="24"/>
  <c r="BI72" i="20"/>
  <c r="BO101" i="24"/>
  <c r="BO64" i="19"/>
  <c r="BO103" i="24"/>
  <c r="BL53" i="20"/>
  <c r="BL56" i="20" s="1"/>
  <c r="BK108" i="19"/>
  <c r="BK107" i="19"/>
  <c r="BL115" i="24"/>
  <c r="BK79" i="20"/>
  <c r="BL79" i="19"/>
  <c r="BL80" i="19"/>
  <c r="BN104" i="24"/>
  <c r="BN109" i="24"/>
  <c r="BN11" i="19"/>
  <c r="BN29" i="19"/>
  <c r="BM19" i="21"/>
  <c r="BM77" i="19"/>
  <c r="BP100" i="24"/>
  <c r="BP96" i="24"/>
  <c r="BP97" i="24"/>
  <c r="BL109" i="19"/>
  <c r="BL108" i="19"/>
  <c r="BM110" i="24"/>
  <c r="BM112" i="24"/>
  <c r="BM53" i="20" s="1"/>
  <c r="BM56" i="20" s="1"/>
  <c r="BM37" i="19"/>
  <c r="BM46" i="19" s="1"/>
  <c r="BM106" i="19"/>
  <c r="BM21" i="21"/>
  <c r="J93" i="17" l="1"/>
  <c r="G96" i="17"/>
  <c r="O96" i="17" s="1"/>
  <c r="J91" i="17"/>
  <c r="I91" i="17"/>
  <c r="O91" i="17"/>
  <c r="P93" i="17"/>
  <c r="O93" i="17"/>
  <c r="I93" i="17"/>
  <c r="M91" i="17"/>
  <c r="P91" i="17"/>
  <c r="BK50" i="20"/>
  <c r="BK71" i="20" s="1"/>
  <c r="BK57" i="20" s="1"/>
  <c r="BJ57" i="20"/>
  <c r="BL79" i="20"/>
  <c r="BN37" i="19"/>
  <c r="BN46" i="19" s="1"/>
  <c r="BN21" i="21"/>
  <c r="BN106" i="19"/>
  <c r="BO104" i="24"/>
  <c r="BO109" i="24"/>
  <c r="BP103" i="24"/>
  <c r="BM80" i="19"/>
  <c r="BM79" i="19"/>
  <c r="BO29" i="19"/>
  <c r="BO11" i="19"/>
  <c r="BJ26" i="21"/>
  <c r="BJ92" i="20"/>
  <c r="BM79" i="20"/>
  <c r="BQ101" i="24"/>
  <c r="BQ64" i="19"/>
  <c r="BQ103" i="24"/>
  <c r="BJ72" i="20"/>
  <c r="BM108" i="19"/>
  <c r="BM109" i="19"/>
  <c r="BI124" i="24"/>
  <c r="BI125" i="24"/>
  <c r="BI88" i="21"/>
  <c r="BN19" i="21"/>
  <c r="BN77" i="19"/>
  <c r="BP64" i="19"/>
  <c r="BP101" i="24"/>
  <c r="BN110" i="24"/>
  <c r="BN112" i="24"/>
  <c r="BN53" i="20" s="1"/>
  <c r="BN56" i="20" s="1"/>
  <c r="BL117" i="24"/>
  <c r="BL23" i="6" s="1"/>
  <c r="BL50" i="20"/>
  <c r="BL71" i="20" s="1"/>
  <c r="BM115" i="24"/>
  <c r="BR97" i="24"/>
  <c r="BR96" i="24"/>
  <c r="BS95" i="24"/>
  <c r="BR100" i="24"/>
  <c r="BI26" i="21"/>
  <c r="M96" i="17" l="1"/>
  <c r="I97" i="17"/>
  <c r="L96" i="17"/>
  <c r="J96" i="17"/>
  <c r="P96" i="17"/>
  <c r="J97" i="17"/>
  <c r="I96" i="17"/>
  <c r="BK74" i="20"/>
  <c r="BK92" i="20" s="1"/>
  <c r="BK88" i="21" s="1"/>
  <c r="BK89" i="21" s="1"/>
  <c r="BN115" i="24"/>
  <c r="BN117" i="24" s="1"/>
  <c r="BN23" i="6" s="1"/>
  <c r="BL74" i="20"/>
  <c r="BO77" i="19"/>
  <c r="BO19" i="21"/>
  <c r="BP19" i="21" s="1"/>
  <c r="BP11" i="19"/>
  <c r="BP77" i="19" s="1"/>
  <c r="BI67" i="19"/>
  <c r="BI71" i="21"/>
  <c r="BI74" i="21" s="1"/>
  <c r="BI64" i="21"/>
  <c r="BI68" i="21" s="1"/>
  <c r="BI89" i="21"/>
  <c r="BI90" i="21"/>
  <c r="BQ104" i="24"/>
  <c r="BQ109" i="24"/>
  <c r="BO37" i="19"/>
  <c r="BO46" i="19" s="1"/>
  <c r="BO21" i="21"/>
  <c r="BP21" i="21" s="1"/>
  <c r="BO106" i="19"/>
  <c r="BP29" i="19"/>
  <c r="BN108" i="19"/>
  <c r="BN109" i="19"/>
  <c r="BJ71" i="21"/>
  <c r="BJ74" i="21" s="1"/>
  <c r="BJ67" i="19"/>
  <c r="BJ64" i="21"/>
  <c r="BR64" i="19"/>
  <c r="BR101" i="24"/>
  <c r="BR103" i="24"/>
  <c r="BN79" i="20"/>
  <c r="BQ29" i="19"/>
  <c r="BQ11" i="19"/>
  <c r="BS96" i="24"/>
  <c r="BS97" i="24"/>
  <c r="BT95" i="24"/>
  <c r="BU95" i="24" s="1"/>
  <c r="BS100" i="24"/>
  <c r="BL57" i="20"/>
  <c r="BO110" i="24"/>
  <c r="BO112" i="24"/>
  <c r="BO115" i="24" s="1"/>
  <c r="BK7" i="21"/>
  <c r="BK26" i="21" s="1"/>
  <c r="BM117" i="24"/>
  <c r="BM23" i="6" s="1"/>
  <c r="BM50" i="20"/>
  <c r="BM71" i="20" s="1"/>
  <c r="BN79" i="19"/>
  <c r="BN80" i="19"/>
  <c r="BJ94" i="20"/>
  <c r="BJ88" i="21"/>
  <c r="BJ95" i="20"/>
  <c r="BJ125" i="24" s="1"/>
  <c r="BJ93" i="20"/>
  <c r="BJ124" i="24"/>
  <c r="BP104" i="24"/>
  <c r="BP109" i="24"/>
  <c r="BK93" i="20" l="1"/>
  <c r="BK95" i="20"/>
  <c r="BK125" i="24" s="1"/>
  <c r="BK124" i="24"/>
  <c r="BK72" i="20"/>
  <c r="BN50" i="20"/>
  <c r="BN71" i="20" s="1"/>
  <c r="BN57" i="20" s="1"/>
  <c r="BU97" i="24"/>
  <c r="BU96" i="24"/>
  <c r="BU100" i="24"/>
  <c r="BR11" i="19"/>
  <c r="BR29" i="19"/>
  <c r="BI76" i="21"/>
  <c r="BI75" i="21"/>
  <c r="BI94" i="21"/>
  <c r="BI126" i="24"/>
  <c r="BI77" i="21"/>
  <c r="BI68" i="19"/>
  <c r="BQ110" i="24"/>
  <c r="BQ112" i="24"/>
  <c r="BQ115" i="24" s="1"/>
  <c r="BO53" i="20"/>
  <c r="BO56" i="20" s="1"/>
  <c r="BP112" i="24"/>
  <c r="BP115" i="24" s="1"/>
  <c r="BQ37" i="19"/>
  <c r="BQ46" i="19" s="1"/>
  <c r="BQ106" i="19"/>
  <c r="BQ21" i="21"/>
  <c r="BJ68" i="19"/>
  <c r="BJ126" i="24"/>
  <c r="BJ94" i="21"/>
  <c r="BJ75" i="21"/>
  <c r="BJ77" i="21"/>
  <c r="BJ76" i="21"/>
  <c r="BS101" i="24"/>
  <c r="BS64" i="19"/>
  <c r="BS103" i="24"/>
  <c r="BP79" i="19"/>
  <c r="BP78" i="19"/>
  <c r="BO80" i="19"/>
  <c r="BO79" i="19"/>
  <c r="BK67" i="19"/>
  <c r="BK71" i="21"/>
  <c r="BT96" i="24"/>
  <c r="BT97" i="24"/>
  <c r="BT100" i="24"/>
  <c r="BJ89" i="21"/>
  <c r="BJ90" i="21"/>
  <c r="BL7" i="21"/>
  <c r="BO117" i="24"/>
  <c r="BO23" i="6" s="1"/>
  <c r="BO50" i="20"/>
  <c r="BO71" i="20" s="1"/>
  <c r="BQ77" i="19"/>
  <c r="BQ19" i="21"/>
  <c r="BP110" i="24"/>
  <c r="BR104" i="24"/>
  <c r="BR109" i="24"/>
  <c r="BP37" i="19"/>
  <c r="BP46" i="19" s="1"/>
  <c r="BP106" i="19"/>
  <c r="BL72" i="20"/>
  <c r="BM74" i="20"/>
  <c r="BM72" i="20" s="1"/>
  <c r="BM57" i="20"/>
  <c r="BO109" i="19"/>
  <c r="BO108" i="19"/>
  <c r="BJ67" i="21"/>
  <c r="BJ68" i="21" s="1"/>
  <c r="BN74" i="20" l="1"/>
  <c r="BN72" i="20" s="1"/>
  <c r="BP117" i="24"/>
  <c r="BP23" i="6" s="1"/>
  <c r="BP50" i="20"/>
  <c r="BP71" i="20" s="1"/>
  <c r="BO79" i="20"/>
  <c r="BO57" i="20"/>
  <c r="BK7" i="19"/>
  <c r="BJ13" i="19"/>
  <c r="BJ23" i="19" s="1"/>
  <c r="BJ52" i="19"/>
  <c r="BJ54" i="19" s="1"/>
  <c r="BJ55" i="19" s="1"/>
  <c r="BR21" i="21"/>
  <c r="BR106" i="19"/>
  <c r="BR37" i="19"/>
  <c r="BR46" i="19" s="1"/>
  <c r="BI52" i="19"/>
  <c r="BI54" i="19" s="1"/>
  <c r="BI55" i="19" s="1"/>
  <c r="BI13" i="19"/>
  <c r="BI23" i="19" s="1"/>
  <c r="BT101" i="24"/>
  <c r="BT64" i="19"/>
  <c r="BT103" i="24"/>
  <c r="BR110" i="24"/>
  <c r="BR112" i="24"/>
  <c r="BR53" i="20" s="1"/>
  <c r="BR56" i="20" s="1"/>
  <c r="BS104" i="24"/>
  <c r="BS109" i="24"/>
  <c r="BR77" i="19"/>
  <c r="BR19" i="21"/>
  <c r="BJ78" i="21"/>
  <c r="BJ127" i="24"/>
  <c r="BP107" i="19"/>
  <c r="BP108" i="19"/>
  <c r="BQ79" i="19"/>
  <c r="BQ80" i="19"/>
  <c r="BU101" i="24"/>
  <c r="BU64" i="19"/>
  <c r="BP113" i="24"/>
  <c r="BP53" i="20"/>
  <c r="BP56" i="20" s="1"/>
  <c r="BQ53" i="20"/>
  <c r="BQ56" i="20" s="1"/>
  <c r="BS29" i="19"/>
  <c r="BS11" i="19"/>
  <c r="BQ108" i="19"/>
  <c r="BQ109" i="19"/>
  <c r="BI127" i="24"/>
  <c r="BI78" i="21"/>
  <c r="BQ117" i="24"/>
  <c r="BQ23" i="6" s="1"/>
  <c r="BQ50" i="20"/>
  <c r="BQ71" i="20" s="1"/>
  <c r="BO74" i="20"/>
  <c r="BM7" i="21"/>
  <c r="BN7" i="21" l="1"/>
  <c r="BS110" i="24"/>
  <c r="BS112" i="24"/>
  <c r="BS115" i="24" s="1"/>
  <c r="BT104" i="24"/>
  <c r="BT109" i="24"/>
  <c r="BT11" i="19"/>
  <c r="BT29" i="19"/>
  <c r="BI50" i="19"/>
  <c r="BI60" i="19" s="1"/>
  <c r="BI56" i="19"/>
  <c r="BS77" i="19"/>
  <c r="BS19" i="21"/>
  <c r="BQ57" i="20"/>
  <c r="BQ79" i="20"/>
  <c r="BO7" i="21"/>
  <c r="BS21" i="21"/>
  <c r="BS37" i="19"/>
  <c r="BS46" i="19" s="1"/>
  <c r="BS106" i="19"/>
  <c r="BP57" i="20"/>
  <c r="BP79" i="20"/>
  <c r="BR115" i="24"/>
  <c r="BJ56" i="19"/>
  <c r="BJ50" i="19"/>
  <c r="BJ60" i="19" s="1"/>
  <c r="BK48" i="19"/>
  <c r="BO72" i="20"/>
  <c r="BR79" i="19"/>
  <c r="BR80" i="19"/>
  <c r="BQ74" i="20"/>
  <c r="BU103" i="24"/>
  <c r="BK13" i="19"/>
  <c r="BK23" i="19" s="1"/>
  <c r="BK52" i="19"/>
  <c r="BK54" i="19" s="1"/>
  <c r="BK55" i="19" s="1"/>
  <c r="BR79" i="20"/>
  <c r="BR109" i="19"/>
  <c r="BR108" i="19"/>
  <c r="BP74" i="20"/>
  <c r="BP72" i="20" l="1"/>
  <c r="BQ7" i="21"/>
  <c r="BK56" i="19"/>
  <c r="BK50" i="19"/>
  <c r="BK60" i="19" s="1"/>
  <c r="BT110" i="24"/>
  <c r="BT112" i="24"/>
  <c r="BT53" i="20" s="1"/>
  <c r="BT56" i="20" s="1"/>
  <c r="BS79" i="19"/>
  <c r="BS80" i="19"/>
  <c r="BQ72" i="20"/>
  <c r="BS117" i="24"/>
  <c r="BS23" i="6" s="1"/>
  <c r="BS50" i="20"/>
  <c r="BS71" i="20" s="1"/>
  <c r="BU104" i="24"/>
  <c r="BU109" i="24"/>
  <c r="BS109" i="19"/>
  <c r="BS108" i="19"/>
  <c r="BS53" i="20"/>
  <c r="BS56" i="20" s="1"/>
  <c r="BR117" i="24"/>
  <c r="BR23" i="6" s="1"/>
  <c r="BR50" i="20"/>
  <c r="BR71" i="20" s="1"/>
  <c r="BP7" i="21"/>
  <c r="BT21" i="21"/>
  <c r="BU21" i="21" s="1"/>
  <c r="BT37" i="19"/>
  <c r="BT46" i="19" s="1"/>
  <c r="BT106" i="19"/>
  <c r="BU29" i="19"/>
  <c r="BT19" i="21"/>
  <c r="BU19" i="21" s="1"/>
  <c r="BT77" i="19"/>
  <c r="BU11" i="19"/>
  <c r="BU77" i="19" s="1"/>
  <c r="BU112" i="24" l="1"/>
  <c r="BU115" i="24" s="1"/>
  <c r="BR74" i="20"/>
  <c r="BR72" i="20" s="1"/>
  <c r="BR57" i="20"/>
  <c r="BU37" i="19"/>
  <c r="BU46" i="19" s="1"/>
  <c r="BU106" i="19"/>
  <c r="BS74" i="20"/>
  <c r="BT109" i="19"/>
  <c r="BT108" i="19"/>
  <c r="BU78" i="19"/>
  <c r="BU79" i="19"/>
  <c r="BT80" i="19"/>
  <c r="BT79" i="19"/>
  <c r="BT115" i="24"/>
  <c r="BU110" i="24"/>
  <c r="BS79" i="20"/>
  <c r="BS57" i="20"/>
  <c r="BT79" i="20"/>
  <c r="BU53" i="20" l="1"/>
  <c r="BU56" i="20" s="1"/>
  <c r="BU79" i="20" s="1"/>
  <c r="BU113" i="24"/>
  <c r="BU117" i="24"/>
  <c r="BU23" i="6" s="1"/>
  <c r="BU50" i="20"/>
  <c r="BU71" i="20" s="1"/>
  <c r="BT117" i="24"/>
  <c r="BT23" i="6" s="1"/>
  <c r="BT50" i="20"/>
  <c r="BT71" i="20" s="1"/>
  <c r="BU107" i="19"/>
  <c r="BU108" i="19"/>
  <c r="BR7" i="21"/>
  <c r="BS7" i="21"/>
  <c r="BS72" i="20"/>
  <c r="BU57" i="20" l="1"/>
  <c r="BT74" i="20"/>
  <c r="BT57" i="20"/>
  <c r="BU74" i="20"/>
  <c r="BT7" i="21" l="1"/>
  <c r="BT72" i="20"/>
  <c r="BU72" i="20"/>
  <c r="BU7" i="21" l="1"/>
  <c r="BH13" i="27" l="1"/>
  <c r="BJ13" i="27" l="1"/>
  <c r="BK11" i="27"/>
  <c r="BK12" i="27" s="1"/>
  <c r="BJ12" i="27"/>
  <c r="BL12" i="27"/>
  <c r="BM11" i="27" l="1"/>
  <c r="BL7" i="27"/>
  <c r="BM7" i="27" l="1"/>
  <c r="BL9" i="27"/>
  <c r="BL8" i="27"/>
  <c r="BL50" i="27"/>
  <c r="BL17" i="27"/>
  <c r="BM12" i="27"/>
  <c r="BN11" i="27"/>
  <c r="BN12" i="27" l="1"/>
  <c r="BO11" i="27"/>
  <c r="BL18" i="27"/>
  <c r="BL19" i="27"/>
  <c r="T5" i="28"/>
  <c r="T6" i="28" s="1"/>
  <c r="BL52" i="27"/>
  <c r="BL51" i="27"/>
  <c r="BM17" i="27"/>
  <c r="BM8" i="27"/>
  <c r="BM9" i="27"/>
  <c r="BM50" i="27"/>
  <c r="BN7" i="27"/>
  <c r="BQ11" i="27" l="1"/>
  <c r="BO12" i="27"/>
  <c r="BP11" i="27"/>
  <c r="BP12" i="27" s="1"/>
  <c r="BM18" i="27"/>
  <c r="BM19" i="27"/>
  <c r="BN9" i="27"/>
  <c r="BN17" i="27"/>
  <c r="BN8" i="27"/>
  <c r="BO7" i="27"/>
  <c r="BN50" i="27"/>
  <c r="BM52" i="27"/>
  <c r="U5" i="28"/>
  <c r="U6" i="28" s="1"/>
  <c r="BM51" i="27"/>
  <c r="BN19" i="27" l="1"/>
  <c r="BN18" i="27"/>
  <c r="BN52" i="27"/>
  <c r="V5" i="28"/>
  <c r="V6" i="28" s="1"/>
  <c r="BN51" i="27"/>
  <c r="BO9" i="27"/>
  <c r="BP7" i="27"/>
  <c r="BO50" i="27"/>
  <c r="BQ7" i="27"/>
  <c r="BO8" i="27"/>
  <c r="BO17" i="27"/>
  <c r="BR11" i="27"/>
  <c r="BQ12" i="27"/>
  <c r="BP17" i="27" l="1"/>
  <c r="BP18" i="27" s="1"/>
  <c r="BP8" i="27"/>
  <c r="BQ8" i="27"/>
  <c r="BQ50" i="27"/>
  <c r="BR7" i="27"/>
  <c r="BQ9" i="27"/>
  <c r="BQ17" i="27"/>
  <c r="BP50" i="27"/>
  <c r="BP51" i="27" s="1"/>
  <c r="BO52" i="27"/>
  <c r="BO51" i="27"/>
  <c r="W5" i="28"/>
  <c r="W6" i="28" s="1"/>
  <c r="BR12" i="27"/>
  <c r="BS11" i="27"/>
  <c r="BO19" i="27"/>
  <c r="BO18" i="27"/>
  <c r="BQ19" i="27" l="1"/>
  <c r="BQ18" i="27"/>
  <c r="BS12" i="27"/>
  <c r="BT11" i="27"/>
  <c r="BT12" i="27" s="1"/>
  <c r="BU11" i="27"/>
  <c r="BU12" i="27" s="1"/>
  <c r="BS7" i="27"/>
  <c r="BR9" i="27"/>
  <c r="BR17" i="27"/>
  <c r="BR8" i="27"/>
  <c r="BR50" i="27"/>
  <c r="BQ51" i="27"/>
  <c r="BQ52" i="27"/>
  <c r="BS17" i="27" l="1"/>
  <c r="BT7" i="27"/>
  <c r="BS8" i="27"/>
  <c r="BS50" i="27"/>
  <c r="BS9" i="27"/>
  <c r="BR18" i="27"/>
  <c r="BR19" i="27"/>
  <c r="BR51" i="27"/>
  <c r="BR52" i="27"/>
  <c r="BS52" i="27" l="1"/>
  <c r="BS51" i="27"/>
  <c r="BT9" i="27"/>
  <c r="BT17" i="27"/>
  <c r="BT8" i="27"/>
  <c r="BU7" i="27"/>
  <c r="BT50" i="27"/>
  <c r="BS19" i="27"/>
  <c r="BS18" i="27"/>
  <c r="BT52" i="27" l="1"/>
  <c r="BU50" i="27"/>
  <c r="BU51" i="27" s="1"/>
  <c r="BT51" i="27"/>
  <c r="BU17" i="27"/>
  <c r="BU18" i="27" s="1"/>
  <c r="BU8" i="27"/>
  <c r="BT19" i="27"/>
  <c r="BT18" i="27"/>
  <c r="BL82" i="19"/>
  <c r="BJ89" i="19"/>
  <c r="BJ87" i="19" s="1"/>
  <c r="BJ84" i="19"/>
  <c r="BK83" i="19"/>
  <c r="BK30" i="21" s="1"/>
  <c r="BL85" i="19" l="1"/>
  <c r="BK72" i="21"/>
  <c r="BK74" i="21" s="1"/>
  <c r="BK37" i="21"/>
  <c r="BK64" i="21" s="1"/>
  <c r="BK68" i="21" s="1"/>
  <c r="BP67" i="21" s="1"/>
  <c r="BK75" i="21"/>
  <c r="BK77" i="21"/>
  <c r="BK94" i="21"/>
  <c r="BK126" i="24"/>
  <c r="BK68" i="19"/>
  <c r="BK89" i="19"/>
  <c r="BK87" i="19" s="1"/>
  <c r="BK84" i="19"/>
  <c r="BL67" i="21" l="1"/>
  <c r="BL89" i="19"/>
  <c r="BL80" i="20"/>
  <c r="BL8" i="21"/>
  <c r="BK127" i="24"/>
  <c r="BK78" i="21"/>
  <c r="BL83" i="20" l="1"/>
  <c r="BL26" i="21"/>
  <c r="BL92" i="20"/>
  <c r="BL16" i="19"/>
  <c r="BM82" i="19" s="1"/>
  <c r="BL87" i="19"/>
  <c r="BM85" i="19" l="1"/>
  <c r="BL124" i="24"/>
  <c r="BL95" i="20"/>
  <c r="BL125" i="24" s="1"/>
  <c r="BL94" i="20"/>
  <c r="BL93" i="20"/>
  <c r="BL88" i="21"/>
  <c r="BL67" i="19"/>
  <c r="BL64" i="21"/>
  <c r="BL68" i="21" s="1"/>
  <c r="BL71" i="21"/>
  <c r="BL74" i="21" s="1"/>
  <c r="BL76" i="21" l="1"/>
  <c r="BL94" i="21"/>
  <c r="BL68" i="19"/>
  <c r="BL77" i="21"/>
  <c r="BL126" i="24"/>
  <c r="BL75" i="21"/>
  <c r="BL7" i="19"/>
  <c r="BM67" i="21"/>
  <c r="BL89" i="21"/>
  <c r="BL90" i="21"/>
  <c r="BM89" i="19"/>
  <c r="BM8" i="21"/>
  <c r="BM80" i="20"/>
  <c r="BM83" i="20" l="1"/>
  <c r="BM26" i="21"/>
  <c r="BM92" i="20"/>
  <c r="BM16" i="19"/>
  <c r="BN82" i="19" s="1"/>
  <c r="BM87" i="19"/>
  <c r="BL52" i="19"/>
  <c r="BL54" i="19" s="1"/>
  <c r="BL55" i="19" s="1"/>
  <c r="BL13" i="19"/>
  <c r="BL23" i="19" s="1"/>
  <c r="BL48" i="19" s="1"/>
  <c r="BL127" i="24"/>
  <c r="BL78" i="21"/>
  <c r="BL50" i="19" l="1"/>
  <c r="BL60" i="19" s="1"/>
  <c r="BL56" i="19"/>
  <c r="BN85" i="19"/>
  <c r="BN89" i="19"/>
  <c r="BN16" i="19" s="1"/>
  <c r="BO82" i="19" s="1"/>
  <c r="BN87" i="19"/>
  <c r="BM93" i="20"/>
  <c r="BM124" i="24"/>
  <c r="BM94" i="20"/>
  <c r="BM88" i="21"/>
  <c r="BM95" i="20"/>
  <c r="BM125" i="24" s="1"/>
  <c r="BM67" i="19"/>
  <c r="BM71" i="21"/>
  <c r="BM74" i="21" s="1"/>
  <c r="BM64" i="21"/>
  <c r="BM68" i="21" s="1"/>
  <c r="BM7" i="19" l="1"/>
  <c r="BN67" i="21"/>
  <c r="BM75" i="21"/>
  <c r="BM68" i="19"/>
  <c r="BM94" i="21"/>
  <c r="BM76" i="21"/>
  <c r="BM77" i="21"/>
  <c r="BM126" i="24"/>
  <c r="BM89" i="21"/>
  <c r="BM90" i="21"/>
  <c r="BO85" i="19"/>
  <c r="BN8" i="21"/>
  <c r="BN80" i="20"/>
  <c r="BN83" i="20" l="1"/>
  <c r="BN92" i="20" s="1"/>
  <c r="BN26" i="21"/>
  <c r="BO89" i="19"/>
  <c r="BO80" i="20"/>
  <c r="BO8" i="21"/>
  <c r="BM78" i="21"/>
  <c r="BM127" i="24"/>
  <c r="BP85" i="19"/>
  <c r="BM52" i="19"/>
  <c r="BM54" i="19" s="1"/>
  <c r="BM55" i="19" s="1"/>
  <c r="BM13" i="19"/>
  <c r="BM23" i="19" s="1"/>
  <c r="BM48" i="19" s="1"/>
  <c r="BN93" i="20" l="1"/>
  <c r="BN94" i="20"/>
  <c r="BN88" i="21"/>
  <c r="BN124" i="24"/>
  <c r="BN95" i="20"/>
  <c r="BN125" i="24" s="1"/>
  <c r="BM50" i="19"/>
  <c r="BM60" i="19" s="1"/>
  <c r="BM56" i="19"/>
  <c r="BP86" i="19"/>
  <c r="BP89" i="19"/>
  <c r="BP87" i="19" s="1"/>
  <c r="BP80" i="20"/>
  <c r="BO83" i="20"/>
  <c r="BO92" i="20" s="1"/>
  <c r="BO26" i="21"/>
  <c r="BO16" i="19"/>
  <c r="BO87" i="19"/>
  <c r="BP8" i="21"/>
  <c r="BN71" i="21"/>
  <c r="BN74" i="21" s="1"/>
  <c r="BN67" i="19"/>
  <c r="BN64" i="21"/>
  <c r="BN68" i="21" s="1"/>
  <c r="BP16" i="19" l="1"/>
  <c r="BU82" i="19" s="1"/>
  <c r="BQ82" i="19"/>
  <c r="BO93" i="20"/>
  <c r="BO124" i="24"/>
  <c r="BO88" i="21"/>
  <c r="BO94" i="20"/>
  <c r="BO95" i="20"/>
  <c r="BO125" i="24" s="1"/>
  <c r="BO64" i="21"/>
  <c r="BO71" i="21"/>
  <c r="BO74" i="21" s="1"/>
  <c r="BO67" i="19"/>
  <c r="BP92" i="20"/>
  <c r="BN7" i="19"/>
  <c r="BO67" i="21"/>
  <c r="BO68" i="21" s="1"/>
  <c r="BO7" i="19" s="1"/>
  <c r="BN68" i="19"/>
  <c r="BN75" i="21"/>
  <c r="BN94" i="21"/>
  <c r="BN76" i="21"/>
  <c r="BN126" i="24"/>
  <c r="BN77" i="21"/>
  <c r="BN90" i="21"/>
  <c r="BN89" i="21"/>
  <c r="BP83" i="20"/>
  <c r="BP26" i="21"/>
  <c r="BP93" i="20" l="1"/>
  <c r="BP88" i="21"/>
  <c r="BP89" i="21" s="1"/>
  <c r="BP95" i="20"/>
  <c r="BP125" i="24" s="1"/>
  <c r="BP124" i="24"/>
  <c r="BN13" i="19"/>
  <c r="BN23" i="19" s="1"/>
  <c r="BN48" i="19" s="1"/>
  <c r="BN52" i="19"/>
  <c r="BN54" i="19" s="1"/>
  <c r="BN55" i="19" s="1"/>
  <c r="BQ85" i="19"/>
  <c r="BP7" i="19"/>
  <c r="BO13" i="19"/>
  <c r="BO23" i="19" s="1"/>
  <c r="BO48" i="19" s="1"/>
  <c r="BO52" i="19"/>
  <c r="BO54" i="19" s="1"/>
  <c r="BO55" i="19" s="1"/>
  <c r="BP71" i="21"/>
  <c r="BP74" i="21" s="1"/>
  <c r="BP64" i="21"/>
  <c r="BP68" i="21" s="1"/>
  <c r="BP67" i="19"/>
  <c r="BO94" i="21"/>
  <c r="BO75" i="21"/>
  <c r="BO76" i="21"/>
  <c r="BO68" i="19"/>
  <c r="BO77" i="21"/>
  <c r="BO126" i="24"/>
  <c r="BN78" i="21"/>
  <c r="BN127" i="24"/>
  <c r="BO90" i="21"/>
  <c r="BO89" i="21"/>
  <c r="BO50" i="19" l="1"/>
  <c r="BO60" i="19" s="1"/>
  <c r="BP48" i="19"/>
  <c r="BO56" i="19"/>
  <c r="BP77" i="21"/>
  <c r="BP94" i="21"/>
  <c r="BP126" i="24"/>
  <c r="BP68" i="19"/>
  <c r="BP75" i="21"/>
  <c r="BQ67" i="21"/>
  <c r="BU67" i="21"/>
  <c r="BP52" i="19"/>
  <c r="BP54" i="19" s="1"/>
  <c r="BP55" i="19" s="1"/>
  <c r="BP13" i="19"/>
  <c r="BP23" i="19" s="1"/>
  <c r="BQ89" i="19"/>
  <c r="BQ8" i="21"/>
  <c r="BQ80" i="20"/>
  <c r="BO127" i="24"/>
  <c r="BO78" i="21"/>
  <c r="BN50" i="19"/>
  <c r="BN60" i="19" s="1"/>
  <c r="BN56" i="19"/>
  <c r="BQ83" i="20" l="1"/>
  <c r="BQ26" i="21"/>
  <c r="BQ16" i="19"/>
  <c r="BR82" i="19" s="1"/>
  <c r="BQ87" i="19"/>
  <c r="BP78" i="21"/>
  <c r="BP127" i="24"/>
  <c r="BP50" i="19"/>
  <c r="BP60" i="19" s="1"/>
  <c r="BP56" i="19"/>
  <c r="BQ92" i="20"/>
  <c r="BQ93" i="20" l="1"/>
  <c r="BQ124" i="24"/>
  <c r="BQ95" i="20"/>
  <c r="BQ125" i="24" s="1"/>
  <c r="BQ94" i="20"/>
  <c r="BQ88" i="21"/>
  <c r="BR85" i="19"/>
  <c r="BQ67" i="19"/>
  <c r="BQ64" i="21"/>
  <c r="BQ68" i="21" s="1"/>
  <c r="BQ71" i="21"/>
  <c r="BQ74" i="21" s="1"/>
  <c r="BQ126" i="24" l="1"/>
  <c r="BQ77" i="21"/>
  <c r="BQ94" i="21"/>
  <c r="BQ68" i="19"/>
  <c r="BQ76" i="21"/>
  <c r="BQ75" i="21"/>
  <c r="BR67" i="21"/>
  <c r="BQ7" i="19"/>
  <c r="BR89" i="19"/>
  <c r="BR8" i="21"/>
  <c r="BR80" i="20"/>
  <c r="BQ90" i="21"/>
  <c r="BQ89" i="21"/>
  <c r="BR83" i="20" l="1"/>
  <c r="BR92" i="20" s="1"/>
  <c r="BR26" i="21"/>
  <c r="BR16" i="19"/>
  <c r="BS82" i="19" s="1"/>
  <c r="BR87" i="19"/>
  <c r="BQ52" i="19"/>
  <c r="BQ54" i="19" s="1"/>
  <c r="BQ55" i="19" s="1"/>
  <c r="BQ13" i="19"/>
  <c r="BQ23" i="19" s="1"/>
  <c r="BQ48" i="19" s="1"/>
  <c r="BQ127" i="24"/>
  <c r="BQ78" i="21"/>
  <c r="BR93" i="20" l="1"/>
  <c r="BR95" i="20"/>
  <c r="BR125" i="24" s="1"/>
  <c r="BR88" i="21"/>
  <c r="BR94" i="20"/>
  <c r="BR124" i="24"/>
  <c r="BQ50" i="19"/>
  <c r="BQ60" i="19" s="1"/>
  <c r="BQ56" i="19"/>
  <c r="BS85" i="19"/>
  <c r="BR64" i="21"/>
  <c r="BR68" i="21" s="1"/>
  <c r="BR67" i="19"/>
  <c r="BR71" i="21"/>
  <c r="BR74" i="21" s="1"/>
  <c r="BR68" i="19" l="1"/>
  <c r="BR94" i="21"/>
  <c r="BR76" i="21"/>
  <c r="BR75" i="21"/>
  <c r="BR77" i="21"/>
  <c r="BR126" i="24"/>
  <c r="BR7" i="19"/>
  <c r="BS67" i="21"/>
  <c r="BS89" i="19"/>
  <c r="BS8" i="21"/>
  <c r="BS80" i="20"/>
  <c r="BR89" i="21"/>
  <c r="BR90" i="21"/>
  <c r="BS83" i="20" l="1"/>
  <c r="BS92" i="20" s="1"/>
  <c r="BS26" i="21"/>
  <c r="BS16" i="19"/>
  <c r="BT82" i="19" s="1"/>
  <c r="BS87" i="19"/>
  <c r="BR52" i="19"/>
  <c r="BR54" i="19" s="1"/>
  <c r="BR55" i="19" s="1"/>
  <c r="BR13" i="19"/>
  <c r="BR23" i="19" s="1"/>
  <c r="BR48" i="19" s="1"/>
  <c r="BR78" i="21"/>
  <c r="BR127" i="24"/>
  <c r="BS88" i="21" l="1"/>
  <c r="BS94" i="20"/>
  <c r="BS124" i="24"/>
  <c r="BS95" i="20"/>
  <c r="BS125" i="24" s="1"/>
  <c r="BS93" i="20"/>
  <c r="BR56" i="19"/>
  <c r="BR50" i="19"/>
  <c r="BR60" i="19" s="1"/>
  <c r="BT85" i="19"/>
  <c r="BT89" i="19"/>
  <c r="BT16" i="19" s="1"/>
  <c r="BU16" i="19" s="1"/>
  <c r="BT87" i="19"/>
  <c r="BS67" i="19"/>
  <c r="BS64" i="21"/>
  <c r="BS68" i="21" s="1"/>
  <c r="BS71" i="21"/>
  <c r="BS74" i="21" s="1"/>
  <c r="BS126" i="24" l="1"/>
  <c r="BS75" i="21"/>
  <c r="BS77" i="21"/>
  <c r="BS94" i="21"/>
  <c r="BS68" i="19"/>
  <c r="BS76" i="21"/>
  <c r="BT67" i="21"/>
  <c r="BS7" i="19"/>
  <c r="BT8" i="21"/>
  <c r="BT80" i="20"/>
  <c r="BU85" i="19"/>
  <c r="BS90" i="21"/>
  <c r="BS89" i="21"/>
  <c r="BU86" i="19" l="1"/>
  <c r="BU80" i="20"/>
  <c r="BU89" i="19"/>
  <c r="BU87" i="19" s="1"/>
  <c r="BU8" i="21"/>
  <c r="BT83" i="20"/>
  <c r="BT92" i="20" s="1"/>
  <c r="BT26" i="21"/>
  <c r="BS52" i="19"/>
  <c r="BS54" i="19" s="1"/>
  <c r="BS55" i="19" s="1"/>
  <c r="BS13" i="19"/>
  <c r="BS23" i="19" s="1"/>
  <c r="BS48" i="19" s="1"/>
  <c r="BS127" i="24"/>
  <c r="BS78" i="21"/>
  <c r="BT88" i="21" l="1"/>
  <c r="BT124" i="24"/>
  <c r="BT95" i="20"/>
  <c r="BT125" i="24" s="1"/>
  <c r="BT93" i="20"/>
  <c r="BT94" i="20"/>
  <c r="BS50" i="19"/>
  <c r="BS60" i="19" s="1"/>
  <c r="BS56" i="19"/>
  <c r="BT64" i="21"/>
  <c r="BT68" i="21" s="1"/>
  <c r="BT7" i="19" s="1"/>
  <c r="BT67" i="19"/>
  <c r="BT71" i="21"/>
  <c r="BT74" i="21" s="1"/>
  <c r="BU83" i="20"/>
  <c r="BU26" i="21"/>
  <c r="BU92" i="20"/>
  <c r="BU67" i="19" l="1"/>
  <c r="BU64" i="21"/>
  <c r="BU68" i="21" s="1"/>
  <c r="BU71" i="21"/>
  <c r="BU74" i="21" s="1"/>
  <c r="BT52" i="19"/>
  <c r="BT54" i="19" s="1"/>
  <c r="BT55" i="19" s="1"/>
  <c r="BU7" i="19"/>
  <c r="BT13" i="19"/>
  <c r="BT23" i="19" s="1"/>
  <c r="BT48" i="19" s="1"/>
  <c r="BU93" i="20"/>
  <c r="BU88" i="21"/>
  <c r="BU89" i="21" s="1"/>
  <c r="BU124" i="24"/>
  <c r="BU95" i="20"/>
  <c r="BU125" i="24" s="1"/>
  <c r="BT68" i="19"/>
  <c r="BT75" i="21"/>
  <c r="BT126" i="24"/>
  <c r="BT77" i="21"/>
  <c r="BT76" i="21"/>
  <c r="BT94" i="21"/>
  <c r="BT89" i="21"/>
  <c r="BT90" i="21"/>
  <c r="BT78" i="21" l="1"/>
  <c r="BT127" i="24"/>
  <c r="BT50" i="19"/>
  <c r="BT60" i="19" s="1"/>
  <c r="BU48" i="19"/>
  <c r="BT56" i="19"/>
  <c r="BU52" i="19"/>
  <c r="BU54" i="19" s="1"/>
  <c r="BU55" i="19" s="1"/>
  <c r="BU13" i="19"/>
  <c r="BU23" i="19" s="1"/>
  <c r="BU94" i="21"/>
  <c r="BU126" i="24"/>
  <c r="BU75" i="21"/>
  <c r="BU68" i="19"/>
  <c r="BU77" i="21"/>
  <c r="BU127" i="24" l="1"/>
  <c r="BU78" i="21"/>
  <c r="BU56" i="19"/>
  <c r="BU50" i="19"/>
  <c r="BU60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Dezort, Matt</author>
  </authors>
  <commentList>
    <comment ref="A1" authorId="0" shapeId="0" xr:uid="{172DD6D8-47C6-4128-A38F-EA2E8E826B1D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Timestamp="1739313364"&gt;&lt;FQL&gt;&lt;Q&gt;RPD-US^FE_ACTUAL(ACTUAL,EBITDA_ADJ,QUARTERLY,-10,,,,'')&lt;/Q&gt;&lt;R&gt;1&lt;/R&gt;&lt;C&gt;1&lt;/C&gt;&lt;D xsi:type="xsd:double"&gt;-7.6405&lt;/D&gt;&lt;/FQL&gt;&lt;FQL&gt;&lt;Q&gt;RPD-US^FE_ACTUAL(ACTUAL,EBITDA_ADJ,QUARTERLY,-9,,,,'')&lt;/Q&gt;&lt;R&gt;1&lt;/R&gt;&lt;C&gt;1&lt;/C&gt;&lt;D xsi:type="xsd:double"&gt;-3.7315&lt;/D&gt;&lt;/FQL&gt;&lt;FQL&gt;&lt;Q&gt;RPD-US^FE_ACTUAL(ACTUAL,EBITDA_ADJ,QUARTERLY,-8,,,,'')&lt;/Q&gt;&lt;R&gt;1&lt;/R&gt;&lt;C&gt;1&lt;/C&gt;&lt;D xsi:type="xsd:double"&gt;-4.5&lt;/D&gt;&lt;/FQL&gt;&lt;FQL&gt;&lt;Q&gt;RPD-US^FE_ACTUAL(ACTUAL,EBITDA_ADJ,QUARTERLY,-7,,,,'')&lt;/Q&gt;&lt;R&gt;1&lt;/R&gt;&lt;C&gt;1&lt;/C&gt;&lt;D xsi:type="xsd:double"&gt;-4.567&lt;/D&gt;&lt;/FQL&gt;&lt;FQL&gt;&lt;Q&gt;RPD-US^FE_ACTUAL(ACTUAL,EBITDA_ADJ,QUARTERLY,-6,,,,'')&lt;/Q&gt;&lt;R&gt;1&lt;/R&gt;&lt;C&gt;1&lt;/C&gt;&lt;D xsi:type="xsd:double"&gt;-5.033&lt;/D&gt;&lt;/FQL&gt;&lt;FQL&gt;&lt;Q&gt;RPD-US^FE_ACTUAL(ACTUAL,EBITDA_ADJ,QUARTERLY,-5,,,,'')&lt;/Q&gt;&lt;R&gt;1&lt;/R&gt;&lt;C&gt;1&lt;/C&gt;&lt;D xsi:type="xsd:double"&gt;-5.6&lt;/D&gt;&lt;/FQL&gt;&lt;FQL&gt;&lt;Q&gt;RPD-US^FE_ACTUAL(ACTUAL,EBITDA_ADJ,QUARTERLY,-4,,,,'')&lt;/Q&gt;&lt;R&gt;1&lt;/R&gt;&lt;C&gt;1&lt;/C&gt;&lt;D xsi:type="xsd:double"&gt;-6.258&lt;/D&gt;&lt;/FQL&gt;&lt;FQL&gt;&lt;Q&gt;RPD-US^FE_ACTUAL(ACTUAL,EBITDA_ADJ,QUARTERLY,-3,,,,'')&lt;/Q&gt;&lt;R&gt;1&lt;/R&gt;&lt;C&gt;1&lt;/C&gt;&lt;D xsi:type="xsd:double"&gt;-7.421&lt;/D&gt;&lt;/FQL&gt;&lt;FQL&gt;&lt;Q&gt;RPD-US^FE_ESTIMATE(DEP_AMORT_EXP,MEAN,QUARTERLY,+1,NOW,,,'')&lt;/Q&gt;&lt;R&gt;1&lt;/R&gt;&lt;C&gt;1&lt;/C&gt;&lt;D xsi:type="xsd:double"&gt;2.6666667&lt;/D&gt;&lt;/FQL&gt;&lt;FQL&gt;&lt;Q&gt;RPD-US^FE_ESTIMATE(DEP_AMORT_EXP,MEAN,QUARTERLY,+2,NOW,,,'')&lt;/Q&gt;&lt;R&gt;1&lt;/R&gt;&lt;C&gt;1&lt;/C&gt;&lt;D xsi:type="xsd:double"&gt;2.7766666&lt;/D&gt;&lt;/FQL&gt;&lt;FQL&gt;&lt;Q&gt;RPD-US^FE_ESTIMATE(DEP_AMORT_EXP,MEAN,QUARTERLY,+3,NOW,,,'')&lt;/Q&gt;&lt;R&gt;1&lt;/R&gt;&lt;C&gt;1&lt;/C&gt;&lt;D xsi:type="xsd:double"&gt;2.88&lt;/D&gt;&lt;/FQL&gt;&lt;FQL&gt;&lt;Q&gt;RPD-US^FE_ESTIMATE(DEP_AMORT_EXP,MEAN,QUARTERLY,+4,NOW,,,'')&lt;/Q&gt;&lt;R&gt;1&lt;/R&gt;&lt;C&gt;1&lt;/C&gt;&lt;D xsi:type="xsd:double"&gt;3.0933332&lt;/D&gt;&lt;/FQL&gt;&lt;FQL&gt;&lt;Q&gt;RPD-US^FE_ESTIMATE(DEP_AMORT_EXP,MEAN,ANNUAL,+1,NOW,,,'')&lt;/Q&gt;&lt;R&gt;1&lt;/R&gt;&lt;C&gt;1&lt;/C&gt;&lt;D xsi:type="xsd:double"&gt;10.8375&lt;/D&gt;&lt;/FQL&gt;&lt;FQL&gt;&lt;Q&gt;RPD-US^FE_ESTIMATE(INC_TAX,MEAN,QUARTERLY,+1,NOW,,,'')&lt;/Q&gt;&lt;R&gt;1&lt;/R&gt;&lt;C&gt;1&lt;/C&gt;&lt;D xsi:type="xsd:double"&gt;0.11281818&lt;/D&gt;&lt;/FQL&gt;&lt;FQL&gt;&lt;Q&gt;RPD-US^FE_ESTIMATE(INC_TAX,MEAN,QUARTERLY,+2,NOW,,,'')&lt;/Q&gt;&lt;R&gt;1&lt;/R&gt;&lt;C&gt;1&lt;/C&gt;&lt;D xsi:type="xsd:double"&gt;0.11163636&lt;/D&gt;&lt;/FQL&gt;&lt;FQL&gt;&lt;Q&gt;RPD-US^FE_ESTIMATE(INC_TAX,MEAN,QUARTERLY,+3,NOW,,,'')&lt;/Q&gt;&lt;R&gt;1&lt;/R&gt;&lt;C&gt;1&lt;/C&gt;&lt;D xsi:type="xsd:double"&gt;0.10890909&lt;/D&gt;&lt;/FQL&gt;&lt;FQL&gt;&lt;Q&gt;RPD-US^FE_ESTIMATE(INC_TAX,MEAN,QUARTERLY,+4,NOW,,,'')&lt;/Q&gt;&lt;R&gt;1&lt;/R&gt;&lt;C&gt;1&lt;/C&gt;&lt;D xsi:type="xsd:double"&gt;0.19372727&lt;/D&gt;&lt;/FQL&gt;&lt;FQL&gt;&lt;Q&gt;RPD-US^FE_ESTIMATE(INC_TAX,MEAN,ANNUAL,+1,NOW,,,'')&lt;/Q&gt;&lt;R&gt;1&lt;/R&gt;&lt;C&gt;1&lt;/C&gt;&lt;D xsi:type="xsd:double"&gt;0.49033332&lt;/D&gt;&lt;/FQL&gt;&lt;FQL&gt;&lt;Q&gt;RPD-US^FE_ESTIMATE(INC_TAX,MEAN,QUARTERLY,+5,NOW,,,'')&lt;/Q&gt;&lt;R&gt;1&lt;/R&gt;&lt;C&gt;1&lt;/C&gt;&lt;D xsi:type="xsd:double"&gt;0.2812&lt;/D&gt;&lt;/FQL&gt;&lt;FQL&gt;&lt;Q&gt;RPD-US^FE_ESTIMATE(INC_TAX,MEAN,QUARTERLY,+6,NOW,,,'')&lt;/Q&gt;&lt;R&gt;1&lt;/R&gt;&lt;C&gt;1&lt;/C&gt;&lt;D xsi:type="xsd:double"&gt;0.3846&lt;/D&gt;&lt;/FQL&gt;&lt;FQL&gt;&lt;Q&gt;RPD-US^FE_ESTIMATE(INC_TAX,MEAN,QUARTERLY,+7,NOW,,,'')&lt;/Q&gt;&lt;R&gt;1&lt;/R&gt;&lt;C&gt;1&lt;/C&gt;&lt;D xsi:type="xsd:double"&gt;0.6146&lt;/D&gt;&lt;/FQL&gt;&lt;FQL&gt;&lt;Q&gt;RPD-US^FE_ESTIMATE(INC_TAX,MEAN,QUARTERLY,+8,NOW,,,'')&lt;/Q&gt;&lt;R&gt;1&lt;/R&gt;&lt;C&gt;1&lt;/C&gt;&lt;D xsi:type="xsd:double"&gt;0.7868&lt;/D&gt;&lt;/FQL&gt;&lt;FQL&gt;&lt;Q&gt;RPD-US^FE_ESTIMATE(NET_INC_REP,MEAN,QUARTERLY,+1,NOW,,,'')&lt;/Q&gt;&lt;R&gt;1&lt;/R&gt;&lt;C&gt;1&lt;/C&gt;&lt;D xsi:type="xsd:double"&gt;-12.6448&lt;/D&gt;&lt;/FQL&gt;&lt;FQL&gt;&lt;Q&gt;RPD-US^FE_ESTIMATE(NET_INC_REP,MEAN,QUARTERLY,+2,NOW,,,'')&lt;/Q&gt;&lt;R&gt;1&lt;/R&gt;&lt;C&gt;1&lt;/C&gt;&lt;D xsi:type="xsd:double"&gt;-10.3726&lt;/D&gt;&lt;/FQL&gt;&lt;FQL&gt;&lt;Q&gt;RPD-US^FE_ESTIMATE(NET_INC_REP,MEAN,QUARTERLY,+3,NOW,,,'')&lt;/Q&gt;&lt;R&gt;1&lt;/R&gt;&lt;C&gt;1&lt;/C&gt;&lt;D xsi:type="xsd:double"&gt;-8.2842&lt;/D&gt;&lt;/FQL&gt;&lt;FQL&gt;&lt;Q&gt;RPD-US^FE_ESTIMATE(NET_INC_REP,MEAN,QUARTERLY,+4,NOW,,,'')&lt;/Q&gt;&lt;R&gt;1&lt;/R&gt;&lt;C&gt;1&lt;/C&gt;&lt;D xsi:type="xsd:double"&gt;-4.7462&lt;/D&gt;&lt;/FQL&gt;&lt;FQL&gt;&lt;Q&gt;RPD-US^FE_ESTIMATE(NET_INC_REP,MEAN,ANNUAL,+1,NOW,,,'')&lt;/Q&gt;&lt;R&gt;1&lt;/R&gt;&lt;C&gt;1&lt;/C&gt;&lt;D xsi:type="xsd:double"&gt;-29.92139&lt;/D&gt;&lt;/FQL&gt;&lt;FQL&gt;&lt;Q&gt;RPD-US^FE_ESTIMATE(NET_INC_REP,MEAN,QUARTERLY,+5,NOW,,,'')&lt;/Q&gt;&lt;R&gt;1&lt;/R&gt;&lt;C&gt;1&lt;/C&gt;&lt;D xsi:type="xsd:double"&gt;-9.9&lt;/D&gt;&lt;/FQL&gt;&lt;FQL&gt;&lt;Q&gt;RPD-US^FE_ESTIMATE(NET_INC_REP,MEAN,QUARTERLY,+6,NOW,,,'')&lt;/Q&gt;&lt;R&gt;1&lt;/R&gt;&lt;C&gt;1&lt;/C&gt;&lt;D xsi:type="xsd:double"&gt;-7.25&lt;/D&gt;&lt;/FQL&gt;&lt;FQL&gt;&lt;Q&gt;RPD-US^FE_ESTIMATE(NET_INC_REP,MEAN,QUARTERLY,+7,NOW,,,'')&lt;/Q&gt;&lt;R&gt;1&lt;/R&gt;&lt;C&gt;1&lt;/C&gt;&lt;D xsi:type="xsd:double"&gt;-4.65&lt;/D&gt;&lt;/FQL&gt;&lt;FQL&gt;&lt;Q&gt;RPD-US^FE_ESTIMATE(NET_INC_REP,MEAN,QUARTERLY,+8,NOW,,,'')&lt;/Q&gt;&lt;R&gt;1&lt;/R&gt;&lt;C&gt;1&lt;/C&gt;&lt;D xsi:type="xsd:double"&gt;1.1&lt;/D&gt;&lt;/FQL&gt;&lt;FQL&gt;&lt;Q&gt;RPD-US^FE_ESTIMATE(NET_INC_REP,MEAN,ANNUAL,+2,NOW,,,'')&lt;/Q&gt;&lt;R&gt;1&lt;/R&gt;&lt;C&gt;1&lt;/C&gt;&lt;D xsi:type="xsd:double"&gt;-16.72044&lt;/D&gt;&lt;/FQL&gt;&lt;FQL&gt;&lt;Q&gt;RPD-US^FE_ESTIMATE(DEP_AMORT_EXP,MEAN,ANNUAL,+2,NOW,,,'')&lt;/Q&gt;&lt;R&gt;1&lt;/R&gt;&lt;C&gt;1&lt;/C&gt;&lt;D xsi:type="xsd:double"&gt;11.5575&lt;/D&gt;&lt;/FQL&gt;&lt;FQL&gt;&lt;Q&gt;RPD-US^FE_ESTIMATE(EBITDA_ADJ,MEAN,QUARTERLY,+1,NOW,,,'')&lt;/Q&gt;&lt;R&gt;1&lt;/R&gt;&lt;C&gt;1&lt;/C&gt;&lt;D xsi:type="xsd:double"&gt;-2.0336&lt;/D&gt;&lt;/FQL&gt;&lt;FQL&gt;&lt;Q&gt;RPD-US^FE_ESTIMATE(EBITDA_ADJ,MEAN,QUARTERLY,+2,NOW,,,'')&lt;/Q&gt;&lt;R&gt;1&lt;/R&gt;&lt;C&gt;1&lt;/C&gt;&lt;D xsi:type="xsd:double"&gt;1.841&lt;/D&gt;&lt;/FQL&gt;&lt;FQL&gt;&lt;Q&gt;RPD-US^FE_ESTIMATE(EBITDA_ADJ,MEAN,QUARTERLY,+3,NOW,,,'')&lt;/Q&gt;&lt;R&gt;1&lt;/R&gt;&lt;C&gt;1&lt;/C&gt;&lt;D xsi:type="xsd:double"&gt;4.2024&lt;/D&gt;&lt;/FQL&gt;&lt;FQL&gt;&lt;Q&gt;RPD-US^FE_ESTIMATE(EBITDA_ADJ,MEAN,QUARTERLY,+4,NOW,,,'')&lt;/Q&gt;&lt;R&gt;1&lt;/R&gt;&lt;C&gt;1&lt;/C&gt;&lt;D xsi:type="xsd:double"&gt;6.9004&lt;/D&gt;&lt;/FQL&gt;&lt;FQL&gt;&lt;Q&gt;RPD-US^FE_ESTIMATE(EBITDA_ADJ,MEAN,ANNUAL,+1,NOW,,,'')&lt;/Q&gt;&lt;R&gt;1&lt;/R&gt;&lt;C&gt;1&lt;/C&gt;&lt;D xsi:type="xsd:double"&gt;10.9302&lt;/D&gt;&lt;/FQL&gt;&lt;FQL&gt;&lt;Q&gt;RPD-US^FE_ESTIMATE(EBITDA_ADJ,MEAN,QUARTERLY,+5,NOW,,,'')&lt;/Q&gt;&lt;R&gt;1&lt;/R&gt;&lt;C&gt;1&lt;/C&gt;&lt;D xsi:type="xsd:double"&gt;0.7&lt;/D&gt;&lt;/FQL&gt;&lt;FQL&gt;&lt;Q&gt;RPD-US^FE_ESTIMATE(EBITDA_ADJ,MEAN,QUARTERLY,+6,NOW,,,'')&lt;/Q&gt;&lt;R&gt;1&lt;/R&gt;&lt;C&gt;1&lt;/C&gt;&lt;D xsi:type="xsd:double"&gt;5.5&lt;/D&gt;&lt;/FQL&gt;&lt;FQL&gt;&lt;Q&gt;RPD-US^FE_ESTIMATE(EBITDA_ADJ,MEAN,QUARTERLY,+7,NOW,,,'')&lt;/Q&gt;&lt;R&gt;1&lt;/R&gt;&lt;C&gt;1&lt;/C&gt;&lt;D xsi:type="xsd:double"&gt;8.1&lt;/D&gt;&lt;/FQL&gt;&lt;FQL&gt;&lt;Q&gt;RPD-US^FE_ESTIMATE(EBITDA_ADJ,MEAN,QUARTERLY,+8,NOW,,,'')&lt;/Q&gt;&lt;R&gt;1&lt;/R&gt;&lt;C&gt;1&lt;/C&gt;&lt;D xsi:type="xsd:double"&gt;15.1&lt;/D&gt;&lt;/FQL&gt;&lt;FQL&gt;&lt;Q&gt;RPD-US^FE_ESTIMATE(EBITDA_ADJ,MEAN,ANNUAL,+2,NOW,,,'')&lt;/Q&gt;&lt;R&gt;1&lt;/R&gt;&lt;C&gt;1&lt;/C&gt;&lt;D xsi:type="xsd:double"&gt;28.26225&lt;/D&gt;&lt;/FQL&gt;&lt;FQL&gt;&lt;Q&gt;RPD-US^FE_ESTIMATE(CF_FIN,MEAN,ANNUAL,+1,NOW,,,'')&lt;/Q&gt;&lt;R&gt;1&lt;/R&gt;&lt;C&gt;1&lt;/C&gt;&lt;D xsi:type="xsd:double"&gt;0&lt;/D&gt;&lt;/FQL&gt;&lt;FQL&gt;&lt;Q&gt;RPD-US^FE_ESTIMATE(CF_OP,MEAN,QUARTERLY,+1,NOW,,,'')&lt;/Q&gt;&lt;R&gt;1&lt;/R&gt;&lt;C&gt;1&lt;/C&gt;&lt;D xsi:type="xsd:double"&gt;7.3042&lt;/D&gt;&lt;/FQL&gt;&lt;FQL&gt;&lt;Q&gt;RPD-US^FE_ESTIMATE(CF_OP,MEAN,QUARTERLY,+2,NOW,,,'')&lt;/Q&gt;&lt;R&gt;1&lt;/R&gt;&lt;C&gt;1&lt;/C&gt;&lt;D xsi:type="xsd:double"&gt;-6.5782&lt;/D&gt;&lt;/FQL&gt;&lt;FQL&gt;&lt;Q&gt;RPD-US^FE_ESTIMATE(CF_OP,MEAN,QUARTERLY,+3,NOW,,,'')&lt;/Q&gt;&lt;R&gt;1&lt;/R&gt;&lt;C&gt;1&lt;/C&gt;&lt;D xsi:type="xsd:double"&gt;3.0656&lt;/D&gt;&lt;/FQL&gt;&lt;FQL&gt;&lt;Q&gt;RPD-US^FE_ESTIMATE(CF_OP,MEAN,QUARTERLY,+4,NOW,,,'')&lt;/Q&gt;&lt;R&gt;1&lt;/R&gt;&lt;C&gt;1&lt;/C&gt;&lt;D xsi:type="xsd:double"&gt;13.3834&lt;/D&gt;&lt;/FQL&gt;&lt;FQL&gt;&lt;Q&gt;RPD-US^FE_ESTIMATE(CF_OP,MEAN,ANNUAL,+1,NOW,,,'')&lt;/Q&gt;&lt;R&gt;1&lt;/R&gt;&lt;C&gt;1&lt;/C&gt;&lt;D xsi:type="xsd:double"&gt;20.629168&lt;/D&gt;&lt;/FQL&gt;&lt;FQL&gt;&lt;Q&gt;RPD-US^FE_ESTIMATE(CF_OP,MEAN,QUARTERLY,+5,NOW,,,'')&lt;/Q&gt;&lt;R&gt;1&lt;/R&gt;&lt;C&gt;1&lt;/C&gt;&lt;D xsi:type="xsd:double"&gt;19.566668&lt;/D&gt;&lt;/FQL&gt;&lt;FQL&gt;&lt;Q&gt;RPD-US^FE_ESTIMATE(CF_OP,MEAN,QUARTERLY,+6,NOW,,,'')&lt;/Q&gt;&lt;R&gt;1&lt;/R&gt;&lt;C&gt;1&lt;/C&gt;&lt;D xsi:type="xsd:double"&gt;-3.2666667&lt;/D&gt;&lt;/FQL&gt;&lt;FQL&gt;&lt;Q&gt;RPD-US^FE_ESTIMATE(CF_OP,MEAN,QUARTERLY,+7,NOW,,,'')&lt;/Q&gt;&lt;R&gt;1&lt;/R&gt;&lt;C&gt;1&lt;/C&gt;&lt;D xsi:type="xsd:double"&gt;5.9&lt;/D&gt;&lt;/FQL&gt;&lt;FQL&gt;&lt;Q&gt;RPD-US^FE_ESTIMATE(CF_OP,MEAN,QUARTERLY,+8,NOW,,,'')&lt;/Q&gt;&lt;R&gt;1&lt;/R&gt;&lt;C&gt;1&lt;/C&gt;&lt;D xsi:type="xsd:double"&gt;18.933332&lt;/D&gt;&lt;/FQL&gt;&lt;FQL&gt;&lt;Q&gt;RPD-US^FE_ESTIMATE(CF_OP,MEAN,ANNUAL,+2,NOW,,,'')&lt;/Q&gt;&lt;R&gt;1&lt;/R&gt;&lt;C&gt;1&lt;/C&gt;&lt;D xsi:type="xsd:double"&gt;47.181&lt;/D&gt;&lt;/FQL&gt;&lt;FQL&gt;&lt;Q&gt;RPD-US^FE_ESTIMATE(CF_FIN,MEAN,ANNUAL,+2,NOW,,,'')&lt;/Q&gt;&lt;R&gt;1&lt;/R&gt;&lt;C&gt;1&lt;/C&gt;&lt;D xsi:type="xsd:double"&gt;0&lt;/D&gt;&lt;/FQL&gt;&lt;FQL&gt;&lt;Q&gt;RPD-US^FE_ESTIMATE(FCF,MEAN,QUARTERLY,+1,NOW,,,'')&lt;/Q&gt;&lt;R&gt;1&lt;/R&gt;&lt;C&gt;1&lt;/C&gt;&lt;D xsi:type="xsd:double"&gt;-1.1353333&lt;/D&gt;&lt;/FQL&gt;&lt;FQL&gt;&lt;Q&gt;RPD-US^FE_ESTIMATE(FCF,MEAN,QUARTERLY,+2,NOW,,,'')&lt;/Q&gt;&lt;R&gt;1&lt;/R&gt;&lt;C&gt;1&lt;/C&gt;&lt;D xsi:type="xsd:double"&gt;-12.166333&lt;/D&gt;&lt;/FQL&gt;&lt;FQL&gt;&lt;Q&gt;RPD-US^FE_ESTIMATE(FCF,MEAN,QUARTERLY,+3,NOW,,,'')&lt;/Q&gt;&lt;R&gt;1&lt;/R&gt;&lt;C&gt;1&lt;/C&gt;&lt;D xsi:type="xsd:double"&gt;-2.4166667&lt;/D&gt;&lt;/FQL&gt;&lt;FQL&gt;&lt;Q&gt;RPD-US^FE_ESTIMATE(FCF,MEAN,QUARTERLY,+4,NOW,,,'')&lt;/Q&gt;&lt;R&gt;1&lt;/R&gt;&lt;C&gt;1&lt;/C&gt;&lt;D xsi:type="xsd:double"&gt;9.391334&lt;/D&gt;&lt;/FQL&gt;&lt;FQL&gt;&lt;Q&gt;RPD-US^FE_ESTIMATE(FCF,MEAN,ANNUAL,+1,NOW,,,'')&lt;/Q&gt;&lt;R&gt;1&lt;/R&gt;&lt;C&gt;1&lt;/C&gt;&lt;D xsi:type="xsd:double"&gt;2.4481428&lt;/D&gt;&lt;/FQL&gt;&lt;FQL&gt;&lt;Q&gt;RPD-US^FE_ESTIMATE(FCF,MEAN,QUARTERLY,+5,NOW,,,'')&lt;/Q&gt;&lt;R&gt;1&lt;/R&gt;&lt;C&gt;1&lt;/C&gt;&lt;D xsi:type="xsd:double"&gt;16.033333&lt;/D&gt;&lt;/FQL&gt;&lt;FQL&gt;&lt;Q&gt;RPD-US^FE_ESTIMATE(FCF,MEAN,QUARTERLY,+6,NOW,,,'')&lt;/Q&gt;&lt;R&gt;1&lt;/R&gt;&lt;C&gt;1&lt;/C&gt;&lt;D xsi:type="xsd:double"&gt;-6.8333335&lt;/D&gt;&lt;/FQL&gt;&lt;FQL&gt;&lt;Q&gt;RPD-US^FE_ESTIMATE(FCF,MEAN,QUARTERLY,+7,NOW,,,'')&lt;/Q&gt;&lt;R&gt;1&lt;/R&gt;&lt;C&gt;1&lt;/C&gt;&lt;D xsi:type="xsd:double"&gt;2.2666667&lt;/D&gt;&lt;/FQL&gt;&lt;FQL&gt;&lt;Q&gt;RPD-US^FE_ESTIMATE(FCF,MEAN,QUARTERLY,+8,NOW,,,'')&lt;/Q&gt;&lt;R&gt;1&lt;/R&gt;&lt;C&gt;1&lt;/C&gt;&lt;D xsi:type="xsd:double"&gt;15.166667&lt;/D&gt;&lt;/FQL&gt;&lt;FQL&gt;&lt;Q&gt;RPD-US^FE_ESTIMATE(FCF,MEAN,ANNUAL,+2,NOW,,,'')&lt;/Q&gt;&lt;R&gt;1&lt;/R&gt;&lt;C&gt;1&lt;/C&gt;&lt;D xsi:type="xsd:double"&gt;33.403572&lt;/D&gt;&lt;/FQL&gt;&lt;FQL&gt;&lt;Q&gt;RPD-US^FE_ESTIMATE(PAY_ACCT,MEAN,ANNUAL,+1,NOW,,,'')&lt;/Q&gt;&lt;R&gt;1&lt;/R&gt;&lt;C&gt;1&lt;/C&gt;&lt;D xsi:type="xsd:double"&gt;8.492666&lt;/D&gt;&lt;/FQL&gt;&lt;FQL&gt;&lt;Q&gt;RPD-US^FE_ESTIMATE(CASH_ST,MEAN,ANNUAL,-1,NOW,,,'')&lt;/Q&gt;&lt;R&gt;1&lt;/R&gt;&lt;C&gt;1&lt;/C&gt;&lt;D xsi:type="xsd:double"&gt;77.91033&lt;/D&gt;&lt;/FQL&gt;&lt;FQL&gt;&lt;Q&gt;RPD-US^FE_ESTIMATE(CASH_ST,MEAN,QUARTERLY,-3,NOW,,,'')&lt;/Q&gt;&lt;R&gt;1&lt;/R&gt;&lt;C&gt;1&lt;/C&gt;&lt;D xsi:type="xsd:double"&gt;119.59866&lt;/D&gt;&lt;/FQL&gt;&lt;FQL&gt;&lt;Q&gt;RPD-US^FE_ESTIMATE(CASH_ST,MEAN,QUARTERLY,-2,NOW,,,'')&lt;/Q&gt;&lt;R&gt;1&lt;/R&gt;&lt;C&gt;1&lt;/C&gt;&lt;D xsi:type="xsd:double"&gt;109.2124&lt;/D&gt;&lt;/FQL&gt;&lt;FQL&gt;&lt;Q&gt;RPD-US^FE_ESTIMATE(CASH_ST,MEAN,QUARTERLY,-1,NOW,,,'')&lt;/Q&gt;&lt;R&gt;1&lt;/R&gt;&lt;C&gt;1&lt;/C&gt;&lt;D xsi:type="xsd:double"&gt;236.64&lt;/D&gt;&lt;/FQL&gt;&lt;FQL&gt;&lt;Q&gt;RPD-US^FE_ESTIMATE(CASH_ST,MEAN,QUARTERLY,0,NOW,,,'')&lt;/Q&gt;&lt;R&gt;1&lt;/R&gt;&lt;C&gt;1&lt;/C&gt;&lt;D xsi:type="xsd:double"&gt;218.99126&lt;/D&gt;&lt;/FQL&gt;&lt;FQL&gt;&lt;Q&gt;RPD-US^FE_ESTIMATE(CASH_ST,MEAN,ANNUAL,0,NOW,,,'')&lt;/Q&gt;&lt;R&gt;1&lt;/R&gt;&lt;C&gt;1&lt;/C&gt;&lt;D xsi:type="xsd:double"&gt;218.99126&lt;/D&gt;&lt;/FQL&gt;&lt;FQL&gt;&lt;Q&gt;RPD-US^FE_ESTIMATE(CASH_ST,MEAN,QUARTERLY,+1,NOW,,,'')&lt;/Q&gt;&lt;R&gt;1&lt;/R&gt;&lt;C&gt;1&lt;/C&gt;&lt;D xsi:type="xsd:double"&gt;219.6465&lt;/D&gt;&lt;/FQL&gt;&lt;FQL&gt;&lt;Q&gt;RPD-US^FE_ESTIMATE(CASH_ST,MEAN,QUARTERLY,+2,NOW,,,'')&lt;/Q&gt;&lt;R&gt;1&lt;/R&gt;&lt;C&gt;1&lt;/C&gt;&lt;D xsi:type="xsd:double"&gt;221.38374&lt;/D&gt;&lt;/FQL&gt;&lt;FQL&gt;&lt;Q&gt;RPD-US^FE_ESTIMATE(CASH_ST,MEAN,QUARTERLY,+3,NOW,,,'')&lt;/Q&gt;&lt;R&gt;1&lt;/R&gt;&lt;C&gt;1&lt;/C&gt;&lt;D xsi:type="xsd:double"&gt;219.67075&lt;/D&gt;&lt;/FQL&gt;&lt;FQL&gt;&lt;Q&gt;RPD-US^FE_ESTIMATE(CASH_ST,MEAN,QUARTERLY,+4,NOW,,,'')&lt;/Q&gt;&lt;R&gt;1&lt;/R&gt;&lt;C&gt;1&lt;/C&gt;&lt;D xsi:type="xsd:double"&gt;229.535&lt;/D&gt;&lt;/FQL&gt;&lt;FQL&gt;&lt;Q&gt;RPD-US^FE_ESTIMATE(CASH_ST,MEAN,ANNUAL,+1,NOW,,,'')&lt;/Q&gt;&lt;R&gt;1&lt;/R&gt;&lt;C&gt;1&lt;/C&gt;&lt;D xsi:type="xsd:double"&gt;229.535&lt;/D&gt;&lt;/FQL&gt;&lt;FQL&gt;&lt;Q&gt;RPD-US^FE_ESTIMATE(CASH_ST,MEAN,QUARTERLY,+5,NOW,,,'')&lt;/Q&gt;&lt;R&gt;1&lt;/R&gt;&lt;C&gt;1&lt;/C&gt;&lt;D xsi:type="xsd:double"&gt;298.46667&lt;/D&gt;&lt;/FQL&gt;&lt;FQL&gt;&lt;Q&gt;RPD-US^FE_ESTIMATE(CASH_ST,MEAN,QUARTERLY,+6,NOW,,,'')&lt;/Q&gt;&lt;R&gt;1&lt;/R&gt;&lt;C&gt;1&lt;/C&gt;&lt;D xsi:type="xsd:double"&gt;292.43332&lt;/D&gt;&lt;/FQL&gt;&lt;FQL&gt;&lt;Q&gt;RPD-US^FE_ESTIMATE(CASH_ST,MEAN,QUARTERLY,+7,NOW,,,'')&lt;/Q&gt;&lt;R&gt;1&lt;/R&gt;&lt;C&gt;1&lt;/C&gt;&lt;D xsi:type="xsd:double"&gt;297.33334&lt;/D&gt;&lt;/FQL&gt;&lt;FQL&gt;&lt;Q&gt;RPD-US^FE_ESTIMATE(CASH_ST,MEAN,QUARTERLY,+8,NOW,,,'')&lt;/Q&gt;&lt;R&gt;1&lt;/R&gt;&lt;C&gt;1&lt;/C&gt;&lt;D xsi:type="xsd:double"&gt;315.1&lt;/D&gt;&lt;/FQL&gt;&lt;FQL&gt;&lt;Q&gt;RPD-US^FE_ESTIMATE(CASH_ST,MEAN,ANNUAL,+2,NOW,,,'')&lt;/Q&gt;&lt;R&gt;1&lt;/R&gt;&lt;C&gt;1&lt;/C&gt;&lt;D xsi:type="xsd:double"&gt;257.26526&lt;/D&gt;&lt;/FQL&gt;&lt;FQL&gt;&lt;Q&gt;RPD-US^FE_ESTIMATE(RECEIV_NET,MEAN,QUARTERLY,+1,NOW,,,'')&lt;/Q&gt;&lt;R&gt;1&lt;/R&gt;&lt;C&gt;1&lt;/C&gt;&lt;D xsi:type="xsd:double"&gt;46.414665&lt;/D&gt;&lt;/FQL&gt;&lt;FQL&gt;&lt;Q&gt;RPD-US^FE_ESTIMATE(RECEIV_NET,MEAN,QUARTERLY,-1,NOW,,,'')&lt;/Q&gt;&lt;R&gt;1&lt;/R&gt;&lt;C&gt;1&lt;/C&gt;&lt;D xsi:type="xsd:double"&gt;53.790333&lt;/D&gt;&lt;/FQL&gt;&lt;FQL&gt;&lt;Q&gt;RPD-US^FE_ESTIMATE(RECEIV_NET,MEAN,QUARTERLY,0,NOW,,,'')&lt;/Q&gt;&lt;R&gt;1&lt;/R&gt;&lt;C&gt;1&lt;/C&gt;&lt;D xsi:type="xsd:double"&gt;74.91167&lt;/D&gt;&lt;/FQL&gt;&lt;FQL&gt;&lt;Q&gt;RPD-US^FE_ESTIMATE(RECEIV_NET,MEAN,ANNUAL,+1,NOW,,,'')&lt;/Q&gt;&lt;R&gt;1&lt;/R&gt;&lt;C&gt;1&lt;/C&gt;&lt;D xsi:type="xsd:double"&gt;87.852&lt;/D&gt;&lt;/FQL&gt;&lt;FQL&gt;&lt;Q&gt;RPD-US^FE_ESTIMATE(RECEIV_NET,MEAN,QUARTERLY,+5,NOW,,,'')&lt;/Q&gt;&lt;R&gt;1&lt;/R&gt;&lt;C&gt;1&lt;/C&gt;&lt;D xsi:type="xsd:double"&gt;46.75&lt;/D&gt;&lt;/FQL&gt;&lt;FQL&gt;&lt;Q&gt;RPD-US^FE_ESTIMATE(RECEIV_NET,MEAN,QUARTERLY,+3,NOW,,,'')&lt;/Q&gt;&lt;R&gt;1&lt;/R&gt;&lt;C&gt;1&lt;/C&gt;&lt;D xsi:type="xsd:double"&gt;54.870335&lt;/D&gt;&lt;/FQL&gt;&lt;FQL&gt;&lt;Q&gt;RPD-US^FE_ESTIMATE(RECEIV_NET,MEAN,QUARTERLY,+4,NOW,,,'')&lt;/Q&gt;&lt;R&gt;1&lt;/R&gt;&lt;C&gt;1&lt;/C&gt;&lt;D xsi:type="xsd:double"&gt;87.852&lt;/D&gt;&lt;/FQL&gt;&lt;FQL&gt;&lt;Q&gt;RPD-US^FE_ESTIMATE(RECEIV_NET,MEAN,ANNUAL,+2,NOW,,,'')&lt;/Q&gt;&lt;R&gt;1&lt;/R&gt;&lt;C&gt;1&lt;/C&gt;&lt;D xsi:type="xsd:double"&gt;99.85067&lt;/D&gt;&lt;/FQL&gt;&lt;FQL&gt;&lt;Q&gt;RPD-US^FE_ESTIMATE(PAY_ACCT,MEAN,ANNUAL,+2,NOW,,,'')&lt;/Q&gt;&lt;R&gt;1&lt;/R&gt;&lt;C&gt;1&lt;/C&gt;&lt;D xsi:type="xsd:double"&gt;10.390667&lt;/D&gt;&lt;/FQL&gt;&lt;FQL&gt;&lt;Q&gt;RPD-US^FE_ESTIMATE(EBIT_ADJ,MEAN,QUARTERLY,-2,NOW,,,'')&lt;/Q&gt;&lt;R&gt;1&lt;/R&gt;&lt;C&gt;1&lt;/C&gt;&lt;D xsi:type="xsd:double"&gt;-5.992&lt;/D&gt;&lt;/FQL&gt;&lt;FQL&gt;&lt;Q&gt;RPD-US^FE_ESTIMATE(EPS,MEAN,QUARTERLY,0,NOW,,,'')&lt;/Q&gt;&lt;R&gt;1&lt;/R&gt;&lt;C&gt;1&lt;/C&gt;&lt;D xsi:type="xsd:double"&gt;-0.05&lt;/D&gt;&lt;/FQL&gt;&lt;FQL&gt;&lt;Q&gt;RPD-US^FE_ESTIMATE(NET_INC_ADJ,MEAN,ANNUAL,+2,NOW,,,'')&lt;/Q&gt;&lt;R&gt;1&lt;/R&gt;&lt;C&gt;1&lt;/C&gt;&lt;D xsi:type="xsd:double"&gt;20.934422&lt;/D&gt;&lt;/FQL&gt;&lt;FQL&gt;&lt;Q&gt;RPD-US^FE_ESTIMATE(NET_INC_ADJ,MEAN,ANNUAL,0,NOW,,,'')&lt;/Q&gt;&lt;R&gt;1&lt;/R&gt;&lt;C&gt;1&lt;/C&gt;&lt;D xsi:type="xsd:double"&gt;-19.057&lt;/D&gt;&lt;/FQL&gt;&lt;FQL&gt;&lt;Q&gt;RPD-US^FE_ESTIMATE(EPS,MEAN,QUARTERLY,+2,NOW,,,'')&lt;/Q&gt;&lt;R&gt;1&lt;/R&gt;&lt;C&gt;1&lt;/C&gt;&lt;D xsi:type="xsd:double"&gt;-0.008544247&lt;/D&gt;&lt;/FQL&gt;&lt;FQL&gt;&lt;Q&gt;RPD-US^FE_ESTIMATE(PTX_INC_ADJ,MEAN,QUARTERLY,+5,NOW,,,'')&lt;/Q&gt;&lt;R&gt;1&lt;/R&gt;&lt;C&gt;1&lt;/C&gt;&lt;D xsi:type="xsd:double"&gt;1.269&lt;/D&gt;&lt;/FQL&gt;&lt;FQL&gt;&lt;Q&gt;RPD-US^FE_ESTIMATE(PTX_INC_ADJ,MEAN,QUARTERLY,0,NOW,,,'')&lt;/Q&gt;&lt;R&gt;1&lt;/R&gt;&lt;C&gt;1&lt;/C&gt;&lt;D xsi:type="xsd:double"&gt;-3.2481666&lt;/D&gt;&lt;/FQL&gt;&lt;FQL&gt;&lt;Q&gt;RPD-US^FE_ESTIMATE(SALES,MEAN,QUARTERLY,+2,NOW,,,'')&lt;/Q&gt;&lt;R&gt;1&lt;/R&gt;&lt;C&gt;1&lt;/C&gt;&lt;D xsi:type="xsd:double"&gt;73.578415&lt;/D&gt;&lt;/FQL&gt;&lt;FQL&gt;&lt;Q&gt;RPD-US^FE_ESTIMATE(EBIT_ADJ,MEAN,QUARTERLY,+1,NOW,,,'')&lt;/Q&gt;&lt;R&gt;1&lt;/R&gt;&lt;C&gt;1&lt;/C&gt;&lt;D xsi:type="xsd:double"&gt;-4.3312855&lt;/D&gt;&lt;/FQL&gt;&lt;FQL&gt;&lt;Q&gt;RPD-US^FE_ESTIMATE(PTX_INC_ADJ,MEAN,ANNUAL,0,NOW,,,'')&lt;/Q&gt;&lt;R&gt;1&lt;/R&gt;&lt;C&gt;1&lt;/C&gt;&lt;D xsi:type="xsd:double"&gt;-20.447857&lt;/D&gt;&lt;/FQL&gt;&lt;FQL&gt;&lt;Q&gt;RPD-US^FE_ESTIMATE(NET_INC_ADJ,MEAN,QUARTERLY,0,NOW,,,'')&lt;/Q&gt;&lt;R&gt;1&lt;/R&gt;&lt;C&gt;1&lt;/C&gt;&lt;D xsi:type="xsd:double"&gt;-2.368&lt;/D&gt;&lt;/FQL&gt;&lt;FQL&gt;&lt;Q&gt;RPD-US^FE_ESTIMATE(EPS,MEAN,QUARTERLY,+3,NOW,,,'')&lt;/Q&gt;&lt;R&gt;1&lt;/R&gt;&lt;C&gt;1&lt;/C&gt;&lt;D xsi:type="xsd:double"&gt;0.04453363&lt;/D&gt;&lt;/FQL&gt;&lt;FQL&gt;&lt;Q&gt;RPD-US^FE_ESTIMATE(EBIT_ADJ,MEAN,QUARTERLY,+7,NOW,,,'')&lt;/Q&gt;&lt;R&gt;1&lt;/R&gt;&lt;C&gt;1&lt;/C&gt;&lt;D xsi:type="xsd:double"&gt;6.504&lt;/D&gt;&lt;/FQL&gt;&lt;FQL&gt;&lt;Q&gt;RPD-US^FE_ESTIMATE(EPS,MEAN,ANNUAL,+2,NOW,,,'')&lt;/Q&gt;&lt;R&gt;1&lt;/R&gt;&lt;C&gt;1&lt;/C&gt;&lt;D xsi:type="xsd:double"&gt;0.3750583&lt;/D&gt;&lt;/FQL&gt;&lt;FQL&gt;&lt;Q&gt;RPD-US^FE_ESTIMATE(SALES,MEAN,QUARTERLY,+3,NOW,,,'')&lt;/Q&gt;&lt;R&gt;1&lt;/R&gt;&lt;C&gt;1&lt;/C&gt;&lt;D xsi:type="xsd:double"&gt;78.69867&lt;/D&gt;&lt;/FQL&gt;&lt;FQL&gt;&lt;Q&gt;RPD-US^FE_ESTIMATE(EBIT_ADJ,MEAN,QUARTERLY,+5,NOW,,,'')&lt;/Q&gt;&lt;R&gt;1&lt;/R&gt;&lt;C&gt;1&lt;/C&gt;&lt;D xsi:type="xsd:double"&gt;1.10225&lt;/D&gt;&lt;/FQL&gt;&lt;FQL&gt;&lt;Q&gt;RPD-US^FE_ESTIMATE(PTX_INC_ADJ,MEAN,ANNUAL,+1,NOW,,,'')&lt;/Q&gt;&lt;R&gt;1&lt;/R&gt;&lt;C&gt;1&lt;/C&gt;&lt;D xsi:type="xsd:double"&gt;2.0138571&lt;/D&gt;&lt;/FQL&gt;&lt;FQL&gt;&lt;Q&gt;RPD-US^FE_ESTIMATE(NET_INC_ADJ,MEAN,QUARTERLY,+4,NOW,,,'')&lt;/Q&gt;&lt;R&gt;1&lt;/R&gt;&lt;C&gt;1&lt;/C&gt;&lt;D xsi:type="xsd:double"&gt;5.243417&lt;/D&gt;&lt;/FQL&gt;&lt;FQL&gt;&lt;Q&gt;RPD-US^FE_ESTIMATE(PTX_INC_ADJ,MEAN,ANNUAL,-1,NOW,,,'')&lt;/Q&gt;&lt;R&gt;1&lt;/R&gt;&lt;C&gt;1&lt;/C&gt;&lt;D xsi:type="xsd:double"&gt;-26.5145&lt;/D&gt;&lt;/FQL&gt;&lt;FQL&gt;&lt;Q&gt;RPD-US^FE_ESTIMATE(SALES,MEAN,QUARTERLY,-3,NOW,,,'')&lt;/Q&gt;&lt;R&gt;1&lt;/R&gt;&lt;C&gt;1&lt;/C&gt;&lt;D xsi:type="xsd:double"&gt;54.515&lt;/D&gt;&lt;/FQL&gt;&lt;FQL&gt;&lt;Q&gt;RPD-US^FE_ESTIMATE(EBIT_ADJ,MEAN,ANNUAL,-1,NOW,,,'')&lt;/Q&gt;&lt;R&gt;1&lt;/R&gt;&lt;C&gt;1&lt;/C&gt;&lt;D xsi:type="xsd:double"&gt;-26.273&lt;/D&gt;&lt;/FQL&gt;&lt;FQL&gt;&lt;Q&gt;RPD-US^FE_ESTIMATE(PTX_INC_ADJ,MEAN,QUARTERLY,-1,NOW,,,'')&lt;/Q&gt;&lt;R&gt;1&lt;/R&gt;&lt;C&gt;1&lt;/C&gt;&lt;D xsi:type="xsd:double"&gt;-2.8541667&lt;/D&gt;&lt;/FQL&gt;&lt;FQL&gt;&lt;Q&gt;RPD-US^FE_ESTIMATE(PTX_INC_ADJ,MEAN,ANNUAL,+2,NOW,,,'')&lt;/Q&gt;&lt;R&gt;1&lt;/R&gt;&lt;C&gt;1&lt;/C&gt;&lt;D xsi:type="xsd:double"&gt;19.46857&lt;/D&gt;&lt;/FQL&gt;&lt;FQL&gt;&lt;Q&gt;RPD-US^FE_ESTIMATE(NET_INC_ADJ,MEAN,QUARTERLY,+8,NOW,,,'')&lt;/Q&gt;&lt;R&gt;1&lt;/R&gt;&lt;C&gt;1&lt;/C&gt;&lt;D xsi:type="xsd:double"&gt;10.758142&lt;/D&gt;&lt;/FQL&gt;&lt;FQL&gt;&lt;Q&gt;RPD-US^FE_ESTIMATE(SALES,MEAN,QUARTERLY,-2,NOW,,,'')&lt;/Q&gt;&lt;R&gt;1&lt;/R&gt;&lt;C&gt;1&lt;/C&gt;&lt;D xsi:type="xsd:double"&gt;58.441&lt;/D&gt;&lt;/FQL&gt;&lt;FQL&gt;&lt;Q&gt;RPD-US^FE_ESTIMATE(NET_INC_ADJ,MEAN,QUARTERLY,+5,NOW,,,'')&lt;/Q&gt;&lt;R&gt;1&lt;/R&gt;&lt;C&gt;1&lt;/C&gt;&lt;D xsi:type="xsd:double"&gt;1.5418571&lt;/D&gt;&lt;/FQL&gt;&lt;FQL&gt;&lt;Q&gt;RPD-US^FE_ESTIMATE(SALES,MEAN,QUARTERLY,-1,NOW,,,'')&lt;/Q&gt;&lt;R&gt;1&lt;/R&gt;&lt;C&gt;1&lt;/C&gt;&lt;D xsi:type="xsd:double"&gt;62.365&lt;/D&gt;&lt;/FQL&gt;&lt;FQL&gt;&lt;Q&gt;RPD-US^FE_ESTIMATE(NET_INC_ADJ,MEAN,ANNUAL,-1,NOW,,,'')&lt;/Q&gt;&lt;R&gt;1&lt;/R&gt;&lt;C&gt;1&lt;/C&gt;&lt;D xsi:type="xsd:double"&gt;-25.635693&lt;/D&gt;&lt;/FQL&gt;&lt;FQL&gt;&lt;Q&gt;RPD-US^FE_ESTIMATE(PTX_INC_ADJ,MEAN,QUARTERLY,+1,NOW,,,'')&lt;/Q&gt;&lt;R&gt;1&lt;/R&gt;&lt;C&gt;1&lt;/C&gt;&lt;D xsi:type="xsd:double"&gt;-4.0593333&lt;/D&gt;&lt;/FQL&gt;&lt;FQL&gt;&lt;Q&gt;RPD-US^FE_ESTIMATE(EBIT_ADJ,MEAN,QUARTERLY,-3,NOW,,,'')&lt;/Q&gt;&lt;R&gt;1&lt;/R&gt;&lt;C&gt;1&lt;/C&gt;&lt;D xsi:type="xsd:double"&gt;-8.872&lt;/D&gt;&lt;/FQL&gt;&lt;FQL&gt;&lt;Q&gt;RPD-US^FE_ESTIMATE(EBIT_ADJ,MEAN,QUARTERLY,+6,NOW,,,'')&lt;/Q&gt;&lt;R&gt;1&lt;/R&gt;&lt;C&gt;1&lt;/C&gt;&lt;D xsi:type="xsd:double"&gt;3.69825&lt;/D&gt;&lt;/FQL&gt;&lt;FQL&gt;&lt;Q&gt;RPD-US^FE_ESTIMATE(EPS,MEAN,QUARTERLY,+8,NOW,,,'')&lt;/Q&gt;&lt;R&gt;1&lt;/R&gt;&lt;C&gt;1&lt;/C&gt;&lt;D xsi:type="xsd:double"&gt;0.17605034&lt;/D&gt;&lt;/FQL&gt;&lt;FQL&gt;&lt;Q&gt;RPD-US^FE_ESTIMATE(SALES,MEAN,QUARTERLY,+5,NOW,,,'')&lt;/Q&gt;&lt;R&gt;1&lt;/R&gt;&lt;C&gt;1&lt;/C&gt;&lt;D xsi:type="xsd:double"&gt;85.76325&lt;/D&gt;&lt;/FQL&gt;&lt;FQL&gt;&lt;Q&gt;RPD-US^FE_ESTIMATE(EBIT_ADJ,MEAN,ANNUAL,+1,NOW,,,'')&lt;/Q&gt;&lt;R&gt;1&lt;/R&gt;&lt;C&gt;1&lt;/C&gt;&lt;D xsi:type="xsd:double"&gt;1.1615714&lt;/D&gt;&lt;/FQL&gt;&lt;FQL&gt;&lt;Q&gt;RPD-US^FE_ESTIMATE(PTX_INC_ADJ,MEAN,QUARTERLY,+4,NOW,,,'')&lt;/Q&gt;&lt;R&gt;1&lt;/R&gt;&lt;C&gt;1&lt;/C&gt;&lt;D xsi:type="xsd:double"&gt;4.7613335&lt;/D&gt;&lt;/FQL&gt;&lt;FQL&gt;&lt;Q&gt;RPD-US^FE_ESTIMATE(NET_INC_ADJ,MEAN,QUARTERLY,+3,NOW,,,'')&lt;/Q&gt;&lt;R&gt;1&lt;/R&gt;&lt;C&gt;1&lt;/C&gt;&lt;D xsi:type="xsd:double"&gt;2.3219166&lt;/D&gt;&lt;/FQL&gt;&lt;FQL&gt;&lt;Q&gt;RPD-US^FE_ESTIMATE(EPS,MEAN,QUARTERLY,+6,NOW,,,'')&lt;/Q&gt;&lt;R&gt;1&lt;/R&gt;&lt;C&gt;1&lt;/C&gt;&lt;D xsi:type="xsd:double"&gt;0.06531399&lt;/D&gt;&lt;/FQL&gt;&lt;FQL&gt;&lt;Q&gt;RPD-US^FE_ESTIMATE(PTX_INC_ADJ,MEAN,QUARTERLY,+3,NOW,,,'')&lt;/Q&gt;&lt;R&gt;1&lt;/R&gt;&lt;C&gt;1&lt;/C&gt;&lt;D xsi:type="xsd:double"&gt;1.6441667&lt;/D&gt;&lt;/FQL&gt;&lt;FQL&gt;&lt;Q&gt;RPD-US^FE_ESTIMATE(SALES,MEAN,ANNUAL,-1,NOW,,,'')&lt;/Q&gt;&lt;R&gt;1&lt;/R&gt;&lt;C&gt;1&lt;/C&gt;&lt;D xsi:type="xsd:double"&gt;200.94&lt;/D&gt;&lt;/FQL&gt;&lt;FQL&gt;&lt;Q&gt;RPD-US^FE_ESTIMATE(SALES,MEAN,QUARTERLY,+6,NOW,,,'')&lt;/Q&gt;&lt;R&gt;1&lt;/R&gt;&lt;C&gt;1&lt;/C&gt;&lt;D xsi:type="xsd:double"&gt;90.669624&lt;/D&gt;&lt;/FQL&gt;&lt;FQL&gt;&lt;Q&gt;RPD-US^FE_ESTIMATE(EBIT_ADJ,MEAN,ANNUAL,+2,NOW,,,'')&lt;/Q&gt;&lt;R&gt;1&lt;/R&gt;&lt;C&gt;1&lt;/C&gt;&lt;D xsi:type="xsd:double"&gt;19.252428&lt;/D&gt;&lt;/FQL&gt;&lt;FQL&gt;&lt;Q&gt;RPD-US^FE_ESTIMATE(PTX_INC_ADJ,MEAN,QUARTERLY,+8,NOW,,,'')&lt;/Q&gt;&lt;R&gt;1&lt;/R&gt;&lt;C&gt;1&lt;/C&gt;&lt;D xsi:type="xsd:double"&gt;10.649333&lt;/D&gt;&lt;/FQL&gt;&lt;FQL&gt;&lt;Q&gt;RPD-US^FE_ESTIMATE(NET_INC_ADJ,MEAN,QUARTERLY,+7,NOW,,,'')&lt;/Q&gt;&lt;R&gt;1&lt;/R&gt;&lt;C&gt;1&lt;/C&gt;&lt;D xsi:type="xsd:double"&gt;6.8865714&lt;/D&gt;&lt;/FQL&gt;&lt;FQL&gt;&lt;Q&gt;RPD-US^FE_ESTIMATE(EPS,MEAN,QUARTERLY,+7,NOW,,,'')&lt;/Q&gt;&lt;R&gt;1&lt;/R&gt;&lt;C&gt;1&lt;/C&gt;&lt;D xsi:type="xsd:double"&gt;0.1196005&lt;/D&gt;&lt;/FQL&gt;&lt;FQL&gt;&lt;Q&gt;RPD-US^FE_ESTIMATE(PTX_INC_ADJ,MEAN,QUARTERLY,+6,NOW,,,'')&lt;/Q&gt;&lt;R&gt;1&lt;/R&gt;&lt;C&gt;1&lt;/C&gt;&lt;D xsi:type="xsd:double"&gt;4.325&lt;/D&gt;&lt;/FQL&gt;&lt;FQL&gt;&lt;Q&gt;RPD-US^FE_ESTIMATE(SALES,MEAN,ANNUAL,0,NOW,,,'')&lt;/Q&gt;&lt;R&gt;1&lt;/R&gt;&lt;C&gt;1&lt;/C&gt;&lt;D xsi:type="xsd:double"&gt;244.091&lt;/D&gt;&lt;/FQL&gt;&lt;FQL&gt;&lt;Q&gt;RPD-US^FE_ESTIMATE(EBIT_ADJ,MEAN,QUARTERLY,0,NOW,,,'')&lt;/Q&gt;&lt;R&gt;1&lt;/R&gt;&lt;C&gt;1&lt;/C&gt;&lt;D xsi:type="xsd:double"&gt;-2.695&lt;/D&gt;&lt;/FQL&gt;&lt;FQL&gt;&lt;Q&gt;RPD-US^FE_ESTIMATE(NET_INC_ADJ,MEAN,QUARTERLY,-2,NOW,,,'')&lt;/Q&gt;&lt;R&gt;1&lt;/R&gt;&lt;C&gt;1&lt;/C&gt;&lt;D xsi:type="xsd:double"&gt;-5.985&lt;/D&gt;&lt;/FQL&gt;&lt;FQL&gt;&lt;Q&gt;RPD-US^FE_ESTIMATE(EPS,MEAN,QUARTERLY,+1,NOW,,,'')&lt;/Q&gt;&lt;R&gt;1&lt;/R&gt;&lt;C&gt;1&lt;/C&gt;&lt;D xsi:type="xsd:double"&gt;-0.083404526&lt;/D&gt;&lt;/FQL&gt;&lt;FQL&gt;&lt;Q&gt;RPD-US^FE_ESTIMATE(SALES,MEAN,QUARTERLY,+8,NOW,,,'')&lt;/Q&gt;&lt;R&gt;1&lt;/R&gt;&lt;C&gt;1&lt;/C&gt;&lt;D xsi:type="xsd:double"&gt;106.52025&lt;/D&gt;&lt;/FQL&gt;&lt;FQL&gt;&lt;Q&gt;RPD-US^FE_ESTIMATE(EPS,MEAN,QUARTERLY,+5,NOW,,,'')&lt;/Q&gt;&lt;R&gt;1&lt;/R&gt;&lt;C&gt;1&lt;/C&gt;&lt;D xsi:type="xsd:double"&gt;0.022171829&lt;/D&gt;&lt;/FQL&gt;&lt;FQL&gt;&lt;Q&gt;RPD-US^FE_ESTIMATE(PTX_INC_ADJ,MEAN,QUARTERLY,-3,NOW,,,'')&lt;/Q&gt;&lt;R&gt;1&lt;/R&gt;&lt;C&gt;1&lt;/C&gt;&lt;D xsi:type="xsd:double"&gt;-8.568666&lt;/D&gt;&lt;/FQL&gt;&lt;FQL&gt;&lt;Q&gt;RPD-US^FE_ESTIMATE(EBIT_ADJ,MEAN,ANNUAL,0,NOW,,,'')&lt;/Q&gt;&lt;R&gt;1&lt;/R&gt;&lt;C&gt;1&lt;/C&gt;&lt;D xsi:type="xsd:double"&gt;-20.4&lt;/D&gt;&lt;/FQL&gt;&lt;FQL&gt;&lt;Q&gt;RPD-US^FE_ESTIMATE(EBIT_ADJ,MEAN,QUARTERLY,+2,NOW,,,'')&lt;/Q&gt;&lt;R&gt;1&lt;/R&gt;&lt;C&gt;1&lt;/C&gt;&lt;D xsi:type="xsd:double"&gt;-0.9882857&lt;/D&gt;&lt;/FQL&gt;&lt;FQL&gt;&lt;Q&gt;RPD-US^FE_ESTIMATE(EPS,MEAN,QUARTERLY,+4,NOW,,,'')&lt;/Q&gt;&lt;R&gt;1&lt;/R&gt;&lt;C&gt;1&lt;/C&gt;&lt;D xsi:type="xsd:double"&gt;0.09396738&lt;/D&gt;&lt;/FQL&gt;&lt;FQL&gt;&lt;Q&gt;RPD-US^FE_ESTIMATE(SALES,MEAN,QUARTERLY,+7,NOW,,,'')&lt;/Q&gt;&lt;R&gt;1&lt;/R&gt;&lt;C&gt;1&lt;/C&gt;&lt;D xsi:type="xsd:double"&gt;97.24213&lt;/D&gt;&lt;/FQL&gt;&lt;FQL&gt;&lt;Q&gt;RPD-US^FE_ESTIMATE(NET_INC_ADJ,MEAN,ANNUAL,+1,NOW,,,'')&lt;/Q&gt;&lt;R&gt;1&lt;/R&gt;&lt;C&gt;1&lt;/C&gt;&lt;D xsi:type="xsd:double"&gt;3.084712&lt;/D&gt;&lt;/FQL&gt;&lt;FQL&gt;&lt;Q&gt;RPD-US^FE_ESTIMATE(SALES,MEAN,ANNUAL,+2,NOW,,,'')&lt;/Q&gt;&lt;R&gt;1&lt;/R&gt;&lt;C&gt;1&lt;/C&gt;&lt;D xsi:type="xsd:double"&gt;376.7502&lt;/D&gt;&lt;/FQL&gt;&lt;FQL&gt;&lt;Q&gt;RPD-US^FE_ESTIMATE(EBIT_ADJ,MEAN,QUARTERLY,+8,NOW,,,'')&lt;/Q&gt;&lt;R&gt;1&lt;/R&gt;&lt;C&gt;1&lt;/C&gt;&lt;D xsi:type="xsd:double"&gt;10.7905&lt;/D&gt;&lt;/FQL&gt;&lt;FQL&gt;&lt;Q&gt;RPD-US^FE_ESTIMATE(PTX_INC_ADJ,MEAN,QUARTERLY,+7,NOW,,,'')&lt;/Q&gt;&lt;R&gt;1&lt;/R&gt;&lt;C&gt;1&lt;/C&gt;&lt;D xsi:type="xsd:double"&gt;6.633&lt;/D&gt;&lt;/FQL&gt;&lt;FQL&gt;&lt;Q&gt;RPD-US^FE_ESTIMATE(NET_INC_ADJ,MEAN,QUARTERLY,+6,NOW,,,'')&lt;/Q&gt;&lt;R&gt;1&lt;/R&gt;&lt;C&gt;1&lt;/C&gt;&lt;D xsi:type="xsd:double"&gt;3.7282858&lt;/D&gt;&lt;/FQL&gt;&lt;FQL&gt;&lt;Q&gt;RPD-US^FE_ESTIMATE(SALES,MEAN,ANNUAL,+1,NOW,,,'')&lt;/Q&gt;&lt;R&gt;1&lt;/R&gt;&lt;C&gt;1&lt;/C&gt;&lt;D xsi:type="xsd:double"&gt;308.6817&lt;/D&gt;&lt;/FQL&gt;&lt;FQL&gt;&lt;Q&gt;RPD-US^FE_ESTIMATE(NET_INC_ADJ,MEAN,QUARTERLY,-1,NOW,,,'')&lt;/Q&gt;&lt;R&gt;1&lt;/R&gt;&lt;C&gt;1&lt;/C&gt;&lt;D xsi:type="xsd:double"&gt;-2.056&lt;/D&gt;&lt;/FQL&gt;&lt;FQL&gt;&lt;Q&gt;RPD-US^FE_ESTIMATE(SALES,MEAN,QUARTERLY,0,NOW,,,'')&lt;/Q&gt;&lt;R&gt;1&lt;/R&gt;&lt;C&gt;1&lt;/C&gt;&lt;D xsi:type="xsd:double"&gt;68.77&lt;/D&gt;&lt;/FQL&gt;&lt;FQL&gt;&lt;Q&gt;RPD-US^FE_ESTIMATE(EBIT_ADJ,MEAN,QUARTERLY,-1,NOW,,,'')&lt;/Q&gt;&lt;R&gt;1&lt;/R&gt;&lt;C&gt;1&lt;/C&gt;&lt;D xsi:type="xsd:double"&gt;-2.822&lt;/D&gt;&lt;/FQL&gt;&lt;FQL&gt;&lt;Q&gt;RPD-US^FE_ESTIMATE(PTX_INC_ADJ,MEAN,QUARTERLY,-2,NOW,,,'')&lt;/Q&gt;&lt;R&gt;1&lt;/R&gt;&lt;C&gt;1&lt;/C&gt;&lt;D xsi:type="xsd:double"&gt;-5.8737144&lt;/D&gt;&lt;/FQL&gt;&lt;FQL&gt;&lt;Q&gt;RPD-US^FE_ESTIMATE(NET_INC_ADJ,MEAN,QUARTERLY,-3,NOW,,,'')&lt;/Q&gt;&lt;R&gt;1&lt;/R&gt;&lt;C&gt;1&lt;/C&gt;&lt;D xsi:type="xsd:double"&gt;-8.648&lt;/D&gt;&lt;/FQL&gt;&lt;FQL&gt;&lt;Q&gt;RPD-US^FE_ESTIMATE(EPS,MEAN,ANNUAL,0,NOW,,,'')&lt;/Q&gt;&lt;R&gt;1&lt;/R&gt;&lt;C&gt;1&lt;/C&gt;&lt;D xsi:type="xsd:double"&gt;-0.41&lt;/D&gt;&lt;/FQL&gt;&lt;FQL&gt;&lt;Q&gt;RPD-US^FE_ESTIMATE(SALES,MEAN,QUARTERLY,+1,NOW,,,'')&lt;/Q&gt;&lt;R&gt;1&lt;/R&gt;&lt;C&gt;1&lt;/C&gt;&lt;D xsi:type="xsd:double"&gt;69.861664&lt;/D&gt;&lt;/FQL&gt;&lt;FQL&gt;&lt;Q&gt;RPD-US^FE_ESTIMATE(NET_INC_ADJ,MEAN,QUARTERLY,+2,NOW,,,'')&lt;/Q&gt;&lt;R&gt;1&lt;/R&gt;&lt;C&gt;1&lt;/C&gt;&lt;D xsi:type="xsd:double"&gt;-0.58575&lt;/D&gt;&lt;/FQL&gt;&lt;FQL&gt;&lt;Q&gt;RPD-US^FE_ESTIMATE(SALES,MEAN,QUARTERLY,+4,NOW,,,'')&lt;/Q&gt;&lt;R&gt;1&lt;/R&gt;&lt;C&gt;1&lt;/C&gt;&lt;D xsi:type="xsd:double"&gt;86.70758&lt;/D&gt;&lt;/FQL&gt;&lt;FQL&gt;&lt;Q&gt;RPD-US^FE_ESTIMATE(EBIT_ADJ,MEAN,QUARTERLY,+3,NOW,,,'')&lt;/Q&gt;&lt;R&gt;1&lt;/R&gt;&lt;C&gt;1&lt;/C&gt;&lt;D xsi:type="xsd:double"&gt;1.4234285&lt;/D&gt;&lt;/FQL&gt;&lt;FQL&gt;&lt;Q&gt;RPD-US^FE_ESTIMATE(PTX_INC_ADJ,MEAN,QUARTERLY,+2,NOW,,,'')&lt;/Q&gt;&lt;R&gt;1&lt;/R&gt;&lt;C&gt;1&lt;/C&gt;&lt;D xsi:type="xsd:double"&gt;-0.4965&lt;/D&gt;&lt;/FQL&gt;&lt;FQL&gt;&lt;Q&gt;RPD-US^FE_ESTIMATE(NET_INC_ADJ,MEAN,QUARTERLY,+1,NOW,,,'')&lt;/Q&gt;&lt;R&gt;1&lt;/R&gt;&lt;C&gt;1&lt;/C&gt;&lt;D xsi:type="xsd:double"&gt;-3.8708334&lt;/D&gt;&lt;/FQL&gt;&lt;FQL&gt;&lt;Q&gt;RPD-US^FE_ESTIMATE(EPS,MEAN,ANNUAL,+1,NOW,,,'')&lt;/Q&gt;&lt;R&gt;1&lt;/R&gt;&lt;C&gt;1&lt;/C&gt;&lt;D xsi:type="xsd:double"&gt;0.053544864&lt;/D&gt;&lt;/FQL&gt;&lt;FQL&gt;&lt;Q&gt;RPD-US^FE_ESTIMATE(EBIT_ADJ,MEAN,QUARTERLY,+4,NOW,,,'')&lt;/Q&gt;&lt;R&gt;1&lt;/R&gt;&lt;C&gt;1&lt;/C&gt;&lt;D xsi:type="xsd:double"&gt;5.0577145&lt;/D&gt;&lt;/FQL&gt;&lt;/Schema&gt;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</authors>
  <commentList>
    <comment ref="V1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Adjusted for 606</t>
        </r>
      </text>
    </comment>
    <comment ref="V1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Adjusted for 606</t>
        </r>
      </text>
    </comment>
    <comment ref="V1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Adjusted for 606</t>
        </r>
      </text>
    </comment>
    <comment ref="V3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Adjusted for 606</t>
        </r>
      </text>
    </comment>
    <comment ref="V3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Adjusted for 606</t>
        </r>
      </text>
    </comment>
    <comment ref="V43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Adjusted for 606</t>
        </r>
      </text>
    </comment>
    <comment ref="V48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Adjusted 606</t>
        </r>
      </text>
    </comment>
    <comment ref="AB6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Guide(CY3Q18): Breakeven</t>
        </r>
      </text>
    </comment>
    <comment ref="AG6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Positive</t>
        </r>
      </text>
    </comment>
    <comment ref="AG68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Negative due to HQ move and facility consolidation</t>
        </r>
      </text>
    </comment>
    <comment ref="V124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92.0-93.0</t>
        </r>
      </text>
    </comment>
    <comment ref="W124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254.8-255.8</t>
        </r>
      </text>
    </comment>
    <comment ref="B129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Deferred Commissions or essentially the difference between ASC 605 and 606 in the NG S&amp;M Line as noted on the Q1 call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  <author>Cikos, Michael</author>
    <author>Dezort, Matt</author>
    <author>Hopson, Jeffrey</author>
  </authors>
  <commentList>
    <comment ref="V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(14.0)-(13.3)</t>
        </r>
      </text>
    </comment>
    <comment ref="W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(46.5)-(45.8)</t>
        </r>
      </text>
    </comment>
    <comment ref="W2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(Q2): ~2016 levels or ~ 9.1
Guide (Q3): ~2016 levels or ~ 9.1
Guide (Q4-Pre): 12.5-13.0</t>
        </r>
      </text>
    </comment>
    <comment ref="AB2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12.5-13.0 - consistent year-year
Guide (Q4): Shift to cloud and product mix impacts OCF-approximately CY17 levels
Guide(CY1Q18): CY17 levels
Guide(CY2Q18): Positive but less than CY17 levels
Guide(CY3Q18): Breakeven</t>
        </r>
      </text>
    </comment>
    <comment ref="AG2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12.5-13.0 - consistent year-year
Guide (Q4): Shift to cloud and product mix impacts OCF-approximately CY17 levels
Guide(CY1Q18): CY17 levels
Guide(CY2Q18): Positive but less than CY17 levels
Guide(CY3Q18): Breakeven</t>
        </r>
      </text>
    </comment>
    <comment ref="AQ26" authorId="1" shapeId="0" xr:uid="{BE294842-9C1D-4BB8-888A-0596CDB1FCAF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$31.5M</t>
        </r>
      </text>
    </comment>
    <comment ref="BK26" authorId="1" shapeId="0" xr:uid="{813A5EA0-9925-4FAF-AEAD-E143B29F1129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1QCY25 Guide: $146M-$156M</t>
        </r>
      </text>
    </comment>
    <comment ref="BK30" authorId="1" shapeId="0" xr:uid="{3E51AEB4-342A-49BB-B4B4-66C4421C94B3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1QCY25 Guide: $7M</t>
        </r>
      </text>
    </comment>
    <comment ref="AQ31" authorId="1" shapeId="0" xr:uid="{24A04CC9-6226-4D25-8292-E6B6AA7D19F9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$8.0M</t>
        </r>
      </text>
    </comment>
    <comment ref="BK31" authorId="1" shapeId="0" xr:uid="{2DB04AD8-AEA2-4D74-84ED-50BEDFE3D77D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1QCY25 Guide: $14M</t>
        </r>
      </text>
    </comment>
    <comment ref="B34" authorId="2" shapeId="0" xr:uid="{EDD8129C-B833-49C8-BAAB-AD45D6BF60D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fmr Restricted cash</t>
        </r>
      </text>
    </comment>
    <comment ref="W68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Adjusted for ASC 606</t>
        </r>
      </text>
    </comment>
    <comment ref="AQ74" authorId="1" shapeId="0" xr:uid="{EDF7A193-524F-433F-8851-634EEF8B24CC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Guide: $25M</t>
        </r>
      </text>
    </comment>
    <comment ref="AV74" authorId="2" shapeId="0" xr:uid="{CFD3ACBD-A814-44AF-ADD7-BC9A9F42670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4QCY21 Guide: $40-$45M
3QCY22: $36-$40mm</t>
        </r>
      </text>
    </comment>
    <comment ref="AW74" authorId="2" shapeId="0" xr:uid="{8927C921-4672-4A8A-969E-8E4DDEB292C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negative due to one-time pmts/bonuses/taxes</t>
        </r>
      </text>
    </comment>
    <comment ref="BA74" authorId="2" shapeId="0" xr:uid="{AA7AC1F6-AB42-4868-9640-2BD61E6D39E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3Q: $80m
4QCY22 Guide: $80MM
1QCY23 Guide: Reit $80mm</t>
        </r>
      </text>
    </comment>
    <comment ref="BF74" authorId="2" shapeId="0" xr:uid="{B21268A9-3002-46BD-B788-67BDDFFFD74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3Q: $145-$155m
2Q: $150-$160m due to Noetic
CY4Q: At least $160m
CY2Q guide: at least 160mm
Q1: ~$160m</t>
        </r>
      </text>
    </comment>
    <comment ref="BK74" authorId="2" shapeId="0" xr:uid="{1F55D13F-3DB7-4CA3-91C3-B438C3393E6B}">
      <text>
        <r>
          <rPr>
            <b/>
            <sz val="9"/>
            <color indexed="81"/>
            <rFont val="Tahoma"/>
            <family val="2"/>
          </rPr>
          <t>Hopson, Jeff:</t>
        </r>
        <r>
          <rPr>
            <sz val="9"/>
            <color indexed="81"/>
            <rFont val="Tahoma"/>
            <family val="2"/>
          </rPr>
          <t xml:space="preserve">
4Q Guide: $135m
1QCY25 Guide: $125M-$135M
2QCY25 Guide: $125M-$135M
3QCY25 Guide $125M-$135M</t>
        </r>
      </text>
    </comment>
    <comment ref="BP74" authorId="3" shapeId="0" xr:uid="{CDC66138-0B5E-481F-8791-E0B320E1FAD4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$125-$135M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Dezort, Matt</author>
    <author>Hopson, Jeffrey</author>
    <author>Cikos, Michael</author>
  </authors>
  <commentList>
    <comment ref="BK47" authorId="0" shapeId="0" xr:uid="{CEA8B527-1B77-499E-96CB-1F9BD84A0DC3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4Q: Down $10m yoy</t>
        </r>
      </text>
    </comment>
    <comment ref="AR52" authorId="0" shapeId="0" xr:uid="{4CED7E19-BE1F-4181-91B1-377C7E6A963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137.3mm from deferred</t>
        </r>
      </text>
    </comment>
    <comment ref="AT52" authorId="0" shapeId="0" xr:uid="{E22AE3DE-92F4-42EB-AD22-57E573A7F68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$175-$177mm, 25-27% yoy growth</t>
        </r>
      </text>
    </comment>
    <comment ref="AU52" authorId="0" shapeId="0" xr:uid="{01F4A777-6975-43AB-83B9-1187B0DE858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$179-$181, 18-19% yoy</t>
        </r>
      </text>
    </comment>
    <comment ref="AV52" authorId="0" shapeId="0" xr:uid="{8FB2FC57-CFF0-48DC-8115-1971967FFE2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1Q Guide: $686-$692
2Q Guide: $686-$690MM, 28-29% yoy -- Embeds $5mm FX headwinds full year
3Q Guide: $680-$682, 27% yoy</t>
        </r>
      </text>
    </comment>
    <comment ref="AW52" authorId="0" shapeId="0" xr:uid="{C4107BF0-BE0A-45B5-88EC-C936048F3AE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Guide: $180-$182mm 14-16% yoy</t>
        </r>
      </text>
    </comment>
    <comment ref="AX52" authorId="0" shapeId="0" xr:uid="{3DD946B8-D8C8-461D-A5C7-8588F9EAC10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$187-$189mm, 12-13% yoy</t>
        </r>
      </text>
    </comment>
    <comment ref="AY52" authorId="0" shapeId="0" xr:uid="{DA621E0E-1C1D-4F9D-AAAD-C30C5B3EA99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$196-$198, 12-13% yoy</t>
        </r>
      </text>
    </comment>
    <comment ref="AZ52" authorId="0" shapeId="0" xr:uid="{83072728-BFB1-4D47-B2F2-A74368F3AD5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$200-$202m, 8-10% yoy</t>
        </r>
      </text>
    </comment>
    <comment ref="BA52" authorId="0" shapeId="0" xr:uid="{201B5519-21B3-4C5C-B6D8-D313EBED2DA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3Q: $773-$775m, 13% yoy
CY2Q: $771-775m, 13% yoy
771-778mm, 13-14% yoy
1QCY23 Guide: $773-$779mm, 13-14% yoy</t>
        </r>
      </text>
    </comment>
    <comment ref="BB52" authorId="0" shapeId="0" xr:uid="{2F1459B9-2C20-4ACD-80E7-6FF4DAC192F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$203-$205m, 11-12% yoy</t>
        </r>
      </text>
    </comment>
    <comment ref="BC52" authorId="1" shapeId="0" xr:uid="{4DA4C3E7-D5B2-4444-9171-9D6D97EAC5F3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$203-$205m</t>
        </r>
      </text>
    </comment>
    <comment ref="BD52" authorId="0" shapeId="0" xr:uid="{A46E5359-C6EE-48F5-97E0-581DF578589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$209-$211m, 5-6% yoy
Includes Noetic which closed on 07/03/24 for ~$39.2M</t>
        </r>
      </text>
    </comment>
    <comment ref="BE52" authorId="0" shapeId="0" xr:uid="{D1FA9CC3-6969-4A61-BEDC-11C000181E5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$211-213m 3-4% yoy</t>
        </r>
      </text>
    </comment>
    <comment ref="BF52" authorId="0" shapeId="0" xr:uid="{63A536F0-B330-408E-B44D-CBE71A7E2723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3Q: $839-841, 8% yoy
2Q: $833-$837m, 7-8%
Q1: $830-$836m
CY4Q: $848-856m,9-10% yoy
</t>
        </r>
      </text>
    </comment>
    <comment ref="BG52" authorId="0" shapeId="0" xr:uid="{8D2FB6CF-9F7F-4875-95AE-8DC9A873CD6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$207-$209m / 1-2% yoy</t>
        </r>
      </text>
    </comment>
    <comment ref="BH52" authorId="1" shapeId="0" xr:uid="{ABC233F1-DF44-4795-A7D7-7615729C96FA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Guide $211M-$213M</t>
        </r>
      </text>
    </comment>
    <comment ref="BI52" authorId="1" shapeId="0" xr:uid="{65D89D1D-9027-40BA-AF7E-8700C8041C8C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$215-$217M</t>
        </r>
      </text>
    </comment>
    <comment ref="BJ52" authorId="2" shapeId="0" xr:uid="{41A3B5FC-FBD2-4B0E-8EE2-9D0DD7B6FC8D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$214M-$216M</t>
        </r>
      </text>
    </comment>
    <comment ref="BK52" authorId="0" shapeId="0" xr:uid="{4A0D184D-427F-419D-90FD-0EF11F7EB03E}">
      <text>
        <r>
          <rPr>
            <b/>
            <sz val="9"/>
            <color indexed="81"/>
            <rFont val="Tahoma"/>
            <family val="2"/>
          </rPr>
          <t>Hopson, Jeff:</t>
        </r>
        <r>
          <rPr>
            <sz val="9"/>
            <color indexed="81"/>
            <rFont val="Tahoma"/>
            <family val="2"/>
          </rPr>
          <t xml:space="preserve">
4Q: $860-$870m / 2-3%
1QCY25 Guide: $853M-$863M
2QCY25 Guide: $853M-$863M
3QCY25 Guide $856M-$858M</t>
        </r>
      </text>
    </comment>
    <comment ref="BL52" authorId="1" shapeId="0" xr:uid="{B12EE06C-7441-47BE-9341-7DDEC370FF04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$207-209M</t>
        </r>
      </text>
    </comment>
    <comment ref="BP52" authorId="1" shapeId="0" xr:uid="{0EF11CD8-46E4-420E-A4FB-CBF5C80389F3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$835-$843M</t>
        </r>
      </text>
    </comment>
    <comment ref="BK78" authorId="0" shapeId="0" xr:uid="{5C08763E-6CC4-495D-87F9-BE2B44DDFED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stable yoy in mid 70%</t>
        </r>
      </text>
    </comment>
    <comment ref="AT103" authorId="0" shapeId="0" xr:uid="{45CCAFF0-E3BC-4D93-9FD4-F007FF8A4B1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$6-$8mm</t>
        </r>
      </text>
    </comment>
    <comment ref="AU103" authorId="0" shapeId="0" xr:uid="{191E6E10-125B-439A-8C58-9AE0398F104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$14-$16mm</t>
        </r>
      </text>
    </comment>
    <comment ref="AV103" authorId="0" shapeId="0" xr:uid="{95F0ABB1-89B5-43B7-800A-AAEC40F63A0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$20-$24mm
$25-$27mm</t>
        </r>
      </text>
    </comment>
    <comment ref="AW103" authorId="0" shapeId="0" xr:uid="{14725861-AA91-4C7E-A038-FCE0BD15B2C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$5-7mm</t>
        </r>
      </text>
    </comment>
    <comment ref="AX103" authorId="0" shapeId="0" xr:uid="{0A7F089C-E31D-48C6-B2F3-0A671A08FC3F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$7-$9mm</t>
        </r>
      </text>
    </comment>
    <comment ref="AY103" authorId="0" shapeId="0" xr:uid="{AE225D04-EF29-40B7-9476-F9E0AE51B93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$29-31m</t>
        </r>
      </text>
    </comment>
    <comment ref="AZ103" authorId="0" shapeId="0" xr:uid="{7E775C78-583F-4B45-8B54-BC6FA6ED37F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$33-$35m</t>
        </r>
      </text>
    </comment>
    <comment ref="BA103" authorId="0" shapeId="0" xr:uid="{322968E4-BF5C-4A13-9CD8-342C7778D76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3Q: $94-$96m
CY2Q: $86-$90
1QCY23 Guide: $59-$63mm
57-62mm
</t>
        </r>
      </text>
    </comment>
    <comment ref="BB103" authorId="0" shapeId="0" xr:uid="{A76F3F45-A168-4FF6-9A25-AF3ECF9D349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$37-$39m</t>
        </r>
      </text>
    </comment>
    <comment ref="BC103" authorId="1" shapeId="0" xr:uid="{14889305-CC01-4CF1-A3CB-F760707B22A6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$35-$37m</t>
        </r>
      </text>
    </comment>
    <comment ref="BD103" authorId="0" shapeId="0" xr:uid="{8E2C36E3-EE24-4C4A-8E64-5F0E6666D02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$36-$38m</t>
        </r>
      </text>
    </comment>
    <comment ref="BE103" authorId="0" shapeId="0" xr:uid="{6A3551BA-0FA0-4326-AB9E-1BE68BA2B51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$33-35mm</t>
        </r>
      </text>
    </comment>
    <comment ref="BF103" authorId="0" shapeId="0" xr:uid="{926B9461-93A1-4AE2-9B1A-723C54569C2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3Q: $157-159m
2Q: $152-$156m
Q1: $150-$158m
CY4Q: $150-$158m
</t>
        </r>
      </text>
    </comment>
    <comment ref="BG103" authorId="0" shapeId="0" xr:uid="{2C228929-F19C-4726-846A-5253E87E971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$23-25m</t>
        </r>
      </text>
    </comment>
    <comment ref="BH103" authorId="1" shapeId="0" xr:uid="{2C326259-D998-4BE7-BFC8-B8A36E05F019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Guide $30M-$32M</t>
        </r>
      </text>
    </comment>
    <comment ref="BI103" authorId="1" shapeId="0" xr:uid="{572780E7-FAA8-46BD-96E7-2B91409E4F4A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$29-$31M</t>
        </r>
      </text>
    </comment>
    <comment ref="BJ103" authorId="2" shapeId="0" xr:uid="{9529865E-0EA3-4152-A669-6E6FE9EF10B3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$25M-$30M</t>
        </r>
      </text>
    </comment>
    <comment ref="BK103" authorId="0" shapeId="0" xr:uid="{6A2D1756-AC23-4020-ACE3-303E19FE769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4Q:$125-$135m
1QCY25 Guide: $125M-$135M
2QCY25 Guide: $125M-$135M
3QCY25 Guide $130M-$135M</t>
        </r>
      </text>
    </comment>
    <comment ref="BL103" authorId="1" shapeId="0" xr:uid="{1A7E3475-3651-46BF-AA0B-29DF3DDA05DC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$19-$21M</t>
        </r>
      </text>
    </comment>
    <comment ref="BP103" authorId="1" shapeId="0" xr:uid="{A5F63ADA-5037-41E6-AC16-4DCC4172CAF5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$108-$116M</t>
        </r>
      </text>
    </comment>
    <comment ref="AT117" authorId="0" shapeId="0" xr:uid="{C7161AB9-188A-434E-84E3-C6FAA26C8C1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$0.03-$0.06</t>
        </r>
      </text>
    </comment>
    <comment ref="AU117" authorId="0" shapeId="0" xr:uid="{48E3E5C8-171B-4262-A2B2-CA290E4E857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$0.17-$0.20</t>
        </r>
      </text>
    </comment>
    <comment ref="AV117" authorId="0" shapeId="0" xr:uid="{17D426C1-A1A1-4528-8B9D-996E65ED2E6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$0.08-$0.15
$0.17-$0.20</t>
        </r>
      </text>
    </comment>
    <comment ref="AW117" authorId="0" shapeId="0" xr:uid="{D450C081-2A08-4A87-944B-8E3776FAF3D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0.07-0.10</t>
        </r>
      </text>
    </comment>
    <comment ref="AX117" authorId="0" shapeId="0" xr:uid="{19DE406B-D7F1-487E-A689-A4C9385C6D2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$0.09-$0.12</t>
        </r>
      </text>
    </comment>
    <comment ref="AY117" authorId="0" shapeId="0" xr:uid="{7BE352D1-601D-4840-B37F-75E16EBF87E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$0.41-$0.44</t>
        </r>
      </text>
    </comment>
    <comment ref="AZ117" authorId="0" shapeId="0" xr:uid="{40713A3B-C98A-4DFE-9D6F-B2722B1AEE2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$0.47-$0.49</t>
        </r>
      </text>
    </comment>
    <comment ref="BA117" authorId="0" shapeId="0" xr:uid="{9197CEAC-53ED-4BA3-8953-613B111F661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3Q: $1.26-$1.29
CY2Q; $1.23-$1.29
0.81-0.88
$0.83-$0.89</t>
        </r>
      </text>
    </comment>
    <comment ref="BB117" authorId="0" shapeId="0" xr:uid="{A51D93E6-FDE8-4AE8-B84E-2ABB4CD0E55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$0.52-$0.55</t>
        </r>
      </text>
    </comment>
    <comment ref="BC117" authorId="1" shapeId="0" xr:uid="{83AAFD22-AEA5-4BB5-9E69-8A9B1EBB5418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$0.50-$0.53</t>
        </r>
      </text>
    </comment>
    <comment ref="BD117" authorId="0" shapeId="0" xr:uid="{9A4A3B89-756F-4016-948A-85269FBBBADF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$0.50-$0.53</t>
        </r>
      </text>
    </comment>
    <comment ref="BE117" authorId="0" shapeId="0" xr:uid="{D62FB1D2-B1A0-45A3-9A2E-9D2EB2F15FE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$0.48-$0.51</t>
        </r>
      </text>
    </comment>
    <comment ref="BF117" authorId="0" shapeId="0" xr:uid="{31C74E7B-C84B-4898-980D-80F9B36C555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Q3: $2.28-2.31
Q2: $2.15-2.20
Q1: $2.10-$2.21
CY4Q: $2.10-$2.21
</t>
        </r>
      </text>
    </comment>
    <comment ref="BG117" authorId="0" shapeId="0" xr:uid="{51D64B26-C7A1-43C0-A359-E6F1F3BEA41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$0.33-$0.36</t>
        </r>
      </text>
    </comment>
    <comment ref="BH117" authorId="1" shapeId="0" xr:uid="{CFD7A9B5-6B06-4D7F-8160-808AAFB7514A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Guide $0.43-$0.46</t>
        </r>
      </text>
    </comment>
    <comment ref="BI117" authorId="1" shapeId="0" xr:uid="{4655289A-A349-42DE-B349-5DB694A238D5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$0.44-$0.47</t>
        </r>
      </text>
    </comment>
    <comment ref="BJ117" authorId="2" shapeId="0" xr:uid="{A9548A45-37FD-455C-85B3-153994E54D12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$0.37-$0.44</t>
        </r>
      </text>
    </comment>
    <comment ref="BK117" authorId="0" shapeId="0" xr:uid="{DB50F829-D8D2-49C6-A6C7-C1EED7365EB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4Q: $1.72-1.85
1QCY25 Guide: $1.78-$1.91
2QCY25 Guide: $1.90-$2.03
3QCY25 Guide $2.02-$2.09</t>
        </r>
      </text>
    </comment>
    <comment ref="BL117" authorId="1" shapeId="0" xr:uid="{8170F65F-751F-4693-BAA1-BA3D653106F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$0.29-$0.32</t>
        </r>
      </text>
    </comment>
    <comment ref="BP117" authorId="1" shapeId="0" xr:uid="{96724728-31A7-4F4A-9D4B-D6BF87DEB7A2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$1.50-$1.60</t>
        </r>
      </text>
    </comment>
    <comment ref="AT119" authorId="0" shapeId="0" xr:uid="{ADA4500D-61A1-4F52-A9EB-404217C8052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Guide: 66.2mm
New accounting for converts begins in 3Q</t>
        </r>
      </text>
    </comment>
    <comment ref="AU119" authorId="0" shapeId="0" xr:uid="{1C3471A7-F66F-40DE-A754-ED16BEABF52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66mm</t>
        </r>
      </text>
    </comment>
    <comment ref="AV119" authorId="0" shapeId="0" xr:uid="{D311146A-0F8D-459C-ABF4-D9C789E3FBE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59.9mm</t>
        </r>
      </text>
    </comment>
    <comment ref="AW119" authorId="0" shapeId="0" xr:uid="{09DF1D93-AC24-4B7A-8FC4-104BDC20F6CF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66.4</t>
        </r>
      </text>
    </comment>
    <comment ref="AX119" authorId="0" shapeId="0" xr:uid="{7A558232-AD22-46DB-B352-7E347C8515B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67.4mm</t>
        </r>
      </text>
    </comment>
    <comment ref="AY119" authorId="0" shapeId="0" xr:uid="{56169C4A-9F43-442D-80B4-A1B191EF85E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71.7m</t>
        </r>
      </text>
    </comment>
    <comment ref="AZ119" authorId="0" shapeId="0" xr:uid="{C649AAF1-D76E-4BA5-9034-BD32D4586DDB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73.8m</t>
        </r>
      </text>
    </comment>
    <comment ref="BA119" authorId="0" shapeId="0" xr:uid="{6217DD3E-334B-4035-B530-638A826BEA6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CY2Q: 67.5
67.4
1QCY23 Guide: 67.6</t>
        </r>
      </text>
    </comment>
    <comment ref="BB119" authorId="0" shapeId="0" xr:uid="{EFE1387A-7F1D-4498-8D12-CFA40B9D1B0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74.4m</t>
        </r>
      </text>
    </comment>
    <comment ref="BC119" authorId="1" shapeId="0" xr:uid="{855625DC-1ED6-4E58-B247-1231EB1B34A3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74.6m</t>
        </r>
      </text>
    </comment>
    <comment ref="BD119" authorId="0" shapeId="0" xr:uid="{1FC1E585-CE56-45DF-91E9-CAC3C035361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74.9m</t>
        </r>
      </text>
    </comment>
    <comment ref="BE119" authorId="0" shapeId="0" xr:uid="{2B8F2699-7123-4126-B45F-C1E7FEA40FE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75.7m</t>
        </r>
      </text>
    </comment>
    <comment ref="BF119" authorId="0" shapeId="0" xr:uid="{4FA866B5-20AA-47E8-ADC6-ADF1A296652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Q2: 74.7m
Q1: 75.0m
Q4: 75.1m
</t>
        </r>
      </text>
    </comment>
    <comment ref="BG119" authorId="0" shapeId="0" xr:uid="{DDE3ACAB-77EC-4D98-80B2-B35D590807D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75.6m</t>
        </r>
      </text>
    </comment>
    <comment ref="BH119" authorId="1" shapeId="0" xr:uid="{3BEB4D46-C76B-4370-9392-489B5237C2D8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Guide 75.3M</t>
        </r>
      </text>
    </comment>
    <comment ref="BI119" authorId="1" shapeId="0" xr:uid="{826E8770-FBD5-42C9-B636-96E71DF4B42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75.8M</t>
        </r>
      </text>
    </comment>
    <comment ref="BJ119" authorId="2" shapeId="0" xr:uid="{77F4C799-9F86-49DF-AA69-A0A7C9B082A6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76.6M</t>
        </r>
      </text>
    </comment>
    <comment ref="BK119" authorId="0" shapeId="0" xr:uid="{678BA530-349B-4690-913B-3BF82E3192DD}">
      <text>
        <r>
          <rPr>
            <b/>
            <sz val="9"/>
            <color indexed="81"/>
            <rFont val="Tahoma"/>
            <family val="2"/>
          </rPr>
          <t xml:space="preserve">Dezort, Matt:
</t>
        </r>
        <r>
          <rPr>
            <sz val="9"/>
            <color indexed="81"/>
            <rFont val="Tahoma"/>
            <family val="2"/>
          </rPr>
          <t>4Q: 77.3m
1QCY25 Guide: 76.7M
2QCY25 Guide: 75.8M
3QCY25 Guide 75.9M</t>
        </r>
      </text>
    </comment>
    <comment ref="BL119" authorId="1" shapeId="0" xr:uid="{87F1A72C-C1B1-475E-AE72-6F419EF059AC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77.1M</t>
        </r>
      </text>
    </comment>
    <comment ref="BP119" authorId="1" shapeId="0" xr:uid="{CAA476DF-6750-44D0-AA09-3D38D8F2F604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78.2M</t>
        </r>
      </text>
    </comment>
    <comment ref="BA122" authorId="0" shapeId="0" xr:uid="{5F01285A-6BBC-4E18-9B00-1239EC64A84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From 10-K:
418 in product and service delivery and support, 840 in sales and marketing, 692 in research and development and 278 in general and administrative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  <author>Cikos, Michael</author>
    <author>Dezort, Matt</author>
  </authors>
  <commentList>
    <comment ref="V1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188.6</t>
        </r>
      </text>
    </comment>
    <comment ref="W10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169.1</t>
        </r>
      </text>
    </comment>
    <comment ref="V12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92-93</t>
        </r>
      </text>
    </comment>
    <comment ref="W12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(Q2): 231-237
Guide (Q3): 236.5-239.5
Guide (Q4-Pre): 254.8-255.8</t>
        </r>
      </text>
    </comment>
    <comment ref="AB12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Up slightly year-year due to shorter anticipated contract lengths and the impact of the shift to subscription</t>
        </r>
      </text>
    </comment>
    <comment ref="AG12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Up slightly year-year due to shorter anticipated contract lengths and the impact of the shift to subscription</t>
        </r>
      </text>
    </comment>
    <comment ref="X27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87% under 605</t>
        </r>
      </text>
    </comment>
    <comment ref="Y27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87% under 605</t>
        </r>
      </text>
    </comment>
    <comment ref="X3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13% under 605</t>
        </r>
      </text>
    </comment>
    <comment ref="Y3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13% under 605</t>
        </r>
      </text>
    </comment>
    <comment ref="X32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11% under 605</t>
        </r>
      </text>
    </comment>
    <comment ref="Y32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13% under 605</t>
        </r>
      </text>
    </comment>
    <comment ref="X34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89% under 605</t>
        </r>
      </text>
    </comment>
    <comment ref="Y34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83% under 606
87% under 605</t>
        </r>
      </text>
    </comment>
    <comment ref="Z34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85% under ASC 606
87% under ASC 605</t>
        </r>
      </text>
    </comment>
    <comment ref="AA34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82% under 606
85% under 605</t>
        </r>
      </text>
    </comment>
    <comment ref="AC34" authorId="1" shapeId="0" xr:uid="{5D27F375-4CDA-499B-AF20-D8D7B990CE29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from the 10-Q</t>
        </r>
      </text>
    </comment>
    <comment ref="AH34" authorId="1" shapeId="0" xr:uid="{C26AAF90-E671-48CC-AF57-263B4A1F31D2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from the 10-Q</t>
        </r>
      </text>
    </comment>
    <comment ref="AI34" authorId="1" shapeId="0" xr:uid="{7D9DC9AE-CB8E-4DE3-ACF0-916A6D9D33AC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from the 10-Q</t>
        </r>
      </text>
    </comment>
    <comment ref="AJ34" authorId="1" shapeId="0" xr:uid="{F90E0546-55DA-4C60-952A-6668C8CC94CD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from the 10-Q</t>
        </r>
      </text>
    </comment>
    <comment ref="AK34" authorId="1" shapeId="0" xr:uid="{F5905C8D-5AA4-49F4-AAC7-B7A195A8D029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from the 10-Q</t>
        </r>
      </text>
    </comment>
    <comment ref="B35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Already booked entering the quarter</t>
        </r>
      </text>
    </comment>
    <comment ref="AQ51" authorId="1" shapeId="0" xr:uid="{80996C20-0BEC-4186-87B7-C429A83FE4D9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$92.4M</t>
        </r>
      </text>
    </comment>
    <comment ref="V59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1.0-1.0</t>
        </r>
      </text>
    </comment>
    <comment ref="W59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2.9-2.9</t>
        </r>
      </text>
    </comment>
    <comment ref="AP59" authorId="2" shapeId="0" xr:uid="{4C8B71EC-B01A-4643-8185-FACA9185ECB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Disclosed in the Q</t>
        </r>
      </text>
    </comment>
    <comment ref="AQ59" authorId="1" shapeId="0" xr:uid="{3808BFF1-AFCE-4576-A437-EE551CAD84D6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$11.4M</t>
        </r>
      </text>
    </comment>
    <comment ref="AQ65" authorId="1" shapeId="0" xr:uid="{9C01641F-0CED-4601-A666-205902A44D3F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$0.1M</t>
        </r>
      </text>
    </comment>
    <comment ref="V67" authorId="0" shapeId="0" xr:uid="{00000000-0006-0000-0800-00001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0-0</t>
        </r>
      </text>
    </comment>
    <comment ref="W67" authorId="0" shapeId="0" xr:uid="{00000000-0006-0000-0800-00001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0.2-0.2</t>
        </r>
      </text>
    </comment>
    <comment ref="AQ67" authorId="1" shapeId="0" xr:uid="{1682824C-F735-4D95-AA46-5D7400AAD232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$1.2M</t>
        </r>
      </text>
    </comment>
    <comment ref="V69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0-0</t>
        </r>
      </text>
    </comment>
    <comment ref="W69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0.2-0.2</t>
        </r>
      </text>
    </comment>
    <comment ref="AQ69" authorId="1" shapeId="0" xr:uid="{3BF019B7-1E7F-4F82-BC98-138E1128B71E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$4.1M + $2.7M</t>
        </r>
      </text>
    </comment>
    <comment ref="V81" authorId="0" shapeId="0" xr:uid="{00000000-0006-0000-0800-00001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1.0-1.0</t>
        </r>
      </text>
    </comment>
    <comment ref="W81" authorId="0" shapeId="0" xr:uid="{00000000-0006-0000-0800-00001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2.9-2.9</t>
        </r>
      </text>
    </comment>
    <comment ref="V111" authorId="0" shapeId="0" xr:uid="{00000000-0006-0000-0800-00001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5.0-4.9</t>
        </r>
      </text>
    </comment>
    <comment ref="W111" authorId="0" shapeId="0" xr:uid="{00000000-0006-0000-0800-00001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19.7-19.6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Dezort, Matt</author>
    <author>Cikos, Michael</author>
    <author>Hopson, Jeffrey</author>
    <author>Boyd, Roger</author>
    <author>Park, Daniel</author>
  </authors>
  <commentList>
    <comment ref="AF7" authorId="0" shapeId="0" xr:uid="{0892B510-1976-4E10-AB56-EB3255F17A1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7,998 under new CCC</t>
        </r>
      </text>
    </comment>
    <comment ref="AH7" authorId="1" shapeId="0" xr:uid="{8DF570EB-04D4-4B9A-8227-AC6F7B879182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restated for new customer count method</t>
        </r>
      </text>
    </comment>
    <comment ref="AW7" authorId="0" shapeId="0" xr:uid="{53000532-99A6-4404-8F56-AE2EBE036A2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Over 11k</t>
        </r>
      </text>
    </comment>
    <comment ref="BB7" authorId="0" shapeId="0" xr:uid="{05A01A43-5BA9-4A1B-A86C-DD188B5F283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47% of the F100</t>
        </r>
      </text>
    </comment>
    <comment ref="BC7" authorId="0" shapeId="0" xr:uid="{E9CF5EC6-71CF-4B84-8FBC-988DEAC0919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Includes 46% of Fortune 100</t>
        </r>
      </text>
    </comment>
    <comment ref="BJ7" authorId="2" shapeId="0" xr:uid="{5E735CB9-8D1B-4853-BC04-05E28C57961C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from financial metrics file</t>
        </r>
      </text>
    </comment>
    <comment ref="AH8" authorId="0" shapeId="0" xr:uid="{44E9BDD3-08C8-4141-B30A-80159E0ACC6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Provided at Analyst Day - Growth adj for new CC convention</t>
        </r>
      </text>
    </comment>
    <comment ref="AD11" authorId="3" shapeId="0" xr:uid="{00000000-0006-0000-0700-000001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~175 from netfort</t>
        </r>
      </text>
    </comment>
    <comment ref="B31" authorId="4" shapeId="0" xr:uid="{F09E1531-0992-416C-AADA-AA5FB7CBD106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Comprised of content subscriptions, maintenance and support, cloud-based subscriptions, managed services subscriptions, and term license.</t>
        </r>
      </text>
    </comment>
    <comment ref="X32" authorId="4" shapeId="0" xr:uid="{00000000-0006-0000-07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77.3% under 606. 74.9% under 605</t>
        </r>
      </text>
    </comment>
    <comment ref="Y32" authorId="4" shapeId="0" xr:uid="{00000000-0006-0000-0700-00000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78.5% under 606
76.8% under 605</t>
        </r>
      </text>
    </comment>
    <comment ref="Z32" authorId="4" shapeId="0" xr:uid="{00000000-0006-0000-0700-00000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81.9% under ASC 606
80.7% under ASC 605</t>
        </r>
      </text>
    </comment>
    <comment ref="AN32" authorId="0" shapeId="0" xr:uid="{4F1BB56A-A4EF-4723-B333-809CB629E17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Disclosed in the 10Q</t>
        </r>
      </text>
    </comment>
    <comment ref="AS32" authorId="0" shapeId="0" xr:uid="{5D4EC340-7B70-4430-9102-EB340974358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Disclosed in the 10Q</t>
        </r>
      </text>
    </comment>
    <comment ref="B36" authorId="0" shapeId="0" xr:uid="{188965CF-D841-46AA-B2EB-02C461CDBC6F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Defined as customers with &gt;$1 Billion in Annual Revs or &gt;2,500 FTEs</t>
        </r>
      </text>
    </comment>
    <comment ref="AG36" authorId="0" shapeId="0" xr:uid="{9ACF062E-ED0C-4C6F-99EE-8438796D917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Finance Industry largest segment at ~15% of Total</t>
        </r>
      </text>
    </comment>
    <comment ref="AL36" authorId="0" shapeId="0" xr:uid="{7F2AC267-C7E2-43FC-8E0B-8C87D0E264D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Services Industry largest segment at ~16% of Total</t>
        </r>
      </text>
    </comment>
    <comment ref="AQ36" authorId="0" shapeId="0" xr:uid="{FA561632-AC9F-43DA-B5CD-51DEEB2EAFB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Services Industry largest segment at ~17% of Total</t>
        </r>
      </text>
    </comment>
    <comment ref="AV36" authorId="0" shapeId="0" xr:uid="{8CC9B877-866A-4155-80D1-39690DE11A1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Services Industry largest segment at ~17% of Total</t>
        </r>
      </text>
    </comment>
    <comment ref="BA36" authorId="0" shapeId="0" xr:uid="{F5D453BA-24DE-49C6-A905-E9645267537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Manufacturing largest segment at ~15% of Total</t>
        </r>
      </text>
    </comment>
    <comment ref="BF36" authorId="0" shapeId="0" xr:uid="{EAE926FB-E7D9-4328-82A1-3021D9DBE77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Manufacturing largest segment at ~15% of Total</t>
        </r>
      </text>
    </comment>
    <comment ref="AN41" authorId="1" shapeId="0" xr:uid="{2B9A24FF-0084-4322-A04E-E92453DFE520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07.19.21 - Pre-announced ~$489M (vs Street $478.8M) alongside IntSights acquisition</t>
        </r>
      </text>
    </comment>
    <comment ref="AQ41" authorId="1" shapeId="0" xr:uid="{949D4BB0-A354-4EE2-BE23-9FFE53B8ACB6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Guided to increase ~20% yr-yr
1QCY21 Guide: Raised to ~22% YoY to $530M
2QCY21 Guide: Raised to $576M 33% YoY
3QCY21 Guide: Raised to $586M</t>
        </r>
      </text>
    </comment>
    <comment ref="AS41" authorId="0" shapeId="0" xr:uid="{1B8D9688-99DF-4418-BFD7-13726115B81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Sec Trans just &gt;50% of ARR -- VM accts for rest</t>
        </r>
      </text>
    </comment>
    <comment ref="AV41" authorId="0" shapeId="0" xr:uid="{4F49BA6A-4FC5-4793-8E87-77E98EA978AB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4QCY21 Guide: $740-$750M 24-25% yoy growth
2QCY22 Guide: $740-$750 reit
3QCY22 Guide: $711-$717mm, 19-20% yoy</t>
        </r>
      </text>
    </comment>
    <comment ref="BA41" authorId="0" shapeId="0" xr:uid="{8BE8B60F-2AE2-422D-8552-3D2B67DB7BD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FY3Q: $800-$805M,12-13%
CY2Q: $800-$805, 12-13% yoy
815-825, 14-16% yoy
1QCY23 Guide: $815-$825 reit
</t>
        </r>
      </text>
    </comment>
    <comment ref="BC41" authorId="0" shapeId="0" xr:uid="{08D3D540-E4F4-4DD2-ADD1-DE80D5DA2D7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07.09.24 - PR reiterated $814-816m</t>
        </r>
      </text>
    </comment>
    <comment ref="BF41" authorId="0" shapeId="0" xr:uid="{04508443-699D-4977-B43A-9AFE4182561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Q3: $835-$845m, 4-5% yoy
Q2: $850-$860m, 6-7% yoy
Q1: $850-$860m
CY4Q: $885-$895m, up 10-11%</t>
        </r>
      </text>
    </comment>
    <comment ref="BI41" authorId="2" shapeId="0" xr:uid="{8FB6626A-D3AB-41B0-AB48-523D1479A63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end 3Q with ~$840M</t>
        </r>
      </text>
    </comment>
    <comment ref="BJ41" authorId="2" shapeId="0" xr:uid="{DA85A409-A7B0-4E9E-8E22-DA0F3ABF9FCD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from financial metrics file</t>
        </r>
      </text>
    </comment>
    <comment ref="BK41" authorId="0" shapeId="0" xr:uid="{AA4453E1-E56A-4CB3-87FA-9591CD7B5478}">
      <text>
        <r>
          <rPr>
            <b/>
            <sz val="9"/>
            <color indexed="81"/>
            <rFont val="Tahoma"/>
            <family val="2"/>
          </rPr>
          <t>Hopson, Jeff:</t>
        </r>
        <r>
          <rPr>
            <sz val="9"/>
            <color indexed="81"/>
            <rFont val="Tahoma"/>
            <family val="2"/>
          </rPr>
          <t xml:space="preserve">
4Q: $870-$890m / 4-6% yoy
1QCY25: $850M-$880M, 1%-5%
2QCY25: $850M-$865M, 1%-3%
</t>
        </r>
      </text>
    </comment>
    <comment ref="BL41" authorId="2" shapeId="0" xr:uid="{4F63ADB9-7003-4144-90D7-536E767E0FA0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$830M</t>
        </r>
      </text>
    </comment>
    <comment ref="V42" authorId="4" shapeId="0" xr:uid="{00000000-0006-0000-0700-00000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34-35%</t>
        </r>
      </text>
    </comment>
    <comment ref="BP42" authorId="0" shapeId="0" xr:uid="{F00C47FD-AE02-486B-BE39-EC65ABF7FA6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4Q24 Guide: Further acceleration vs. 2025
4QCY25: Not guiding</t>
        </r>
      </text>
    </comment>
    <comment ref="AR45" authorId="0" shapeId="0" xr:uid="{B7CEB576-550A-42B9-BE7E-AFB7013C1CCB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"50% of new ARR came from existing customers"</t>
        </r>
      </text>
    </comment>
    <comment ref="AS45" authorId="0" shapeId="0" xr:uid="{D1098E8C-8EA3-4AEE-A986-1C6D1B27123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Sec Transformation now ~70% of new ARR and growing 40% yoy</t>
        </r>
      </text>
    </comment>
    <comment ref="AX45" authorId="0" shapeId="0" xr:uid="{3C8A1F22-335D-4112-A0BF-704D68BBE9F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1/3 from new Threat or Cloud w Complete bundles</t>
        </r>
      </text>
    </comment>
    <comment ref="AY45" authorId="0" shapeId="0" xr:uid="{FD38C081-73A1-4FB7-80AA-32B971905EBB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23-25</t>
        </r>
      </text>
    </comment>
    <comment ref="AZ45" authorId="0" shapeId="0" xr:uid="{E0111099-CFD2-420A-8B19-C81643E2CE3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 ~$26mm -15% yoy w/ no budget flush</t>
        </r>
      </text>
    </comment>
    <comment ref="BC45" authorId="0" shapeId="0" xr:uid="{5EFC374E-E7CE-4CD1-9B22-71357C16B53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high-SD$ / $7.5M</t>
        </r>
      </text>
    </comment>
    <comment ref="BD45" authorId="0" shapeId="0" xr:uid="{1C2D0FED-F59B-4819-A1AA-ACF9A2CA9AC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high - SD$</t>
        </r>
      </text>
    </comment>
    <comment ref="AT46" authorId="0" shapeId="0" xr:uid="{D8A78F58-10ED-417A-83BA-B9D4EBC3253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Net New ARR growth to be negative again in 3Q before turning + in 4Q</t>
        </r>
      </text>
    </comment>
    <comment ref="AZ48" authorId="0" shapeId="0" xr:uid="{2566F4B1-4FD1-449D-9F0B-2D7A6ECEAAF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ticked up qtr-qtr from 40%</t>
        </r>
      </text>
    </comment>
    <comment ref="AH50" authorId="0" shapeId="0" xr:uid="{F2B9B637-2953-4765-AD4A-731E9AA1BDAF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Uses old CC methodology</t>
        </r>
      </text>
    </comment>
    <comment ref="AI50" authorId="0" shapeId="0" xr:uid="{BEE1E1BF-82E2-431E-8465-7447E972DEB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Uses old CC methodology</t>
        </r>
      </text>
    </comment>
    <comment ref="AJ50" authorId="0" shapeId="0" xr:uid="{CB15E005-3653-4811-8D0F-CAA5C199B3C3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Uses old CC methodology</t>
        </r>
      </text>
    </comment>
    <comment ref="AK50" authorId="0" shapeId="0" xr:uid="{89F10D42-09ED-4588-BF21-0AF41853887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Uses updated customer count</t>
        </r>
      </text>
    </comment>
    <comment ref="AR50" authorId="0" shapeId="0" xr:uid="{9B49F38A-2C5D-483A-84E7-46C00B21C81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CFO: "Could get to $80k near-term"</t>
        </r>
      </text>
    </comment>
    <comment ref="BJ50" authorId="2" shapeId="0" xr:uid="{AD5166C8-8D7C-498C-A391-787049F4FF54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$72K</t>
        </r>
      </text>
    </comment>
    <comment ref="V51" authorId="4" shapeId="0" xr:uid="{00000000-0006-0000-0700-00000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(Q4-Pre): 34-35%</t>
        </r>
      </text>
    </comment>
    <comment ref="AH51" authorId="0" shapeId="0" xr:uid="{8B0FEF9F-A40E-4A69-B3BB-E86580E59C0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Growth Rates from RPD's investor day slides</t>
        </r>
      </text>
    </comment>
    <comment ref="AS58" authorId="0" shapeId="0" xr:uid="{773F097C-DC36-4FD9-8B8D-6237CA16FD9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Sec Transformation &gt;50% of Total ARR</t>
        </r>
      </text>
    </comment>
    <comment ref="BG58" authorId="1" shapeId="0" xr:uid="{EF8D1C76-A87F-4279-BE92-FCF2D07A7CC9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1QCY25 Guide assumes "moderate stabilization over the course of this year"…with eacceleration beyond CY25</t>
        </r>
      </text>
    </comment>
    <comment ref="BG67" authorId="2" shapeId="0" xr:uid="{FEDEC957-DF78-4A42-95E7-05087C47D9AD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investor presentation 2021 previosuly noted 73% of total customers are VM</t>
        </r>
      </text>
    </comment>
    <comment ref="BG71" authorId="2" shapeId="0" xr:uid="{E0414319-81DE-4A95-8D98-F7AF0F17B8AC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online info cites $19-$23 per asset</t>
        </r>
      </text>
    </comment>
    <comment ref="BG72" authorId="2" shapeId="0" xr:uid="{F38E8F61-32DC-4DD3-B25C-268940BF9865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searched online to find 1500-1900 assets is average for enterprise</t>
        </r>
      </text>
    </comment>
    <comment ref="BL72" authorId="2" shapeId="0" xr:uid="{09C445DF-DD49-425A-977F-8208F2940108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searched online to find 1500-1900 assets is average for enterprise</t>
        </r>
      </text>
    </comment>
    <comment ref="BQ72" authorId="2" shapeId="0" xr:uid="{9D540F82-25AB-4AF7-898C-811C94FCDA14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searched online to find 1500-1900 assets is average for enterprise</t>
        </r>
      </text>
    </comment>
    <comment ref="BG81" authorId="2" shapeId="0" xr:uid="{A55A30E5-210E-43D8-A7D1-5EFA0B6B34D8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AWS marketplace says $6-$8 for 1.5k-2k assets</t>
        </r>
      </text>
    </comment>
    <comment ref="BL81" authorId="2" shapeId="0" xr:uid="{5603AE3A-C4D9-47DA-94C6-E180F8F1B719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AWS marketplace says $6-$8 for 1.5k-2k assets</t>
        </r>
      </text>
    </comment>
    <comment ref="BQ81" authorId="2" shapeId="0" xr:uid="{27478C49-278C-4D67-B1EB-3CB1FCD7877E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AWS marketplace says $6-$8 for 1.5k-2k assets</t>
        </r>
      </text>
    </comment>
    <comment ref="BE88" authorId="1" shapeId="0" xr:uid="{59989D29-DC74-445B-94C1-E6840A79AE6D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D&amp;R ARR "over $400M"</t>
        </r>
      </text>
    </comment>
    <comment ref="BG88" authorId="1" shapeId="0" xr:uid="{5F206857-CD4C-49FB-A5D1-454C7FECEF70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MDR is &gt;75% of D&amp;R</t>
        </r>
      </text>
    </comment>
    <comment ref="BB89" authorId="1" shapeId="0" xr:uid="{340A2D73-C1C8-46B2-8039-A26A5FAAC42A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*Needham estimate
Overall D&amp;R business maintained growth over 20% YoY</t>
        </r>
      </text>
    </comment>
    <comment ref="BE89" authorId="0" shapeId="0" xr:uid="{43D02911-E79D-47CA-B1E4-9E71967D4B30}">
      <text>
        <r>
          <rPr>
            <b/>
            <sz val="9"/>
            <color indexed="81"/>
            <rFont val="Tahoma"/>
            <family val="2"/>
          </rPr>
          <t xml:space="preserve">Cikos, Michael:
</t>
        </r>
        <r>
          <rPr>
            <sz val="9"/>
            <color indexed="81"/>
            <rFont val="Tahoma"/>
            <family val="2"/>
          </rPr>
          <t>Exited the year at iver $400M in ARR, growing Double-Digits YoY
*</t>
        </r>
        <r>
          <rPr>
            <sz val="9"/>
            <color indexed="81"/>
            <rFont val="Tahoma"/>
            <family val="2"/>
          </rPr>
          <t>Managed D&amp;R ~75% of Total D&amp;R ARR, growing Mid-Teens% YoY</t>
        </r>
      </text>
    </comment>
    <comment ref="BG89" authorId="1" shapeId="0" xr:uid="{9091EA4B-940F-4CC3-B4DE-5A642F81EE4A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*Needham estimate
D&amp;R described as &gt;50% of Total ARR with maintained Mid-Teens YoY growth</t>
        </r>
      </text>
    </comment>
    <comment ref="BJ89" authorId="2" shapeId="0" xr:uid="{E58F99EC-5170-490C-90C0-E3E2F56CAB1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D&amp;R 7% growth yr-yr</t>
        </r>
      </text>
    </comment>
    <comment ref="BG91" authorId="1" shapeId="0" xr:uid="{A0FBE7E1-863E-4961-A4FC-F40AE29D3062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*Needham estimate
D&amp;R described as &gt;50% of Total ARR with maintained Mid-Teens YoY growth</t>
        </r>
      </text>
    </comment>
    <comment ref="BE92" authorId="1" shapeId="0" xr:uid="{22A76695-A27A-401D-B7E4-E0D1F7225644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Now ~$100k</t>
        </r>
      </text>
    </comment>
    <comment ref="BE168" authorId="1" shapeId="0" xr:uid="{43315A98-5B96-4DB3-BF54-9D121214FBF8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D&amp;R ARR "over $400M"</t>
        </r>
      </text>
    </comment>
    <comment ref="BG168" authorId="1" shapeId="0" xr:uid="{5D8B1979-ED5B-4A7C-9AC1-886B3791079E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MDR is &gt;75% of D&amp;R</t>
        </r>
      </text>
    </comment>
    <comment ref="BB169" authorId="1" shapeId="0" xr:uid="{463216B4-5930-4763-9B7E-6F244E94419D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*Needham estimate
Overall D&amp;R business maintained growth over 20% YoY</t>
        </r>
      </text>
    </comment>
    <comment ref="BE169" authorId="0" shapeId="0" xr:uid="{152B5E0A-445B-42AF-8459-1629D8DB5436}">
      <text>
        <r>
          <rPr>
            <b/>
            <sz val="9"/>
            <color indexed="81"/>
            <rFont val="Tahoma"/>
            <family val="2"/>
          </rPr>
          <t xml:space="preserve">Cikos, Michael:
</t>
        </r>
        <r>
          <rPr>
            <sz val="9"/>
            <color indexed="81"/>
            <rFont val="Tahoma"/>
            <family val="2"/>
          </rPr>
          <t>Exited the year at iver $400M in ARR, growing Double-Digits YoY
*</t>
        </r>
        <r>
          <rPr>
            <sz val="9"/>
            <color indexed="81"/>
            <rFont val="Tahoma"/>
            <family val="2"/>
          </rPr>
          <t>Managed D&amp;R ~75% of Total D&amp;R ARR, growing Mid-Teens% YoY</t>
        </r>
      </text>
    </comment>
    <comment ref="BG169" authorId="1" shapeId="0" xr:uid="{CB34EDBA-0F0F-4F7A-A56D-AFF93D5B707B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*Needham estimate
D&amp;R described as &gt;50% of Total ARR with maintained Mid-Teens YoY growth</t>
        </r>
      </text>
    </comment>
    <comment ref="BG171" authorId="1" shapeId="0" xr:uid="{C1269F6E-AE9F-4EBC-AC80-8582C2EA209E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*Needham estimate
D&amp;R described as &gt;50% of Total ARR with maintained Mid-Teens YoY growth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Dezort, Matt</author>
  </authors>
  <commentList>
    <comment ref="AT16" authorId="0" shapeId="0" xr:uid="{FB156125-F67B-47AD-B97D-00EFED003D7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36% on call</t>
        </r>
      </text>
    </comment>
    <comment ref="AU16" authorId="0" shapeId="0" xr:uid="{F4D02289-2F92-4CC0-BE2D-E026F44AA3B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21% Revenue growth int'l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Dezort, Matt</author>
  </authors>
  <commentList>
    <comment ref="D5" authorId="0" shapeId="0" xr:uid="{A9461F2B-118E-4536-A61D-468A8964B76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CFO: "Could get to $80k near-term"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  <author>Boyd, Roger</author>
  </authors>
  <commentList>
    <comment ref="B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Includes upsells and cross-sells of additional products and services</t>
        </r>
      </text>
    </comment>
    <comment ref="B9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Excludes upsells and crosssells
of additional products and services</t>
        </r>
      </text>
    </comment>
    <comment ref="B10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CY3Q: RPD is changing renewal rate. Prior metric was adjusted to reclassify certain upsells and cross-sells</t>
        </r>
      </text>
    </comment>
  </commentList>
</comments>
</file>

<file path=xl/sharedStrings.xml><?xml version="1.0" encoding="utf-8"?>
<sst xmlns="http://schemas.openxmlformats.org/spreadsheetml/2006/main" count="3609" uniqueCount="571">
  <si>
    <t>2017E</t>
  </si>
  <si>
    <t>______</t>
  </si>
  <si>
    <t>Gross Profit</t>
  </si>
  <si>
    <t>Operating Income</t>
  </si>
  <si>
    <t>Revenue</t>
  </si>
  <si>
    <t>Operating Expenses</t>
  </si>
  <si>
    <t xml:space="preserve">   % of Revenue</t>
  </si>
  <si>
    <t>Total Operating Expenses</t>
  </si>
  <si>
    <t xml:space="preserve">   Operating Margin</t>
  </si>
  <si>
    <t>Pretax Income</t>
  </si>
  <si>
    <t xml:space="preserve">   Pretax Margin</t>
  </si>
  <si>
    <t>Income Tax Expense (Income)</t>
  </si>
  <si>
    <t xml:space="preserve">   Tax Rate</t>
  </si>
  <si>
    <t>Shares Outstanding</t>
  </si>
  <si>
    <t>ALL FISCAL DATA MUST BE ENTERED IN MILLION (INCLUDING NUMBER OF SHARE)</t>
  </si>
  <si>
    <t>NULL:FISCAL</t>
  </si>
  <si>
    <t xml:space="preserve">ALL PER SHARE DATA MUST BE IN UNIT </t>
  </si>
  <si>
    <t>ADJUSTED:FISCAL</t>
  </si>
  <si>
    <t>DATA MUST BE ENTERED IN THE CURRENCY OF THE COMPANY</t>
  </si>
  <si>
    <t>BASIC:FISCAL</t>
  </si>
  <si>
    <t>Click here to find a list of BlueMatrix Client Codes</t>
  </si>
  <si>
    <t>DILUTED:FISCAL</t>
  </si>
  <si>
    <t>Strong Buy</t>
  </si>
  <si>
    <t>GAAP:FISCAL</t>
  </si>
  <si>
    <t>Buy</t>
  </si>
  <si>
    <t>INDICATED:FISCAL</t>
  </si>
  <si>
    <t>Hold</t>
  </si>
  <si>
    <t>MANAGED:FISCAL</t>
  </si>
  <si>
    <t>Under Perform</t>
  </si>
  <si>
    <t>NON-GAAP:FISCAL</t>
  </si>
  <si>
    <t>Company name</t>
  </si>
  <si>
    <t>Rating Suspended</t>
  </si>
  <si>
    <t>OPERATING:FISCAL</t>
  </si>
  <si>
    <t>Rating</t>
  </si>
  <si>
    <t>RATING</t>
  </si>
  <si>
    <t>Restricted</t>
  </si>
  <si>
    <t>PRIMARY:FISCAL</t>
  </si>
  <si>
    <t>Currency</t>
  </si>
  <si>
    <t>USD</t>
  </si>
  <si>
    <t>Under Review</t>
  </si>
  <si>
    <t>PROFORMA:FISCAL</t>
  </si>
  <si>
    <t>Sell</t>
  </si>
  <si>
    <t>RESTATED:FISCAL</t>
  </si>
  <si>
    <t>12-Month Price Target</t>
  </si>
  <si>
    <t>TARGET_PRICE</t>
  </si>
  <si>
    <t>REVENUE:FISCAL</t>
  </si>
  <si>
    <t>Ticker</t>
  </si>
  <si>
    <t>E</t>
  </si>
  <si>
    <t>A</t>
  </si>
  <si>
    <t>NULL:CALENDAR</t>
  </si>
  <si>
    <t>ADJUSTED:CALENDAR</t>
  </si>
  <si>
    <t>BASIC:CALENDAR</t>
  </si>
  <si>
    <r>
      <t xml:space="preserve">Current  Year </t>
    </r>
    <r>
      <rPr>
        <i/>
        <sz val="12"/>
        <rFont val="Arial"/>
        <family val="2"/>
      </rPr>
      <t>(Matching What Selected From Drop-down Bars - ie. Fiscal or Calendar)</t>
    </r>
  </si>
  <si>
    <t>DILUTED:CALENDAR</t>
  </si>
  <si>
    <r>
      <t xml:space="preserve">Current Base Quarter </t>
    </r>
    <r>
      <rPr>
        <i/>
        <sz val="12"/>
        <rFont val="Arial"/>
        <family val="2"/>
      </rPr>
      <t>(NOT one just reported - One After That)</t>
    </r>
  </si>
  <si>
    <t>Q2</t>
  </si>
  <si>
    <t>GAAP:CALENDAR</t>
  </si>
  <si>
    <t>Q1</t>
  </si>
  <si>
    <t>Q3</t>
  </si>
  <si>
    <t>Q4</t>
  </si>
  <si>
    <t>AN</t>
  </si>
  <si>
    <t>INDICATED:CALENDAR</t>
  </si>
  <si>
    <t>BlueMatrix Time Series Grids</t>
  </si>
  <si>
    <t>MANAGED:CALENDAR</t>
  </si>
  <si>
    <t>Revenue ($M)</t>
  </si>
  <si>
    <t>REVENUE</t>
  </si>
  <si>
    <t>NON-GAAP:CALENDAR</t>
  </si>
  <si>
    <t>OPERATING:CALENDAR</t>
  </si>
  <si>
    <t>EPS</t>
  </si>
  <si>
    <t>PRIMARY:CALENDAR</t>
  </si>
  <si>
    <t>PROFORMA:CALENDAR</t>
  </si>
  <si>
    <t>FCF</t>
  </si>
  <si>
    <t>RESTATED:CALENDAR</t>
  </si>
  <si>
    <t>REVENUE:CALENDAR</t>
  </si>
  <si>
    <t>FFO</t>
  </si>
  <si>
    <t>Net Cash/Debt ($M)</t>
  </si>
  <si>
    <t>NET_CASH_DEBT</t>
  </si>
  <si>
    <t>Operating Margin</t>
  </si>
  <si>
    <t>OP_MARGIN</t>
  </si>
  <si>
    <t>ROIC</t>
  </si>
  <si>
    <t>Calendar Year = Fiscal Year (If yes =0, if less= -1, if more = 1)</t>
  </si>
  <si>
    <t>Fiscal 1Q Ending Month Number</t>
  </si>
  <si>
    <t>Fiscal 2Q Ending Month Number</t>
  </si>
  <si>
    <t>Fiscal 3Q Ending Month Number</t>
  </si>
  <si>
    <t>Fiscal 4Q Ending Month Number</t>
  </si>
  <si>
    <t>Actual</t>
  </si>
  <si>
    <t>Variance</t>
  </si>
  <si>
    <t>Q-Q</t>
  </si>
  <si>
    <t>Yr-Yr</t>
  </si>
  <si>
    <t>%</t>
  </si>
  <si>
    <t>Absolute</t>
  </si>
  <si>
    <t>BPs</t>
  </si>
  <si>
    <t>Sept</t>
  </si>
  <si>
    <t>Dec</t>
  </si>
  <si>
    <t>Mar</t>
  </si>
  <si>
    <t>June</t>
  </si>
  <si>
    <t>2014A</t>
  </si>
  <si>
    <t>2015A</t>
  </si>
  <si>
    <t>Current Assets</t>
  </si>
  <si>
    <t>Cash and Cash Equivalents</t>
  </si>
  <si>
    <t>Total Current Assets</t>
  </si>
  <si>
    <t>Total Assets</t>
  </si>
  <si>
    <t>Liabilities and Stock Holders' Equity</t>
  </si>
  <si>
    <t>Current Liabilities</t>
  </si>
  <si>
    <t>Accounts Payable</t>
  </si>
  <si>
    <t>Deferred Revenue</t>
  </si>
  <si>
    <t>Total Current Liabilities</t>
  </si>
  <si>
    <t>Total Liabilities</t>
  </si>
  <si>
    <t>Stockholders' Equity</t>
  </si>
  <si>
    <t>Total Liabilities and Equity</t>
  </si>
  <si>
    <t>Cash and Equivalent Per Share</t>
  </si>
  <si>
    <t>Debt</t>
  </si>
  <si>
    <t>Book Value Per Share</t>
  </si>
  <si>
    <t>DSO</t>
  </si>
  <si>
    <t>Other Assets</t>
  </si>
  <si>
    <t xml:space="preserve">Cash from Investing Activity </t>
  </si>
  <si>
    <t xml:space="preserve">Cash Flows from Financing Activity </t>
  </si>
  <si>
    <t>Net Increase (Decrease) in Cash and Equivalents</t>
  </si>
  <si>
    <t>2016A</t>
  </si>
  <si>
    <t>Other Long Term Liabilities</t>
  </si>
  <si>
    <t>Short-Term Investments</t>
  </si>
  <si>
    <t>Accounts Receivable, net</t>
  </si>
  <si>
    <t>Prepaid Expenses &amp; Other Current Assets</t>
  </si>
  <si>
    <t>Intangible Assets, net</t>
  </si>
  <si>
    <t>Property, Plant, And Equipment, net</t>
  </si>
  <si>
    <t>Deferred Revenue, Net of Current Portion</t>
  </si>
  <si>
    <t xml:space="preserve">  Yr-Yr Growth</t>
  </si>
  <si>
    <t xml:space="preserve">   Q-Q Growth</t>
  </si>
  <si>
    <t>Total Revenues</t>
  </si>
  <si>
    <t>_________</t>
  </si>
  <si>
    <t>Percent Of Revenues</t>
  </si>
  <si>
    <t>Q-Q Growth</t>
  </si>
  <si>
    <t>Y-Y Growth</t>
  </si>
  <si>
    <t>Check From I/S</t>
  </si>
  <si>
    <t>Delta</t>
  </si>
  <si>
    <t>Net New Customers</t>
  </si>
  <si>
    <t>Revenue Per Customer</t>
  </si>
  <si>
    <t>Total Customers</t>
  </si>
  <si>
    <t>Long-Term</t>
  </si>
  <si>
    <t>Target</t>
  </si>
  <si>
    <t>Adjusted EBITDA</t>
  </si>
  <si>
    <t xml:space="preserve">  Q-Q Growth</t>
  </si>
  <si>
    <t>2017A</t>
  </si>
  <si>
    <t>Net Income(Loss)</t>
  </si>
  <si>
    <t xml:space="preserve">NG-Net Income </t>
  </si>
  <si>
    <t xml:space="preserve">NG--Earnings Per Share </t>
  </si>
  <si>
    <t>Fiscal Year Ends December</t>
  </si>
  <si>
    <t>1Q-Mar 14A</t>
  </si>
  <si>
    <t>2Q-Jun 14A</t>
  </si>
  <si>
    <t>4Q-Dec 14A</t>
  </si>
  <si>
    <t>3Q-Sep 14A</t>
  </si>
  <si>
    <t>1Q-Mar 17A</t>
  </si>
  <si>
    <t>March</t>
  </si>
  <si>
    <t>Rapid 7</t>
  </si>
  <si>
    <t>Total Cost Of Goods Sold (Non GAAP)</t>
  </si>
  <si>
    <t xml:space="preserve">  Products</t>
  </si>
  <si>
    <t xml:space="preserve">  Maintenance and Support</t>
  </si>
  <si>
    <t xml:space="preserve">  Professional Services</t>
  </si>
  <si>
    <t>Cost of Goods Sold</t>
  </si>
  <si>
    <t xml:space="preserve">     Overall Gross Margin</t>
  </si>
  <si>
    <t>Interest Income / Expense, net</t>
  </si>
  <si>
    <t>Other Income / Expense, net</t>
  </si>
  <si>
    <t>Long-Term Investments</t>
  </si>
  <si>
    <t>Term Loan Payable, net of Unamortized Debt Discount</t>
  </si>
  <si>
    <t>Contingent Consideration</t>
  </si>
  <si>
    <t>Other Current Liabilities</t>
  </si>
  <si>
    <t>Goodwill</t>
  </si>
  <si>
    <t>Accrued Expenses</t>
  </si>
  <si>
    <t>Source: Rapid 7 Inc. Financial Statements,Needham &amp; Co. LLC estimates</t>
  </si>
  <si>
    <t>Customer Renewal Rate</t>
  </si>
  <si>
    <t>Expiring Renewal Rate</t>
  </si>
  <si>
    <t>Rapid 7 Inc.-Supplemental Financial Data</t>
  </si>
  <si>
    <t>Total Revenue</t>
  </si>
  <si>
    <t>Calculated Billings</t>
  </si>
  <si>
    <t>Adjusted EBITDA Reconciliation</t>
  </si>
  <si>
    <t>Non-GAAP Calculated Billings</t>
  </si>
  <si>
    <t>GAAP-Net Income/(Loss)</t>
  </si>
  <si>
    <t>$ Amount</t>
  </si>
  <si>
    <t>2Q-Jun 17A</t>
  </si>
  <si>
    <t>Check from I/S</t>
  </si>
  <si>
    <t>% of Billings Recorded on B/S as Deferred*</t>
  </si>
  <si>
    <t>% of Total Revenue</t>
  </si>
  <si>
    <t>Reconciliation of Billings to Revenue</t>
  </si>
  <si>
    <t>% of Total Revenue from Prior Period Deferred*</t>
  </si>
  <si>
    <t>Recurring Revenue</t>
  </si>
  <si>
    <t xml:space="preserve">  % of Total Billings</t>
  </si>
  <si>
    <t xml:space="preserve">  % of Total Revenue</t>
  </si>
  <si>
    <t>Remaining Billings Recognized as Revenue</t>
  </si>
  <si>
    <t>Free Cash Flow</t>
  </si>
  <si>
    <t>Free Cash Flow Margin</t>
  </si>
  <si>
    <t>Days Payable</t>
  </si>
  <si>
    <t xml:space="preserve">  Yr-Yr Growth (Deferred Revenue)</t>
  </si>
  <si>
    <t>Input New Value</t>
  </si>
  <si>
    <t>Tax Adjustment</t>
  </si>
  <si>
    <t>Check</t>
  </si>
  <si>
    <t>Copy Prev. Q Formula</t>
  </si>
  <si>
    <t>Diluted Shares Outstanding</t>
  </si>
  <si>
    <t>Y/Y % Change</t>
  </si>
  <si>
    <t>Q-Q % Change</t>
  </si>
  <si>
    <t>% of Sales - Actual</t>
  </si>
  <si>
    <t>% of Sales - Input</t>
  </si>
  <si>
    <t>Cash from Operating Activities</t>
  </si>
  <si>
    <t>This sheet contains FactSet XML data for use with this workbook's =FDS codes.  Modifying the worksheet's contents may damage the workbook's =FDS functionality.</t>
  </si>
  <si>
    <t>Non GAAP-Net Income/(Loss)</t>
  </si>
  <si>
    <t>Adjusted EBITDA Margin</t>
  </si>
  <si>
    <t>RPD</t>
  </si>
  <si>
    <t>Year</t>
  </si>
  <si>
    <t>1Q-Mar 16</t>
  </si>
  <si>
    <t>2Q-Jun 16</t>
  </si>
  <si>
    <t>3Q-Sep 16</t>
  </si>
  <si>
    <t>4Q-Dec 16</t>
  </si>
  <si>
    <t>1Q-Mar 15</t>
  </si>
  <si>
    <t>2Q-Jun 15</t>
  </si>
  <si>
    <t>3Q-Sep 15</t>
  </si>
  <si>
    <t>4Q-Dec 15</t>
  </si>
  <si>
    <t>Rapid 7 Inc.—Supplemental Data</t>
  </si>
  <si>
    <t>2019E</t>
  </si>
  <si>
    <t xml:space="preserve">  % COGS + OPEX</t>
  </si>
  <si>
    <t>OPEX</t>
  </si>
  <si>
    <t>COGS</t>
  </si>
  <si>
    <t>Drivers</t>
  </si>
  <si>
    <t>Accounts Receivable</t>
  </si>
  <si>
    <t xml:space="preserve">  % of Sales</t>
  </si>
  <si>
    <t>Beginning PP&amp;E</t>
  </si>
  <si>
    <t>CapEx</t>
  </si>
  <si>
    <t>CapEx (as a % of Sales)</t>
  </si>
  <si>
    <t>Depreciation and Amortization of PP&amp;E</t>
  </si>
  <si>
    <t>Depreciation and Amortization of PP&amp;E (as a % of PP&amp;E)</t>
  </si>
  <si>
    <t>Acquisitions/(Write-offs)</t>
  </si>
  <si>
    <t>Ending PP&amp;E</t>
  </si>
  <si>
    <t>Beginning Intangibles</t>
  </si>
  <si>
    <t>Purchases of Intangibles</t>
  </si>
  <si>
    <t>Purchases of Intangibles (as a % of Sales)</t>
  </si>
  <si>
    <t>Amortization of Intangibles</t>
  </si>
  <si>
    <t>Amortization (as a % of Intangibles)</t>
  </si>
  <si>
    <t xml:space="preserve">  % of COGS</t>
  </si>
  <si>
    <t>ST Deferred Revenue</t>
  </si>
  <si>
    <t>Growth Rate Input</t>
  </si>
  <si>
    <t>LT Deferred Revenue</t>
  </si>
  <si>
    <t>I/S</t>
  </si>
  <si>
    <t>Share-Based Compensation Expense</t>
  </si>
  <si>
    <t>CFS</t>
  </si>
  <si>
    <t>3Q-Sep 17A</t>
  </si>
  <si>
    <t xml:space="preserve">    Yr-Yr Growth</t>
  </si>
  <si>
    <t xml:space="preserve">    % of Revenue</t>
  </si>
  <si>
    <t xml:space="preserve">    Q-Q Growth</t>
  </si>
  <si>
    <t xml:space="preserve">  Research and Development</t>
  </si>
  <si>
    <t xml:space="preserve">  Sales and Marketing</t>
  </si>
  <si>
    <t xml:space="preserve">  General and Administrative</t>
  </si>
  <si>
    <t>4Q-Dec 17A</t>
  </si>
  <si>
    <t>Operating Cash Flow</t>
  </si>
  <si>
    <t>Total Deferred Revenue, End of Period</t>
  </si>
  <si>
    <t>Annualized Recurring Revenue</t>
  </si>
  <si>
    <t>Cash and Equivalents at Beginning of Period</t>
  </si>
  <si>
    <t>Cash and Equivalents at End of Period</t>
  </si>
  <si>
    <t>Cash from Operations</t>
  </si>
  <si>
    <t>Rapid 7 Inc.-Customer Breakdown</t>
  </si>
  <si>
    <t>Input New Value / Copy New Formula for Years</t>
  </si>
  <si>
    <t>3.8x</t>
  </si>
  <si>
    <t>1.5x</t>
  </si>
  <si>
    <t>Cross-Sell (Avg Solutions per Customer)</t>
  </si>
  <si>
    <t>1Q-Mar 18A</t>
  </si>
  <si>
    <t>2018A</t>
  </si>
  <si>
    <t>Depreciation and Amortization</t>
  </si>
  <si>
    <t>Amortization of Debt Discount</t>
  </si>
  <si>
    <t>Stock-Based Compensation Expense</t>
  </si>
  <si>
    <t>Provision for Doubtful Accounts</t>
  </si>
  <si>
    <t>Impairment of Long-Lived Assets</t>
  </si>
  <si>
    <t>Deferred Income Taxes</t>
  </si>
  <si>
    <t>Loss on Sale of Property and Equipment</t>
  </si>
  <si>
    <t>Foreign Currency Re-Measurement Gain / Loss</t>
  </si>
  <si>
    <t>Accounts Receivables</t>
  </si>
  <si>
    <t>Prepaid Expenses and Other Assets</t>
  </si>
  <si>
    <t>Other Liabilities</t>
  </si>
  <si>
    <t>Business Acquisitions, net of Cash Acquired</t>
  </si>
  <si>
    <t>Purchases of Property and Equipment</t>
  </si>
  <si>
    <t>Capitalization of Internal-Use Software Costs</t>
  </si>
  <si>
    <t>Purchases of Investments</t>
  </si>
  <si>
    <t>Proceeds from Sale of Property and Equipment</t>
  </si>
  <si>
    <t>Maturities of Investments</t>
  </si>
  <si>
    <t>Proceeds from Initial Public Offering and Concurrent Private Placement</t>
  </si>
  <si>
    <t>Repayments of Term Loan and Related Termination Fee</t>
  </si>
  <si>
    <t>Borrowings from Line of Credit</t>
  </si>
  <si>
    <t>Repayments on Line of Credit</t>
  </si>
  <si>
    <t>Payments of Contingent Consideration Related to Business Acquisitions</t>
  </si>
  <si>
    <t>Payments of Debt and Equity Issuance Costs</t>
  </si>
  <si>
    <t>Payments of Capital Lease Obligations</t>
  </si>
  <si>
    <t>Taxes Paid Related to Net Share Settlement of Equity Awards</t>
  </si>
  <si>
    <t>Borrowings from Term Loan</t>
  </si>
  <si>
    <t>Proceeds from Employee Stock Purchase Plan</t>
  </si>
  <si>
    <t>Proceeds from Stock Option Exercises</t>
  </si>
  <si>
    <t>Effect of Foreign Exchange Rates on Cash</t>
  </si>
  <si>
    <t>x</t>
  </si>
  <si>
    <t>Deferred Contract Acquisition and Fulfillment Costs, Current Portion</t>
  </si>
  <si>
    <t>Deferred Contract Acquisition and Fulfillment Costs, Non-Current Portion</t>
  </si>
  <si>
    <t>Deferred Contract Acquisition and Fulfillment Costs</t>
  </si>
  <si>
    <t>ARR Per Customer</t>
  </si>
  <si>
    <t>Secondary Public Offering Costs</t>
  </si>
  <si>
    <t>Litigation-Related Expense</t>
  </si>
  <si>
    <t>Acquisition-Related Expenses</t>
  </si>
  <si>
    <t>Depreciation and Amortization Expense</t>
  </si>
  <si>
    <t>Amortization of Intangible Assets</t>
  </si>
  <si>
    <t>Depreciation Expense</t>
  </si>
  <si>
    <t>Provision for Income Taxes</t>
  </si>
  <si>
    <t>Provision for Income Taxes - Non GAAP</t>
  </si>
  <si>
    <t>Provision for Income Taxes - GAAP</t>
  </si>
  <si>
    <t xml:space="preserve">  Effective Income Tax Rate - GAAP</t>
  </si>
  <si>
    <t>Amortization of Acquired Intangible Assets</t>
  </si>
  <si>
    <t>Beginning Deferred Contract Acquisition Cost</t>
  </si>
  <si>
    <t>Additions</t>
  </si>
  <si>
    <t>Amortization</t>
  </si>
  <si>
    <t>Ending Deferred Contract Acquisition Cost - Total</t>
  </si>
  <si>
    <t>Deferred Contract Acquisition Cost - Current</t>
  </si>
  <si>
    <t xml:space="preserve">  % of Total</t>
  </si>
  <si>
    <t>Deferred Contract Acquisition Cost - Non-Current</t>
  </si>
  <si>
    <t>Add: Deferred Revenue, End of Period</t>
  </si>
  <si>
    <t>Less: Deferred Revenue, Beginning of Period</t>
  </si>
  <si>
    <t>(Thousands Of Dollars, Except Per-Share Data)</t>
  </si>
  <si>
    <t>2Q-Jun 18A</t>
  </si>
  <si>
    <t>Proceeds from Secondary Public Offering, net of Offering Costs Paid of $608</t>
  </si>
  <si>
    <t>ASC 605</t>
  </si>
  <si>
    <t>ASC 606</t>
  </si>
  <si>
    <t>--------&gt;</t>
  </si>
  <si>
    <t>-----------------------------------------------------------------------------I</t>
  </si>
  <si>
    <t>-------------------------------------------------------------------------------------I</t>
  </si>
  <si>
    <t>3Q-Sep 18A</t>
  </si>
  <si>
    <t>Redeemable Convertible Preferred Stock / Convertible Senior Notes, net</t>
  </si>
  <si>
    <t>Up-Sell (Increase in Initial Spend Over 5 Years)*</t>
  </si>
  <si>
    <t>* For 2010, 2011, and 2012 Cohorts</t>
  </si>
  <si>
    <t>Amortization of Debt Discount and Issuance Costs</t>
  </si>
  <si>
    <t>Convertible Senior Notes, net</t>
  </si>
  <si>
    <t>Proceeds from Issuance of Series D Redeemable Convertible Preferred Stock, net</t>
  </si>
  <si>
    <t>Purchase of Capped Calls Related to Convertible Senior Notes</t>
  </si>
  <si>
    <t>4Q-Dec 18A</t>
  </si>
  <si>
    <t xml:space="preserve"> 2018A</t>
  </si>
  <si>
    <t>Proceeds from Issuance of Convertible Senior Notes, net of Issuance Costs Paid of $6,880</t>
  </si>
  <si>
    <t>Up-Sell (Increase in Initial Spend Over 6 Years)*</t>
  </si>
  <si>
    <t>4.5x</t>
  </si>
  <si>
    <t>1Q-Mar 19A</t>
  </si>
  <si>
    <t>2019A</t>
  </si>
  <si>
    <t>NA</t>
  </si>
  <si>
    <t>**Changed on 2.8.18 to reflect management's updated figures from latest Financial Metrics file</t>
  </si>
  <si>
    <t>2Q-Jun 19A</t>
  </si>
  <si>
    <t>3Q-Sep 19A</t>
  </si>
  <si>
    <t>Operating Lease ROU Assets</t>
  </si>
  <si>
    <t>Operating Lease Liabilities, Current</t>
  </si>
  <si>
    <t>Operating Lease Liabilities, Non-Current</t>
  </si>
  <si>
    <t>OLD METRIC</t>
  </si>
  <si>
    <t>NEW METRIC</t>
  </si>
  <si>
    <t>Net New ARR</t>
  </si>
  <si>
    <t>4Q-Dec 19A</t>
  </si>
  <si>
    <t xml:space="preserve"> 2019A</t>
  </si>
  <si>
    <t>1Q-Mar 20A</t>
  </si>
  <si>
    <t>2020A</t>
  </si>
  <si>
    <t>2Q-Jun 20A</t>
  </si>
  <si>
    <t>3Q-Sep 20A</t>
  </si>
  <si>
    <t>Source: Rapid 7 Inc. financial statements and Needham &amp; Company, LLC estimates</t>
  </si>
  <si>
    <t>Net Cash / (Debt)</t>
  </si>
  <si>
    <t>Net Cash / (Debt) Per Share</t>
  </si>
  <si>
    <t>4Q-Dec 20A</t>
  </si>
  <si>
    <t xml:space="preserve"> 2020A</t>
  </si>
  <si>
    <t>1Q-Mar 21A</t>
  </si>
  <si>
    <t>2021A</t>
  </si>
  <si>
    <t>Rapid7 Inc. Quarterly Variance Analysis</t>
  </si>
  <si>
    <t>Source: Rapid7 Inc. financial statements and Needham &amp; Company, LLC estimates</t>
  </si>
  <si>
    <t>Rapid7 Inc.—Balance Sheet</t>
  </si>
  <si>
    <t>Rapid7 Inc.—Cash Flow</t>
  </si>
  <si>
    <t>Rapid7 Inc.—Geographic Segmentation</t>
  </si>
  <si>
    <t xml:space="preserve">Rapid7 Inc.—Quarterly Income Statement </t>
  </si>
  <si>
    <t>Other</t>
  </si>
  <si>
    <t>NM</t>
  </si>
  <si>
    <t>Sec Trans%</t>
  </si>
  <si>
    <t>VM%</t>
  </si>
  <si>
    <t>VM</t>
  </si>
  <si>
    <t>Sec</t>
  </si>
  <si>
    <t>2Q-Jun 21A</t>
  </si>
  <si>
    <t>3Q-Sep 21A</t>
  </si>
  <si>
    <t>4Q-Dec 21A</t>
  </si>
  <si>
    <t xml:space="preserve"> 2021A</t>
  </si>
  <si>
    <t>Note: Customer and ARR/Customer metrics are re-based in 2019 to reflect the customer count methodology change implemented in 1QCY21</t>
  </si>
  <si>
    <t>3Q-Sep 24E</t>
  </si>
  <si>
    <t>4Q-Dec 24E</t>
  </si>
  <si>
    <t>2022A</t>
  </si>
  <si>
    <t>1Q-Mar 22A</t>
  </si>
  <si>
    <t>Annual Recurring Revenue</t>
  </si>
  <si>
    <t>2Q-Jun 22A</t>
  </si>
  <si>
    <t>SBC</t>
  </si>
  <si>
    <t>SBC as % of FCF</t>
  </si>
  <si>
    <t>3Q-Sep 22A</t>
  </si>
  <si>
    <t>4Q-Dec 22A</t>
  </si>
  <si>
    <t xml:space="preserve"> 2022A</t>
  </si>
  <si>
    <t>Capital Expenditures + Capitalized Software</t>
  </si>
  <si>
    <t>Channel</t>
  </si>
  <si>
    <t>Direct</t>
  </si>
  <si>
    <t>ARR (in $MM)</t>
  </si>
  <si>
    <t>Recurring Revenue as a % of Total</t>
  </si>
  <si>
    <t>Headcount</t>
  </si>
  <si>
    <t>2023A</t>
  </si>
  <si>
    <t>1Q-Mar 23A</t>
  </si>
  <si>
    <t xml:space="preserve"> 2025E</t>
  </si>
  <si>
    <t>4Q-Dec 25E</t>
  </si>
  <si>
    <t>Business Acquisition Payment</t>
  </si>
  <si>
    <t>Total ARR 20% CAGR</t>
  </si>
  <si>
    <t>$520K/Customer</t>
  </si>
  <si>
    <t>Total Opportunity</t>
  </si>
  <si>
    <t>RPO</t>
  </si>
  <si>
    <t>CRPO</t>
  </si>
  <si>
    <t>2Q-Jun 23A</t>
  </si>
  <si>
    <t>3Q-Sep 23A</t>
  </si>
  <si>
    <t>Proceeds from Capped Call Settlement</t>
  </si>
  <si>
    <t xml:space="preserve">  NNARR from Threat/Cloud Risk Complete</t>
  </si>
  <si>
    <t>New RPO</t>
  </si>
  <si>
    <t>New CRPO</t>
  </si>
  <si>
    <t>Beginning RPO</t>
  </si>
  <si>
    <t>(--) Current Period Revenue</t>
  </si>
  <si>
    <t>(+) Current Period Bookings</t>
  </si>
  <si>
    <t>(=) Ending RPO</t>
  </si>
  <si>
    <t>% Y/Y Bookings Growth</t>
  </si>
  <si>
    <t>% Q/Q Bookings Growth</t>
  </si>
  <si>
    <t>(+)  Current RPO</t>
  </si>
  <si>
    <t>Current RPO Bookings</t>
  </si>
  <si>
    <t>% Y/Y CRPO Bookings Growth</t>
  </si>
  <si>
    <t>% Q-Q CRPO Bookings Growth</t>
  </si>
  <si>
    <t>4Q-Dec 23A</t>
  </si>
  <si>
    <t xml:space="preserve"> 2023A</t>
  </si>
  <si>
    <t>Increase in Other Investments</t>
  </si>
  <si>
    <t>Total Revenue Income Statement</t>
  </si>
  <si>
    <t>Accrued Expenses and Other Current Liabilities</t>
  </si>
  <si>
    <t>2024A</t>
  </si>
  <si>
    <t>1Q-Mar 24A</t>
  </si>
  <si>
    <t>Rule of 40</t>
  </si>
  <si>
    <t xml:space="preserve"> 2026E</t>
  </si>
  <si>
    <t>1Q-Mar 26E</t>
  </si>
  <si>
    <t>2Q-Jun 26E</t>
  </si>
  <si>
    <t>3Q-Sep 26E</t>
  </si>
  <si>
    <t>4Q-Dec 26E</t>
  </si>
  <si>
    <t>2026E</t>
  </si>
  <si>
    <t>2Q-Jun 24A</t>
  </si>
  <si>
    <t>Convertible Senior Notes</t>
  </si>
  <si>
    <t>Total Subscription RPO</t>
  </si>
  <si>
    <t xml:space="preserve">  Revenue Coverage</t>
  </si>
  <si>
    <t>Total RPO</t>
  </si>
  <si>
    <t>Current RPO</t>
  </si>
  <si>
    <t>% of RPO Current</t>
  </si>
  <si>
    <t>Remaining Performance Obligations</t>
  </si>
  <si>
    <t>(A) Starting ARR</t>
  </si>
  <si>
    <t>(D) Starting Quarterly RR (A/4)</t>
  </si>
  <si>
    <t>(B) Net New ARR</t>
  </si>
  <si>
    <t>(C) Quarterly New RR (B/4)</t>
  </si>
  <si>
    <t>Adjustment for Backend Weighted Deal Timing</t>
  </si>
  <si>
    <t>(E) Adj. New Quarterly RR</t>
  </si>
  <si>
    <t xml:space="preserve">  Product Subscriptions</t>
  </si>
  <si>
    <t>ARR to Product Build</t>
  </si>
  <si>
    <t xml:space="preserve">   Product Subscription Revenue (IS)</t>
  </si>
  <si>
    <t xml:space="preserve">   Current Subscription RPO</t>
  </si>
  <si>
    <t xml:space="preserve">   Current Pro Services RPO</t>
  </si>
  <si>
    <t>Total Pro Services RPO</t>
  </si>
  <si>
    <t>Q-Q % Growth</t>
  </si>
  <si>
    <t>Y-Y % Growth</t>
  </si>
  <si>
    <t>Fortune 100 Customers</t>
  </si>
  <si>
    <t>3Q-Sep 24A</t>
  </si>
  <si>
    <t>Source: Rapid7 Inc. financial statements, Factset estimates</t>
  </si>
  <si>
    <t>(F) Product Subscription Revenue Projection (D+E)</t>
  </si>
  <si>
    <t>Add: Current Deferred Revenue, End of Period</t>
  </si>
  <si>
    <t>Less: Current Deferred Revenue, Beginning of Period</t>
  </si>
  <si>
    <t>Current Calculated Billings</t>
  </si>
  <si>
    <t>Total Calculated Billings</t>
  </si>
  <si>
    <t>Detection &amp; Response ARR</t>
  </si>
  <si>
    <t>4Q-Dec 24A</t>
  </si>
  <si>
    <t xml:space="preserve"> 2024A</t>
  </si>
  <si>
    <t>Needham</t>
  </si>
  <si>
    <t>Fully Diluted Shares Outstanding</t>
  </si>
  <si>
    <t xml:space="preserve">   Total Subscription RPO</t>
  </si>
  <si>
    <t xml:space="preserve">   Total Pro Services RPO</t>
  </si>
  <si>
    <t>Enterprise Revenue</t>
  </si>
  <si>
    <t>Ending ARR</t>
  </si>
  <si>
    <t xml:space="preserve">  Implied Quarterly Revenue</t>
  </si>
  <si>
    <t xml:space="preserve">  Implied Go-Get to Achieve High-End</t>
  </si>
  <si>
    <t>Achieved Go-Get</t>
  </si>
  <si>
    <t>Achieved Go-Get %</t>
  </si>
  <si>
    <t>High-End of Next Quarter Guide</t>
  </si>
  <si>
    <t xml:space="preserve">  YoY Increase</t>
  </si>
  <si>
    <t xml:space="preserve">  QoQ Increase</t>
  </si>
  <si>
    <t>Beat High-End $</t>
  </si>
  <si>
    <t>Beat High-End %</t>
  </si>
  <si>
    <t>1Q-Mar 25A</t>
  </si>
  <si>
    <t>2025A</t>
  </si>
  <si>
    <t xml:space="preserve">% of Revenue </t>
  </si>
  <si>
    <t>Qtr-Qtr Growth</t>
  </si>
  <si>
    <t>Yr-Yr Growth</t>
  </si>
  <si>
    <t xml:space="preserve">  North America</t>
  </si>
  <si>
    <t xml:space="preserve">  International</t>
  </si>
  <si>
    <t>Product Subscriptions</t>
  </si>
  <si>
    <t>Professional Services</t>
  </si>
  <si>
    <t xml:space="preserve">  Exit Quarterly ARR - Last Quarter</t>
  </si>
  <si>
    <t xml:space="preserve">  Intra-Quarter Pick-Up</t>
  </si>
  <si>
    <t xml:space="preserve">    Product Subscription as % of LQ ARR</t>
  </si>
  <si>
    <t xml:space="preserve">  % of Revenue</t>
  </si>
  <si>
    <t>Net Cash (Used In)/Provided by Operating Activities</t>
  </si>
  <si>
    <t>Net Cash (Used In)/Provided by Investing Activities</t>
  </si>
  <si>
    <t>Net Cash (Used In)/Provided by Financing Activities</t>
  </si>
  <si>
    <t xml:space="preserve">  Average ARR per D&amp;R Customer</t>
  </si>
  <si>
    <t>Risk &amp; Exposure Management ARR</t>
  </si>
  <si>
    <t xml:space="preserve">  Cost of Goods Sold</t>
  </si>
  <si>
    <t xml:space="preserve">  Total Revenue</t>
  </si>
  <si>
    <t>Ending Intangibles</t>
  </si>
  <si>
    <t>Billings</t>
  </si>
  <si>
    <t>Traditional VM</t>
  </si>
  <si>
    <t>VM customers</t>
  </si>
  <si>
    <t>Sanity Check</t>
  </si>
  <si>
    <t>VM estimated price per asset</t>
  </si>
  <si>
    <t>Average customer assets</t>
  </si>
  <si>
    <t>Exposure Command Price per asset 12 mo</t>
  </si>
  <si>
    <t>Exposure Command ARR $M</t>
  </si>
  <si>
    <t>Legacy Threat Command, AppSec, etc ARR $M</t>
  </si>
  <si>
    <t>Traditional VM calculated ARR $M</t>
  </si>
  <si>
    <t>VM ARR per customer $K</t>
  </si>
  <si>
    <t>Exposure Command customers</t>
  </si>
  <si>
    <t>Exposure command upsell per customer</t>
  </si>
  <si>
    <t>Exposure Command Calculated ARR</t>
  </si>
  <si>
    <t>NNARR</t>
  </si>
  <si>
    <t>NNARR $M</t>
  </si>
  <si>
    <t>Company Total NNARR</t>
  </si>
  <si>
    <t>MDR ARR</t>
  </si>
  <si>
    <t>MDR Q Revenue</t>
  </si>
  <si>
    <t>% of Product</t>
  </si>
  <si>
    <t>Pure Software Revenue</t>
  </si>
  <si>
    <t>Gross Margin</t>
  </si>
  <si>
    <t>Product sub revenue GM</t>
  </si>
  <si>
    <t>MDR GM Upside</t>
  </si>
  <si>
    <t>Product sub revenue GM Upside</t>
  </si>
  <si>
    <t xml:space="preserve"> 2027E</t>
  </si>
  <si>
    <t>1Q-Mar 27E</t>
  </si>
  <si>
    <t>2Q-Jun 27E</t>
  </si>
  <si>
    <t>3Q-Sep 27E</t>
  </si>
  <si>
    <t>4Q-Dec 27E</t>
  </si>
  <si>
    <t>2027E</t>
  </si>
  <si>
    <t>$ in Millions</t>
  </si>
  <si>
    <t>Guidance</t>
  </si>
  <si>
    <t>Outperformance $</t>
  </si>
  <si>
    <t>Outperformance %</t>
  </si>
  <si>
    <t>TTM Average Outperformance $</t>
  </si>
  <si>
    <t>TTM Average Outperformance %</t>
  </si>
  <si>
    <t>Rev</t>
  </si>
  <si>
    <t>High-End</t>
  </si>
  <si>
    <t>Upside$</t>
  </si>
  <si>
    <t>Upside %</t>
  </si>
  <si>
    <t>1QCY25</t>
  </si>
  <si>
    <t>2QCY24</t>
  </si>
  <si>
    <t>1QCY23</t>
  </si>
  <si>
    <t>2QCY23</t>
  </si>
  <si>
    <t>3QCY23</t>
  </si>
  <si>
    <t>4QCY23</t>
  </si>
  <si>
    <t>1QCY24</t>
  </si>
  <si>
    <t>3QCY24</t>
  </si>
  <si>
    <t>4QCY24</t>
  </si>
  <si>
    <t>Rapid7 - Revenue &amp; Operating Income Versus High-End of Guide</t>
  </si>
  <si>
    <t>2Q-Jun 25A</t>
  </si>
  <si>
    <t>Repurchase/Issuance of Common and Preferred Stock</t>
  </si>
  <si>
    <t>2QCY25</t>
  </si>
  <si>
    <t>3Q-Sep 25A</t>
  </si>
  <si>
    <t>3QCY25</t>
  </si>
  <si>
    <t>4QCY25E</t>
  </si>
  <si>
    <t>$214.0 - $216.0</t>
  </si>
  <si>
    <t>(1.0)% - (0.1)%</t>
  </si>
  <si>
    <t>$25.0 - $30.0</t>
  </si>
  <si>
    <t>11.7% - 13.9%</t>
  </si>
  <si>
    <t>Guide: $0.37-$0.44</t>
  </si>
  <si>
    <t>Guide: $214-$216M</t>
  </si>
  <si>
    <t>4Q-Dec 25A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</si>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</sst>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_(* #,##0.0_);_(* \(#,##0.0\);_(* &quot;-&quot;??_);_(@_)"/>
    <numFmt numFmtId="166" formatCode="0.0"/>
    <numFmt numFmtId="167" formatCode="0.0%"/>
    <numFmt numFmtId="168" formatCode="_(&quot;$&quot;#,##0_)&quot;millions&quot;;\(&quot;$&quot;#,##0\)&quot; millions&quot;"/>
    <numFmt numFmtId="169" formatCode="0.0%_);\(0.0%\)"/>
    <numFmt numFmtId="170" formatCode="\£#,##0_);\(\£#,##0\)"/>
    <numFmt numFmtId="171" formatCode="#,##0\ ;\(#,##0.0\)"/>
    <numFmt numFmtId="172" formatCode="#,##0_%_);\(#,##0\)_%;#,##0_%_);@_%_)"/>
    <numFmt numFmtId="173" formatCode="#,##0_%_);\(#,##0\)_%;**;@_%_)"/>
    <numFmt numFmtId="174" formatCode="&quot;$&quot;0.00_)"/>
    <numFmt numFmtId="175" formatCode="&quot;$&quot;#,##0_%_);\(&quot;$&quot;#,##0\)_%;&quot;$&quot;#,##0_%_);@_%_)"/>
    <numFmt numFmtId="176" formatCode="&quot;$&quot;#,##0.00_%_);\(&quot;$&quot;#,##0.00\)_%;&quot;$&quot;#,##0.00_%_);@_%_)"/>
    <numFmt numFmtId="177" formatCode="&quot;$&quot;#,##0\ ;\(&quot;$&quot;#,##0\)"/>
    <numFmt numFmtId="178" formatCode="@\ \ \ \ \ "/>
    <numFmt numFmtId="179" formatCode="m/d/yy_%_)"/>
    <numFmt numFmtId="180" formatCode="#,##0.0"/>
    <numFmt numFmtId="181" formatCode="0_%_);\(0\)_%;0_%_);@_%_)"/>
    <numFmt numFmtId="182" formatCode="#,##0.00_)\ \ \ \ \ ;\(#,##0.00\)\ \ \ \ \ "/>
    <numFmt numFmtId="183" formatCode="&quot;$&quot;#,##0.00_)\ \ \ \ \ ;\(&quot;$&quot;#,##0.00\)\ \ \ \ \ "/>
    <numFmt numFmtId="184" formatCode="&quot;$&quot;#,##0.00\A\ \ \ \ ;\(&quot;$&quot;#,##0.00\A\)\ \ \ \ "/>
    <numFmt numFmtId="185" formatCode="&quot;$&quot;#,##0.00&quot;E&quot;\ \ \ \ ;\(&quot;$&quot;#,##0.00&quot;E&quot;\)\ \ \ \ "/>
    <numFmt numFmtId="186" formatCode="#,##0.00\A\ \ \ \ ;\(#,##0.00\A\)\ \ \ \ "/>
    <numFmt numFmtId="187" formatCode="#,##0.00&quot;E&quot;\ \ \ \ ;\(#,##0.00&quot;E&quot;\)\ \ \ \ "/>
    <numFmt numFmtId="188" formatCode="&quot;$&quot;#,##0;[Red]&quot;$&quot;#,##0"/>
    <numFmt numFmtId="189" formatCode="0%\ \ \ \ \ \ \ "/>
    <numFmt numFmtId="190" formatCode="0.0\%_);\(0.0\%\);0.0\%_);@_%_)"/>
    <numFmt numFmtId="191" formatCode="_(&quot;$&quot;\ #,##0.0_);_(&quot;$&quot;\(#,##0.0\);_(\ &quot;-&quot;??_);_(@_)"/>
    <numFmt numFmtId="192" formatCode="_(&quot;$&quot;* #,##0_)\ &quot;millions&quot;;_(&quot;$&quot;* \(#,##0\)&quot; millions&quot;"/>
    <numFmt numFmtId="193" formatCode="&quot;$&quot;#,##0&quot; MM&quot;;\(&quot;$&quot;#,##0.00&quot; MM&quot;\)"/>
    <numFmt numFmtId="194" formatCode="@&quot; MM&quot;"/>
    <numFmt numFmtId="195" formatCode="0.0\x_)_);&quot;NM&quot;_x_)_);0.0\x_)_);@_%_)"/>
    <numFmt numFmtId="196" formatCode="#,##0.0\ ;\(#,##0.0\)"/>
    <numFmt numFmtId="197" formatCode="0.00_)"/>
    <numFmt numFmtId="198" formatCode="[$$-409]#,##0.0000;\([$$-409]#,##0.0000\)"/>
    <numFmt numFmtId="199" formatCode="General_)"/>
    <numFmt numFmtId="200" formatCode="#,##0.0\ \ \ ;\(#,##0.0\)\ \ "/>
    <numFmt numFmtId="201" formatCode="#,##0___);\(#,##0.00\)"/>
    <numFmt numFmtId="202" formatCode="0.0\ \ \ \ \ \ "/>
    <numFmt numFmtId="203" formatCode="0.0%\ \ \ \ \ "/>
    <numFmt numFmtId="204" formatCode="#,##0&quot;%&quot;"/>
    <numFmt numFmtId="205" formatCode="&quot;$&quot;#\-?/?"/>
    <numFmt numFmtId="206" formatCode="0.00\ \ \ \ "/>
    <numFmt numFmtId="207" formatCode="&quot;$&quot;@"/>
    <numFmt numFmtId="208" formatCode="0.0000"/>
    <numFmt numFmtId="209" formatCode="0\ \ ;\(0\)\ \ \ "/>
    <numFmt numFmtId="210" formatCode="\¥#,##0_);\(\¥#,##0\)"/>
    <numFmt numFmtId="211" formatCode="_(* #,##0_);_(* \(#,##0\);_(* &quot;-&quot;??_);_(@_)"/>
    <numFmt numFmtId="212" formatCode="&quot;$&quot;#,##0.0_);\(&quot;$&quot;#,##0.0\)"/>
    <numFmt numFmtId="213" formatCode="0_)"/>
    <numFmt numFmtId="214" formatCode="[$-409]mmm\-yy;@"/>
    <numFmt numFmtId="215" formatCode="&quot;$&quot;#,##0.00"/>
    <numFmt numFmtId="216" formatCode="[$-409]mmmmm;@"/>
    <numFmt numFmtId="217" formatCode="0.0_)"/>
    <numFmt numFmtId="218" formatCode="_(* #,##0_);[Red]_(* \(#,##0\);_(* &quot;-&quot;_);_(@_)"/>
    <numFmt numFmtId="219" formatCode="_ * #,##0.00_ ;_ * \-#,##0.00_ ;_ * &quot;-&quot;??_ ;_ @_ "/>
    <numFmt numFmtId="220" formatCode="0%;\(0%\)"/>
    <numFmt numFmtId="221" formatCode="_(&quot;$&quot;* #,##0.0_);_(&quot;$&quot;* \(#,##0.0\);_(&quot;$&quot;* &quot;-&quot;_);_(@_)"/>
    <numFmt numFmtId="222" formatCode="&quot;R&quot;\ #,##0;&quot;R&quot;\ \-#,##0"/>
    <numFmt numFmtId="223" formatCode="_(* #,##0.0_);[Red]_(* \(#,##0.0\);_(* &quot;-&quot;_);_(@_)"/>
    <numFmt numFmtId="224" formatCode="_(* #,##0.00_);[Red]_(* \(#,##0.00\);_(* &quot;-&quot;_);_(@_)"/>
    <numFmt numFmtId="225" formatCode="_(* #,##0,_);[Red]_(* \(#,##0,\);_(* &quot;-&quot;_);_(@_)"/>
    <numFmt numFmtId="226" formatCode="_(* #,##0.0,_);[Red]_(* \(#,##0.0,\);_(* &quot;-&quot;_);_(@_)"/>
    <numFmt numFmtId="227" formatCode="_(* #,##0,,_);[Red]_(* \(#,##0,,\);_(* &quot;-&quot;_);_(@_)"/>
    <numFmt numFmtId="228" formatCode="_(* #,##0.0,,_);[Red]_(* \(#,##0.0,,\);_(* &quot;-&quot;_);_(@_)"/>
    <numFmt numFmtId="229" formatCode="_(&quot;$&quot;#,##0_);[Red]_(\(&quot;$&quot;#,##0\);_(&quot;- &quot;?_);_(@_)"/>
    <numFmt numFmtId="230" formatCode="_(&quot;$&quot;#,##0.0_);[Red]_(\(&quot;$&quot;#,##0.0\);_(&quot;- &quot;?_);_(@_)"/>
    <numFmt numFmtId="231" formatCode="_(&quot;$&quot;#,##0.00_);[Red]_(\(&quot;$&quot;#,##0.00\);_(&quot;- &quot;?_);_(@_)"/>
    <numFmt numFmtId="232" formatCode="_(&quot;$&quot;#,##0,_);[Red]_(\(&quot;$&quot;#,##0,\);_(&quot;- &quot;?_);_(@_)"/>
    <numFmt numFmtId="233" formatCode="_(&quot;$&quot;#,##0.0,_);[Red]_(\(&quot;$&quot;#,##0.0,\);_(&quot;- &quot;?_);_(@_)"/>
    <numFmt numFmtId="234" formatCode="_(&quot;$&quot;#,##0,,_);[Red]_(\(&quot;$&quot;#,##0,,\);_(&quot;- &quot;?_);_(@_)"/>
    <numFmt numFmtId="235" formatCode="_(&quot;$&quot;#,##0.0,,_);[Red]_(\(&quot;$&quot;#,##0.0,,\);_(&quot;- &quot;?_);_(@_)"/>
    <numFmt numFmtId="236" formatCode="_(* #,###.0_);_(* \(#,###.0\);_(* &quot;-&quot;?_);_(@_)"/>
    <numFmt numFmtId="237" formatCode="_-* #,##0\ _D_M_-;\-* #,##0\ _D_M_-;_-* &quot;-&quot;\ _D_M_-;_-@_-"/>
    <numFmt numFmtId="238" formatCode="_-* #,##0.00\ _D_M_-;\-* #,##0.00\ _D_M_-;_-* &quot;-&quot;??\ _D_M_-;_-@_-"/>
    <numFmt numFmtId="239" formatCode="_([$€-2]* #,##0.00_);_([$€-2]* \(#,##0.00\);_([$€-2]* &quot;-&quot;??_)"/>
    <numFmt numFmtId="240" formatCode="#,##0.00&quot; $&quot;;\-#,##0.00&quot; $&quot;"/>
    <numFmt numFmtId="241" formatCode="_-* #,##0\ _F_-;\-* #,##0\ _F_-;_-* &quot;-&quot;\ _F_-;_-@_-"/>
    <numFmt numFmtId="242" formatCode="_-* #,##0.00\ _F_-;\-* #,##0.00\ _F_-;_-* &quot;-&quot;??\ _F_-;_-@_-"/>
    <numFmt numFmtId="243" formatCode="_-* #,##0\ &quot;F&quot;_-;\-* #,##0\ &quot;F&quot;_-;_-* &quot;-&quot;\ &quot;F&quot;_-;_-@_-"/>
    <numFmt numFmtId="244" formatCode="_-* #,##0.00\ &quot;F&quot;_-;\-* #,##0.00\ &quot;F&quot;_-;_-* &quot;-&quot;??\ &quot;F&quot;_-;_-@_-"/>
    <numFmt numFmtId="245" formatCode="#,###.0_);[Red]\(#,###.0\)"/>
    <numFmt numFmtId="246" formatCode="0_);[Red]\(0\)"/>
    <numFmt numFmtId="247" formatCode="0.0_);[Red]\(0.0\)"/>
    <numFmt numFmtId="248" formatCode="0.00_);[Red]\(0.00\)"/>
    <numFmt numFmtId="249" formatCode="0.0%\ ;[Red]\(0.0%\);_(&quot;-&quot;?_)"/>
    <numFmt numFmtId="250" formatCode="0.00%\ ;[Red]\(0.00%\);_(&quot;-&quot;?_)"/>
    <numFmt numFmtId="251" formatCode="0.000%\ ;[Red]\(0.000%\);_(&quot;-&quot;?_)"/>
    <numFmt numFmtId="252" formatCode="_-* #,##0.0_-;\-* #,##0.0_-;_-* &quot;-&quot;??_-;_-@_-"/>
    <numFmt numFmtId="253" formatCode=".0%_);[Red]\(.0%\)"/>
    <numFmt numFmtId="254" formatCode="&quot;kr&quot;\ #,##0.00;[Red]&quot;kr&quot;\ \-#,##0.00"/>
    <numFmt numFmtId="255" formatCode="mm/dd/yy"/>
    <numFmt numFmtId="256" formatCode="[$$-409]#,##0"/>
    <numFmt numFmtId="257" formatCode="_-* #,##0\ &quot;DM&quot;_-;\-* #,##0\ &quot;DM&quot;_-;_-* &quot;-&quot;\ &quot;DM&quot;_-;_-@_-"/>
    <numFmt numFmtId="258" formatCode="_-* #,##0.00\ &quot;DM&quot;_-;\-* #,##0.00\ &quot;DM&quot;_-;_-* &quot;-&quot;??\ &quot;DM&quot;_-;_-@_-"/>
    <numFmt numFmtId="259" formatCode="_([$$-409]* #,##0_);_([$$-409]* \(#,##0\);_([$$-409]* &quot;-&quot;??_);_(@_)"/>
    <numFmt numFmtId="260" formatCode="_([$$-409]* #,##0.00_);_([$$-409]* \(#,##0.00\);_([$$-409]* &quot;-&quot;??_);_(@_)"/>
    <numFmt numFmtId="261" formatCode="_([$$-409]* #,##0.0_);_([$$-409]* \(#,##0.0\);_([$$-409]* &quot;-&quot;??_);_(@_)"/>
    <numFmt numFmtId="262" formatCode="0.0%_);\(0.0%\);0.0%_);@_)"/>
    <numFmt numFmtId="263" formatCode="_(&quot;$&quot;* #,##0_);_(&quot;$&quot;* \(#,##0\);_(&quot;$&quot;* &quot;-&quot;??_);_(@_)"/>
    <numFmt numFmtId="264" formatCode="&quot;$&quot;#,##0"/>
    <numFmt numFmtId="265" formatCode="0.00_);\(0.00\)"/>
    <numFmt numFmtId="266" formatCode="&quot;$&quot;#,##0.0_);[Red]\(&quot;$&quot;#,##0.0\)"/>
  </numFmts>
  <fonts count="18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9"/>
      <name val="Helvetica"/>
      <family val="2"/>
    </font>
    <font>
      <b/>
      <sz val="9"/>
      <name val="Helvetic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GillSans"/>
      <family val="2"/>
    </font>
    <font>
      <sz val="8"/>
      <color indexed="4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Arial"/>
      <family val="2"/>
    </font>
    <font>
      <sz val="11"/>
      <color indexed="20"/>
      <name val="Calibri"/>
      <family val="2"/>
    </font>
    <font>
      <b/>
      <sz val="12"/>
      <name val="Times"/>
      <family val="1"/>
    </font>
    <font>
      <b/>
      <i/>
      <sz val="12"/>
      <name val="Times"/>
      <family val="1"/>
    </font>
    <font>
      <u val="singleAccounting"/>
      <sz val="10"/>
      <name val="Arial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7"/>
      <name val="GillSans"/>
      <family val="2"/>
    </font>
    <font>
      <sz val="10"/>
      <name val="Helv"/>
    </font>
    <font>
      <sz val="8"/>
      <name val="Palatino"/>
      <family val="1"/>
    </font>
    <font>
      <sz val="10"/>
      <name val="Times New Roman"/>
      <family val="1"/>
    </font>
    <font>
      <sz val="10"/>
      <color indexed="12"/>
      <name val="Helv"/>
    </font>
    <font>
      <sz val="10"/>
      <name val="MS Sans Serif"/>
      <family val="2"/>
    </font>
    <font>
      <b/>
      <sz val="8"/>
      <name val="Times New Roman"/>
      <family val="1"/>
    </font>
    <font>
      <sz val="8"/>
      <name val="Times New Roman"/>
      <family val="1"/>
    </font>
    <font>
      <u val="doubleAccounting"/>
      <sz val="10"/>
      <name val="Arial"/>
      <family val="2"/>
    </font>
    <font>
      <i/>
      <sz val="11"/>
      <color indexed="23"/>
      <name val="Calibri"/>
      <family val="2"/>
    </font>
    <font>
      <sz val="7"/>
      <name val="Palatino"/>
      <family val="1"/>
    </font>
    <font>
      <sz val="11"/>
      <color indexed="17"/>
      <name val="Calibri"/>
      <family val="2"/>
    </font>
    <font>
      <sz val="6"/>
      <color indexed="16"/>
      <name val="Palatino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u/>
      <sz val="8.5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8"/>
      <color indexed="18"/>
      <name val="Times New Roman"/>
      <family val="1"/>
    </font>
    <font>
      <sz val="8"/>
      <name val="Helv"/>
    </font>
    <font>
      <sz val="11"/>
      <color indexed="19"/>
      <name val="Calibri"/>
      <family val="2"/>
    </font>
    <font>
      <b/>
      <i/>
      <sz val="16"/>
      <name val="Helv"/>
    </font>
    <font>
      <sz val="8"/>
      <name val="Helvetica"/>
      <family val="2"/>
    </font>
    <font>
      <sz val="10"/>
      <name val="Palatino"/>
      <family val="1"/>
    </font>
    <font>
      <b/>
      <sz val="11"/>
      <color indexed="63"/>
      <name val="Calibri"/>
      <family val="2"/>
    </font>
    <font>
      <sz val="10"/>
      <color indexed="16"/>
      <name val="Helvetica-Black"/>
    </font>
    <font>
      <sz val="10"/>
      <name val="CG Times"/>
      <family val="1"/>
    </font>
    <font>
      <b/>
      <sz val="10"/>
      <name val="MS Sans Serif"/>
      <family val="2"/>
    </font>
    <font>
      <u/>
      <sz val="10"/>
      <name val="GillSans"/>
      <family val="2"/>
    </font>
    <font>
      <sz val="10"/>
      <color indexed="12"/>
      <name val="MS Sans Serif"/>
      <family val="2"/>
    </font>
    <font>
      <sz val="10"/>
      <name val="GillSans Light"/>
      <family val="2"/>
    </font>
    <font>
      <sz val="9.5"/>
      <color indexed="23"/>
      <name val="Helvetica-Black"/>
    </font>
    <font>
      <sz val="10"/>
      <name val="Times"/>
      <family val="1"/>
    </font>
    <font>
      <sz val="10"/>
      <name val="Helv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12"/>
      <name val="MS Sans Serif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8"/>
      <name val="Helvetica-Narrow"/>
      <family val="2"/>
    </font>
    <font>
      <b/>
      <sz val="7"/>
      <name val="Helvetica-Narrow"/>
      <family val="2"/>
    </font>
    <font>
      <b/>
      <sz val="12"/>
      <name val="GillSans"/>
      <family val="2"/>
    </font>
    <font>
      <sz val="12"/>
      <color indexed="8"/>
      <name val="Palatino"/>
      <family val="1"/>
    </font>
    <font>
      <sz val="11"/>
      <color indexed="8"/>
      <name val="Helvetica-Black"/>
    </font>
    <font>
      <sz val="12"/>
      <name val="Times New Roman"/>
      <family val="1"/>
    </font>
    <font>
      <b/>
      <sz val="18"/>
      <color indexed="62"/>
      <name val="Cambria"/>
      <family val="2"/>
    </font>
    <font>
      <b/>
      <sz val="11"/>
      <name val="GillSans"/>
      <family val="2"/>
    </font>
    <font>
      <u/>
      <sz val="11"/>
      <name val="GillSans"/>
      <family val="2"/>
    </font>
    <font>
      <b/>
      <sz val="11"/>
      <color indexed="8"/>
      <name val="Calibri"/>
      <family val="2"/>
    </font>
    <font>
      <u/>
      <sz val="8"/>
      <color indexed="8"/>
      <name val="Arial"/>
      <family val="2"/>
    </font>
    <font>
      <b/>
      <i/>
      <sz val="8"/>
      <name val="Helv"/>
    </font>
    <font>
      <sz val="11"/>
      <name val="Times New Roman"/>
      <family val="1"/>
    </font>
    <font>
      <i/>
      <sz val="12"/>
      <name val="Arial"/>
      <family val="2"/>
    </font>
    <font>
      <sz val="8"/>
      <name val="Calibri"/>
      <family val="2"/>
    </font>
    <font>
      <u/>
      <sz val="16"/>
      <color indexed="12"/>
      <name val="Calibri"/>
      <family val="2"/>
    </font>
    <font>
      <sz val="10"/>
      <color indexed="18"/>
      <name val="Arial"/>
      <family val="2"/>
    </font>
    <font>
      <sz val="12"/>
      <name val="Helv"/>
    </font>
    <font>
      <sz val="10"/>
      <color indexed="9"/>
      <name val="Arial"/>
      <family val="2"/>
    </font>
    <font>
      <sz val="12"/>
      <color indexed="9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2"/>
      <color indexed="10"/>
      <name val="Arial"/>
      <family val="2"/>
    </font>
    <font>
      <b/>
      <sz val="11"/>
      <name val="Helvetica-Black"/>
    </font>
    <font>
      <sz val="10"/>
      <name val="Helvetica"/>
      <family val="2"/>
    </font>
    <font>
      <sz val="9"/>
      <name val="Helvetica 45"/>
    </font>
    <font>
      <u/>
      <sz val="11"/>
      <color theme="10"/>
      <name val="Calibri"/>
      <family val="2"/>
      <scheme val="minor"/>
    </font>
    <font>
      <sz val="8"/>
      <name val="Cambria"/>
      <family val="1"/>
    </font>
    <font>
      <b/>
      <sz val="9"/>
      <name val="Helvetica 45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Helvetica-Black"/>
      <family val="2"/>
    </font>
    <font>
      <sz val="9"/>
      <name val="Helvetica 45"/>
      <family val="2"/>
    </font>
    <font>
      <b/>
      <sz val="9"/>
      <name val="Helvetica 65"/>
      <family val="2"/>
    </font>
    <font>
      <sz val="9"/>
      <name val="Helvetica 65"/>
    </font>
    <font>
      <sz val="9"/>
      <name val="Arial Narrow"/>
      <family val="2"/>
    </font>
    <font>
      <b/>
      <sz val="10"/>
      <color indexed="56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0"/>
      <color indexed="8"/>
      <name val="MS Sans Serif"/>
      <family val="2"/>
    </font>
    <font>
      <sz val="10"/>
      <name val="Helv"/>
      <charset val="204"/>
    </font>
    <font>
      <sz val="13"/>
      <name val="Tms Rmn"/>
    </font>
    <font>
      <sz val="10"/>
      <name val="Geneva"/>
      <family val="2"/>
    </font>
    <font>
      <sz val="12"/>
      <name val="Tms Rmn"/>
    </font>
    <font>
      <sz val="9"/>
      <name val="Helv"/>
    </font>
    <font>
      <b/>
      <sz val="13"/>
      <name val="Tms Rmn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7"/>
      <name val="Small Fonts"/>
      <family val="2"/>
    </font>
    <font>
      <sz val="10"/>
      <name val="MS Serif"/>
      <family val="1"/>
    </font>
    <font>
      <b/>
      <sz val="10"/>
      <name val="Geneva"/>
      <family val="2"/>
    </font>
    <font>
      <sz val="10"/>
      <color indexed="8"/>
      <name val="Arial"/>
      <family val="2"/>
    </font>
    <font>
      <u val="doubleAccounting"/>
      <sz val="10"/>
      <name val="Times New Roman"/>
      <family val="1"/>
    </font>
    <font>
      <sz val="10"/>
      <color indexed="16"/>
      <name val="MS Serif"/>
      <family val="1"/>
    </font>
    <font>
      <b/>
      <sz val="8"/>
      <name val="MS Sans Serif"/>
      <family val="2"/>
    </font>
    <font>
      <b/>
      <sz val="12"/>
      <name val="Tms Rmn"/>
    </font>
    <font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sz val="11"/>
      <name val="‚l‚r –¾’©"/>
      <charset val="128"/>
    </font>
    <font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sz val="11"/>
      <color indexed="16"/>
      <name val="Times New Roman"/>
      <family val="1"/>
    </font>
    <font>
      <b/>
      <sz val="10"/>
      <color indexed="18"/>
      <name val="Arial"/>
      <family val="2"/>
    </font>
    <font>
      <b/>
      <sz val="22"/>
      <color indexed="18"/>
      <name val="Times New Roman"/>
      <family val="1"/>
    </font>
    <font>
      <sz val="9"/>
      <name val="Arial"/>
      <family val="2"/>
    </font>
    <font>
      <sz val="8"/>
      <name val="Wingdings"/>
      <charset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u val="singleAccounting"/>
      <sz val="10"/>
      <name val="Times New Roman"/>
      <family val="1"/>
    </font>
    <font>
      <sz val="8"/>
      <name val="MS Sans Serif"/>
      <family val="2"/>
    </font>
    <font>
      <b/>
      <sz val="8"/>
      <color indexed="8"/>
      <name val="Helv"/>
    </font>
    <font>
      <b/>
      <sz val="16"/>
      <color indexed="62"/>
      <name val="Arial"/>
      <family val="2"/>
    </font>
    <font>
      <sz val="8"/>
      <color indexed="8"/>
      <name val="Wingdings"/>
      <charset val="2"/>
    </font>
    <font>
      <sz val="11"/>
      <name val="ＭＳ Ｐゴシック"/>
      <family val="2"/>
      <charset val="128"/>
    </font>
    <font>
      <sz val="10"/>
      <name val="Helvetica 45"/>
    </font>
    <font>
      <b/>
      <sz val="10"/>
      <name val="Helvetica 45"/>
    </font>
    <font>
      <b/>
      <sz val="10"/>
      <color indexed="56"/>
      <name val="Helvetica 45"/>
    </font>
    <font>
      <i/>
      <sz val="10"/>
      <name val="Helvetica 45"/>
    </font>
    <font>
      <sz val="10"/>
      <color rgb="FF0070C0"/>
      <name val="Helvetica 45"/>
    </font>
    <font>
      <b/>
      <sz val="14"/>
      <name val="Helvetica-Black"/>
    </font>
    <font>
      <sz val="10"/>
      <color theme="1"/>
      <name val="Helvetica 45"/>
    </font>
    <font>
      <u/>
      <sz val="10"/>
      <name val="Helvetica 45"/>
    </font>
    <font>
      <b/>
      <u/>
      <sz val="10"/>
      <name val="Helvetica 45"/>
    </font>
    <font>
      <sz val="10"/>
      <color indexed="8"/>
      <name val="Helvetica 45"/>
    </font>
    <font>
      <b/>
      <sz val="10"/>
      <name val="Helvetica 65"/>
      <family val="2"/>
    </font>
    <font>
      <sz val="9"/>
      <color rgb="FF0070C0"/>
      <name val="Helvetica"/>
      <family val="2"/>
    </font>
    <font>
      <sz val="10"/>
      <name val="Helvetica45"/>
    </font>
    <font>
      <b/>
      <sz val="10"/>
      <color rgb="FFFF0000"/>
      <name val="Helvetica 45"/>
    </font>
    <font>
      <sz val="10"/>
      <color rgb="FFFF0000"/>
      <name val="Helvetica 45"/>
    </font>
    <font>
      <sz val="9"/>
      <color rgb="FFFF0000"/>
      <name val="Helvetica"/>
      <family val="2"/>
    </font>
    <font>
      <sz val="10"/>
      <color rgb="FF00B050"/>
      <name val="Helvetica 45"/>
    </font>
    <font>
      <b/>
      <i/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0"/>
      <color rgb="FF0070C0"/>
      <name val="Helvetica 45"/>
    </font>
    <font>
      <i/>
      <sz val="10"/>
      <color rgb="FF0070C0"/>
      <name val="Helvetica 45"/>
    </font>
    <font>
      <i/>
      <sz val="11"/>
      <color rgb="FF0070C0"/>
      <name val="Calibri"/>
      <family val="2"/>
      <scheme val="minor"/>
    </font>
    <font>
      <b/>
      <i/>
      <sz val="10"/>
      <name val="Helvetica 45"/>
    </font>
    <font>
      <sz val="9"/>
      <color rgb="FF0070C0"/>
      <name val="Helvetica 45"/>
    </font>
    <font>
      <b/>
      <i/>
      <sz val="10"/>
      <color rgb="FF0070C0"/>
      <name val="Helvetica 45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8"/>
      </patternFill>
    </fill>
    <fill>
      <patternFill patternType="solid">
        <fgColor indexed="23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indexed="1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6795556505021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theme="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14993743705557422"/>
      </left>
      <right/>
      <top/>
      <bottom style="thin">
        <color indexed="8"/>
      </bottom>
      <diagonal/>
    </border>
  </borders>
  <cellStyleXfs count="520">
    <xf numFmtId="0" fontId="0" fillId="0" borderId="0"/>
    <xf numFmtId="0" fontId="2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168" fontId="8" fillId="0" borderId="0">
      <alignment horizontal="right"/>
    </xf>
    <xf numFmtId="169" fontId="9" fillId="0" borderId="0" applyFont="0" applyFill="0" applyBorder="0" applyAlignment="0" applyProtection="0"/>
    <xf numFmtId="0" fontId="5" fillId="0" borderId="0"/>
    <xf numFmtId="0" fontId="5" fillId="0" borderId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37" fontId="14" fillId="0" borderId="0"/>
    <xf numFmtId="37" fontId="14" fillId="0" borderId="0"/>
    <xf numFmtId="37" fontId="15" fillId="0" borderId="0"/>
    <xf numFmtId="37" fontId="15" fillId="0" borderId="0"/>
    <xf numFmtId="170" fontId="16" fillId="0" borderId="0" applyFont="0" applyFill="0" applyBorder="0" applyAlignment="0" applyProtection="0"/>
    <xf numFmtId="0" fontId="17" fillId="18" borderId="5" applyNumberFormat="0" applyAlignment="0" applyProtection="0"/>
    <xf numFmtId="0" fontId="17" fillId="18" borderId="5" applyNumberFormat="0" applyAlignment="0" applyProtection="0"/>
    <xf numFmtId="0" fontId="18" fillId="19" borderId="6" applyNumberFormat="0" applyAlignment="0" applyProtection="0"/>
    <xf numFmtId="0" fontId="18" fillId="19" borderId="6" applyNumberFormat="0" applyAlignment="0" applyProtection="0"/>
    <xf numFmtId="0" fontId="19" fillId="0" borderId="7" applyNumberFormat="0" applyFill="0" applyBorder="0" applyProtection="0">
      <alignment horizontal="left" vertical="center"/>
    </xf>
    <xf numFmtId="0" fontId="19" fillId="0" borderId="7" applyNumberFormat="0" applyFill="0" applyBorder="0" applyProtection="0">
      <alignment horizontal="right" vertical="center"/>
    </xf>
    <xf numFmtId="0" fontId="20" fillId="0" borderId="0"/>
    <xf numFmtId="171" fontId="20" fillId="0" borderId="7"/>
    <xf numFmtId="172" fontId="21" fillId="0" borderId="0" applyFont="0" applyFill="0" applyBorder="0" applyAlignment="0" applyProtection="0">
      <alignment horizontal="right"/>
    </xf>
    <xf numFmtId="173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2" fillId="0" borderId="0" applyFont="0" applyFill="0" applyBorder="0" applyAlignment="0" applyProtection="0"/>
    <xf numFmtId="3" fontId="12" fillId="0" borderId="0" applyFont="0" applyFill="0" applyBorder="0" applyAlignment="0" applyProtection="0"/>
    <xf numFmtId="174" fontId="23" fillId="0" borderId="4">
      <protection hidden="1"/>
    </xf>
    <xf numFmtId="175" fontId="21" fillId="0" borderId="0" applyFont="0" applyFill="0" applyBorder="0" applyAlignment="0" applyProtection="0">
      <alignment horizontal="right"/>
    </xf>
    <xf numFmtId="176" fontId="21" fillId="0" borderId="0" applyFont="0" applyFill="0" applyBorder="0" applyAlignment="0" applyProtection="0">
      <alignment horizontal="right"/>
    </xf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8" fillId="20" borderId="8">
      <alignment horizontal="right"/>
    </xf>
    <xf numFmtId="0" fontId="12" fillId="0" borderId="0" applyFont="0" applyFill="0" applyBorder="0" applyAlignment="0" applyProtection="0"/>
    <xf numFmtId="179" fontId="21" fillId="0" borderId="0" applyFont="0" applyFill="0" applyBorder="0" applyAlignment="0" applyProtection="0"/>
    <xf numFmtId="14" fontId="25" fillId="0" borderId="0" applyFont="0" applyFill="0" applyBorder="0" applyAlignment="0" applyProtection="0">
      <alignment horizont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8" fontId="26" fillId="0" borderId="0" applyFont="0" applyFill="0" applyBorder="0" applyAlignment="0" applyProtection="0"/>
    <xf numFmtId="181" fontId="21" fillId="0" borderId="9" applyNumberFormat="0" applyFont="0" applyFill="0" applyAlignment="0" applyProtection="0"/>
    <xf numFmtId="42" fontId="27" fillId="0" borderId="0" applyFill="0" applyBorder="0" applyAlignment="0" applyProtection="0"/>
    <xf numFmtId="182" fontId="8" fillId="21" borderId="0"/>
    <xf numFmtId="183" fontId="8" fillId="21" borderId="0"/>
    <xf numFmtId="184" fontId="8" fillId="21" borderId="0"/>
    <xf numFmtId="185" fontId="8" fillId="0" borderId="0"/>
    <xf numFmtId="182" fontId="8" fillId="0" borderId="0"/>
    <xf numFmtId="186" fontId="8" fillId="21" borderId="0"/>
    <xf numFmtId="187" fontId="8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2" fontId="12" fillId="0" borderId="0" applyFont="0" applyFill="0" applyBorder="0" applyAlignment="0" applyProtection="0"/>
    <xf numFmtId="0" fontId="29" fillId="0" borderId="0" applyFill="0" applyBorder="0" applyProtection="0">
      <alignment horizontal="left"/>
    </xf>
    <xf numFmtId="183" fontId="8" fillId="0" borderId="10"/>
    <xf numFmtId="189" fontId="8" fillId="20" borderId="8">
      <alignment horizontal="right"/>
    </xf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190" fontId="21" fillId="0" borderId="0" applyFont="0" applyFill="0" applyBorder="0" applyAlignment="0" applyProtection="0">
      <alignment horizontal="right"/>
    </xf>
    <xf numFmtId="0" fontId="31" fillId="0" borderId="0" applyProtection="0">
      <alignment horizontal="right"/>
    </xf>
    <xf numFmtId="191" fontId="5" fillId="0" borderId="0" applyNumberForma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0" fontId="7" fillId="0" borderId="11" applyNumberFormat="0" applyAlignment="0" applyProtection="0">
      <alignment horizontal="left" vertical="center"/>
    </xf>
    <xf numFmtId="0" fontId="7" fillId="0" borderId="12">
      <alignment horizontal="left" vertical="center"/>
    </xf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" fillId="0" borderId="0" applyNumberFormat="0" applyFill="0" applyBorder="0" applyProtection="0">
      <alignment wrapText="1"/>
    </xf>
    <xf numFmtId="0" fontId="5" fillId="0" borderId="0" applyNumberFormat="0" applyFill="0" applyBorder="0" applyProtection="0">
      <alignment wrapText="1"/>
    </xf>
    <xf numFmtId="0" fontId="5" fillId="0" borderId="0" applyNumberFormat="0" applyFill="0" applyBorder="0" applyProtection="0">
      <alignment horizontal="justify" vertical="top" wrapText="1"/>
    </xf>
    <xf numFmtId="0" fontId="5" fillId="0" borderId="0" applyNumberFormat="0" applyFill="0" applyBorder="0" applyProtection="0">
      <alignment horizontal="justify" vertical="top" wrapText="1"/>
    </xf>
    <xf numFmtId="0" fontId="35" fillId="0" borderId="16" applyNumberFormat="0" applyFont="0" applyFill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9" fillId="9" borderId="5" applyNumberFormat="0" applyAlignment="0" applyProtection="0"/>
    <xf numFmtId="0" fontId="39" fillId="9" borderId="5" applyNumberFormat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192" fontId="8" fillId="0" borderId="0">
      <alignment horizontal="right"/>
    </xf>
    <xf numFmtId="193" fontId="8" fillId="21" borderId="0">
      <alignment horizontal="right"/>
    </xf>
    <xf numFmtId="169" fontId="41" fillId="0" borderId="0" applyFill="0" applyBorder="0" applyAlignment="0" applyProtection="0"/>
    <xf numFmtId="194" fontId="8" fillId="21" borderId="8">
      <alignment horizontal="right"/>
    </xf>
    <xf numFmtId="195" fontId="21" fillId="0" borderId="0" applyFont="0" applyFill="0" applyBorder="0" applyAlignment="0" applyProtection="0">
      <alignment horizontal="right"/>
    </xf>
    <xf numFmtId="164" fontId="42" fillId="0" borderId="7"/>
    <xf numFmtId="0" fontId="43" fillId="9" borderId="0" applyNumberFormat="0" applyBorder="0" applyAlignment="0" applyProtection="0"/>
    <xf numFmtId="0" fontId="43" fillId="9" borderId="0" applyNumberFormat="0" applyBorder="0" applyAlignment="0" applyProtection="0"/>
    <xf numFmtId="196" fontId="20" fillId="0" borderId="0"/>
    <xf numFmtId="197" fontId="44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5" fillId="0" borderId="0"/>
    <xf numFmtId="0" fontId="4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22" fillId="0" borderId="0"/>
    <xf numFmtId="0" fontId="5" fillId="0" borderId="0"/>
    <xf numFmtId="198" fontId="1" fillId="0" borderId="0"/>
    <xf numFmtId="0" fontId="46" fillId="0" borderId="0"/>
    <xf numFmtId="0" fontId="24" fillId="6" borderId="18" applyNumberFormat="0" applyFont="0" applyAlignment="0" applyProtection="0"/>
    <xf numFmtId="0" fontId="24" fillId="6" borderId="18" applyNumberFormat="0" applyFont="0" applyAlignment="0" applyProtection="0"/>
    <xf numFmtId="200" fontId="42" fillId="0" borderId="0"/>
    <xf numFmtId="0" fontId="47" fillId="18" borderId="19" applyNumberFormat="0" applyAlignment="0" applyProtection="0"/>
    <xf numFmtId="0" fontId="47" fillId="18" borderId="19" applyNumberFormat="0" applyAlignment="0" applyProtection="0"/>
    <xf numFmtId="201" fontId="24" fillId="0" borderId="0"/>
    <xf numFmtId="201" fontId="24" fillId="0" borderId="0"/>
    <xf numFmtId="1" fontId="48" fillId="0" borderId="0" applyProtection="0">
      <alignment horizontal="right" vertical="center"/>
    </xf>
    <xf numFmtId="202" fontId="8" fillId="21" borderId="0"/>
    <xf numFmtId="203" fontId="8" fillId="0" borderId="0"/>
    <xf numFmtId="204" fontId="23" fillId="0" borderId="0">
      <protection hidden="1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10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10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2" fillId="0" borderId="0" applyFont="0" applyFill="0" applyBorder="0" applyAlignment="0" applyProtection="0"/>
    <xf numFmtId="164" fontId="42" fillId="0" borderId="0"/>
    <xf numFmtId="205" fontId="8" fillId="21" borderId="0">
      <alignment horizontal="right"/>
    </xf>
    <xf numFmtId="0" fontId="24" fillId="0" borderId="0" applyNumberFormat="0" applyFont="0" applyFill="0" applyBorder="0" applyAlignment="0" applyProtection="0">
      <alignment horizontal="left"/>
    </xf>
    <xf numFmtId="15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50" fillId="0" borderId="4">
      <alignment horizontal="center"/>
    </xf>
    <xf numFmtId="3" fontId="24" fillId="0" borderId="0" applyFont="0" applyFill="0" applyBorder="0" applyAlignment="0" applyProtection="0"/>
    <xf numFmtId="0" fontId="24" fillId="22" borderId="0" applyNumberFormat="0" applyFont="0" applyBorder="0" applyAlignment="0" applyProtection="0"/>
    <xf numFmtId="206" fontId="8" fillId="20" borderId="0"/>
    <xf numFmtId="0" fontId="51" fillId="0" borderId="0">
      <alignment horizontal="center"/>
    </xf>
    <xf numFmtId="0" fontId="8" fillId="0" borderId="7">
      <alignment horizontal="centerContinuous"/>
    </xf>
    <xf numFmtId="207" fontId="8" fillId="20" borderId="8">
      <alignment horizontal="right"/>
    </xf>
    <xf numFmtId="0" fontId="52" fillId="0" borderId="20"/>
    <xf numFmtId="0" fontId="53" fillId="0" borderId="0" applyNumberFormat="0" applyFill="0" applyBorder="0" applyProtection="0">
      <alignment horizontal="right" vertical="center"/>
    </xf>
    <xf numFmtId="0" fontId="54" fillId="0" borderId="21">
      <alignment vertical="center"/>
    </xf>
    <xf numFmtId="42" fontId="16" fillId="0" borderId="0" applyFill="0" applyBorder="0" applyAlignment="0" applyProtection="0"/>
    <xf numFmtId="37" fontId="55" fillId="0" borderId="22"/>
    <xf numFmtId="37" fontId="55" fillId="0" borderId="22"/>
    <xf numFmtId="0" fontId="56" fillId="0" borderId="0"/>
    <xf numFmtId="0" fontId="57" fillId="23" borderId="0" applyNumberFormat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23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Protection="0">
      <alignment horizontal="center"/>
    </xf>
    <xf numFmtId="0" fontId="61" fillId="24" borderId="0" applyNumberFormat="0" applyBorder="0" applyAlignment="0" applyProtection="0"/>
    <xf numFmtId="0" fontId="5" fillId="0" borderId="0" applyNumberFormat="0" applyFont="0" applyFill="0" applyBorder="0" applyProtection="0">
      <alignment horizontal="right"/>
    </xf>
    <xf numFmtId="0" fontId="5" fillId="0" borderId="0" applyNumberFormat="0" applyFont="0" applyFill="0" applyBorder="0" applyProtection="0">
      <alignment horizontal="right"/>
    </xf>
    <xf numFmtId="0" fontId="5" fillId="0" borderId="0" applyNumberFormat="0" applyFont="0" applyFill="0" applyBorder="0" applyProtection="0">
      <alignment horizontal="left"/>
    </xf>
    <xf numFmtId="0" fontId="5" fillId="0" borderId="0" applyNumberFormat="0" applyFont="0" applyFill="0" applyBorder="0" applyProtection="0">
      <alignment horizontal="left"/>
    </xf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" fillId="25" borderId="0" applyNumberFormat="0" applyFont="0" applyBorder="0" applyAlignment="0" applyProtection="0"/>
    <xf numFmtId="0" fontId="5" fillId="25" borderId="0" applyNumberFormat="0" applyFont="0" applyBorder="0" applyAlignment="0" applyProtection="0"/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4" applyNumberFormat="0" applyFont="0" applyFill="0" applyAlignment="0" applyProtection="0"/>
    <xf numFmtId="0" fontId="5" fillId="0" borderId="4" applyNumberFormat="0" applyFont="0" applyFill="0" applyAlignment="0" applyProtection="0"/>
    <xf numFmtId="0" fontId="64" fillId="0" borderId="23"/>
    <xf numFmtId="0" fontId="65" fillId="0" borderId="0" applyBorder="0" applyProtection="0">
      <alignment vertical="center"/>
    </xf>
    <xf numFmtId="181" fontId="65" fillId="0" borderId="7" applyBorder="0" applyProtection="0">
      <alignment horizontal="right" vertical="center"/>
    </xf>
    <xf numFmtId="0" fontId="66" fillId="26" borderId="0" applyBorder="0" applyProtection="0">
      <alignment horizontal="centerContinuous" vertical="center"/>
    </xf>
    <xf numFmtId="0" fontId="66" fillId="24" borderId="7" applyBorder="0" applyProtection="0">
      <alignment horizontal="centerContinuous" vertical="center"/>
    </xf>
    <xf numFmtId="0" fontId="67" fillId="0" borderId="0"/>
    <xf numFmtId="0" fontId="46" fillId="0" borderId="0"/>
    <xf numFmtId="0" fontId="68" fillId="0" borderId="0" applyFill="0" applyBorder="0" applyProtection="0">
      <alignment horizontal="left"/>
    </xf>
    <xf numFmtId="0" fontId="29" fillId="0" borderId="24" applyFill="0" applyBorder="0" applyProtection="0">
      <alignment horizontal="left" vertical="top"/>
    </xf>
    <xf numFmtId="0" fontId="69" fillId="0" borderId="0">
      <alignment horizontal="centerContinuous"/>
    </xf>
    <xf numFmtId="199" fontId="70" fillId="0" borderId="0" applyNumberFormat="0" applyFill="0" applyBorder="0">
      <alignment horizontal="left"/>
    </xf>
    <xf numFmtId="199" fontId="71" fillId="0" borderId="0" applyNumberFormat="0" applyFill="0" applyBorder="0">
      <alignment horizontal="right"/>
    </xf>
    <xf numFmtId="49" fontId="72" fillId="0" borderId="0"/>
    <xf numFmtId="0" fontId="73" fillId="0" borderId="0"/>
    <xf numFmtId="0" fontId="74" fillId="0" borderId="0"/>
    <xf numFmtId="0" fontId="2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1" borderId="0" applyNumberFormat="0" applyBorder="0" applyProtection="0">
      <alignment horizontal="left" vertical="center"/>
    </xf>
    <xf numFmtId="0" fontId="78" fillId="0" borderId="0"/>
    <xf numFmtId="0" fontId="35" fillId="0" borderId="25" applyNumberFormat="0" applyFont="0" applyFill="0" applyAlignment="0" applyProtection="0"/>
    <xf numFmtId="0" fontId="35" fillId="0" borderId="25" applyNumberFormat="0" applyFont="0" applyFill="0" applyAlignment="0" applyProtection="0"/>
    <xf numFmtId="0" fontId="79" fillId="0" borderId="26" applyNumberFormat="0" applyFill="0" applyAlignment="0" applyProtection="0"/>
    <xf numFmtId="0" fontId="79" fillId="0" borderId="26" applyNumberFormat="0" applyFill="0" applyAlignment="0" applyProtection="0"/>
    <xf numFmtId="37" fontId="55" fillId="0" borderId="7"/>
    <xf numFmtId="37" fontId="55" fillId="0" borderId="7"/>
    <xf numFmtId="0" fontId="80" fillId="0" borderId="0">
      <alignment horizontal="fill"/>
    </xf>
    <xf numFmtId="37" fontId="55" fillId="0" borderId="27"/>
    <xf numFmtId="37" fontId="55" fillId="0" borderId="27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209" fontId="81" fillId="0" borderId="7" applyBorder="0" applyProtection="0">
      <alignment horizontal="right"/>
    </xf>
    <xf numFmtId="210" fontId="16" fillId="0" borderId="0" applyFont="0" applyFill="0" applyBorder="0" applyAlignment="0" applyProtection="0"/>
    <xf numFmtId="40" fontId="82" fillId="0" borderId="0" applyAlignment="0"/>
    <xf numFmtId="213" fontId="35" fillId="0" borderId="0"/>
    <xf numFmtId="0" fontId="10" fillId="0" borderId="0"/>
    <xf numFmtId="43" fontId="5" fillId="0" borderId="0" applyFont="0" applyFill="0" applyBorder="0" applyAlignment="0" applyProtection="0"/>
    <xf numFmtId="199" fontId="87" fillId="0" borderId="0"/>
    <xf numFmtId="8" fontId="24" fillId="0" borderId="0" applyFont="0" applyFill="0" applyBorder="0" applyAlignment="0" applyProtection="0"/>
    <xf numFmtId="0" fontId="95" fillId="0" borderId="0"/>
    <xf numFmtId="43" fontId="1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Protection="0"/>
    <xf numFmtId="0" fontId="5" fillId="0" borderId="0"/>
    <xf numFmtId="0" fontId="109" fillId="0" borderId="0" applyNumberFormat="0" applyFill="0" applyBorder="0" applyAlignment="0" applyProtection="0"/>
    <xf numFmtId="0" fontId="5" fillId="0" borderId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" fillId="0" borderId="0"/>
    <xf numFmtId="0" fontId="109" fillId="0" borderId="0" applyNumberFormat="0" applyFill="0" applyBorder="0" applyAlignment="0" applyProtection="0"/>
    <xf numFmtId="0" fontId="5" fillId="0" borderId="0"/>
    <xf numFmtId="0" fontId="5" fillId="0" borderId="0"/>
    <xf numFmtId="0" fontId="109" fillId="0" borderId="0" applyNumberFormat="0" applyFill="0" applyBorder="0" applyAlignment="0" applyProtection="0"/>
    <xf numFmtId="0" fontId="5" fillId="0" borderId="0"/>
    <xf numFmtId="0" fontId="110" fillId="0" borderId="0"/>
    <xf numFmtId="0" fontId="5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" fillId="0" borderId="0"/>
    <xf numFmtId="0" fontId="5" fillId="0" borderId="0"/>
    <xf numFmtId="219" fontId="5" fillId="0" borderId="0" applyFont="0" applyFill="0" applyBorder="0" applyAlignment="0" applyProtection="0"/>
    <xf numFmtId="0" fontId="24" fillId="0" borderId="0"/>
    <xf numFmtId="220" fontId="111" fillId="0" borderId="0" applyFont="0" applyFill="0" applyBorder="0" applyAlignment="0" applyProtection="0"/>
    <xf numFmtId="0" fontId="75" fillId="0" borderId="0"/>
    <xf numFmtId="167" fontId="111" fillId="0" borderId="0" applyFont="0" applyFill="0" applyBorder="0" applyAlignment="0" applyProtection="0"/>
    <xf numFmtId="10" fontId="111" fillId="0" borderId="0" applyFont="0" applyFill="0" applyBorder="0" applyAlignment="0" applyProtection="0"/>
    <xf numFmtId="0" fontId="62" fillId="0" borderId="0" applyNumberFormat="0" applyAlignment="0"/>
    <xf numFmtId="221" fontId="5" fillId="28" borderId="37">
      <alignment horizontal="center" vertical="center"/>
    </xf>
    <xf numFmtId="0" fontId="26" fillId="0" borderId="0">
      <alignment horizontal="center" wrapText="1"/>
      <protection locked="0"/>
    </xf>
    <xf numFmtId="199" fontId="6" fillId="0" borderId="0" applyNumberFormat="0">
      <alignment horizontal="center"/>
    </xf>
    <xf numFmtId="9" fontId="112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222" fontId="5" fillId="0" borderId="0" applyFill="0" applyBorder="0" applyAlignment="0"/>
    <xf numFmtId="0" fontId="114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114" fillId="0" borderId="0" applyFill="0" applyBorder="0" applyAlignment="0"/>
    <xf numFmtId="0" fontId="5" fillId="0" borderId="0" applyFill="0" applyBorder="0" applyAlignment="0"/>
    <xf numFmtId="0" fontId="114" fillId="0" borderId="0" applyFill="0" applyBorder="0" applyAlignment="0"/>
    <xf numFmtId="0" fontId="115" fillId="0" borderId="7" applyNumberFormat="0" applyFill="0" applyProtection="0">
      <alignment horizontal="center"/>
    </xf>
    <xf numFmtId="0" fontId="60" fillId="34" borderId="0">
      <alignment horizontal="left"/>
    </xf>
    <xf numFmtId="0" fontId="116" fillId="34" borderId="0">
      <alignment horizontal="right"/>
    </xf>
    <xf numFmtId="0" fontId="117" fillId="18" borderId="0">
      <alignment horizontal="center"/>
    </xf>
    <xf numFmtId="0" fontId="116" fillId="34" borderId="0">
      <alignment horizontal="right"/>
    </xf>
    <xf numFmtId="0" fontId="118" fillId="18" borderId="0">
      <alignment horizontal="left"/>
    </xf>
    <xf numFmtId="218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0" fontId="114" fillId="0" borderId="0" applyFont="0" applyFill="0" applyBorder="0" applyAlignment="0" applyProtection="0"/>
    <xf numFmtId="37" fontId="111" fillId="0" borderId="0" applyFont="0" applyFill="0" applyBorder="0" applyAlignment="0" applyProtection="0"/>
    <xf numFmtId="164" fontId="111" fillId="0" borderId="0" applyFont="0" applyFill="0" applyBorder="0" applyAlignment="0" applyProtection="0"/>
    <xf numFmtId="39" fontId="111" fillId="0" borderId="0" applyFont="0" applyFill="0" applyBorder="0" applyAlignment="0" applyProtection="0"/>
    <xf numFmtId="167" fontId="119" fillId="0" borderId="0" applyNumberFormat="0" applyFill="0" applyAlignment="0" applyProtection="0"/>
    <xf numFmtId="0" fontId="120" fillId="0" borderId="0" applyNumberFormat="0" applyAlignment="0">
      <alignment horizontal="left"/>
    </xf>
    <xf numFmtId="0" fontId="35" fillId="0" borderId="0" applyNumberFormat="0" applyAlignment="0"/>
    <xf numFmtId="229" fontId="5" fillId="0" borderId="0" applyFont="0" applyFill="0" applyBorder="0" applyAlignment="0" applyProtection="0">
      <alignment horizontal="right"/>
    </xf>
    <xf numFmtId="230" fontId="5" fillId="0" borderId="0" applyFont="0" applyFill="0" applyBorder="0" applyAlignment="0" applyProtection="0">
      <alignment horizontal="right"/>
    </xf>
    <xf numFmtId="231" fontId="5" fillId="0" borderId="0" applyFont="0" applyFill="0" applyBorder="0" applyAlignment="0" applyProtection="0">
      <alignment horizontal="right"/>
    </xf>
    <xf numFmtId="232" fontId="5" fillId="0" borderId="0" applyFont="0" applyFill="0" applyBorder="0" applyAlignment="0" applyProtection="0">
      <alignment horizontal="right"/>
    </xf>
    <xf numFmtId="233" fontId="5" fillId="0" borderId="0" applyFont="0" applyFill="0" applyBorder="0" applyAlignment="0" applyProtection="0">
      <alignment horizontal="right"/>
    </xf>
    <xf numFmtId="232" fontId="5" fillId="0" borderId="0" applyFont="0" applyFill="0" applyBorder="0" applyAlignment="0" applyProtection="0">
      <alignment horizontal="right"/>
    </xf>
    <xf numFmtId="234" fontId="5" fillId="0" borderId="0" applyFont="0" applyFill="0" applyBorder="0" applyAlignment="0" applyProtection="0">
      <alignment horizontal="right"/>
    </xf>
    <xf numFmtId="235" fontId="5" fillId="0" borderId="0" applyFont="0" applyFill="0" applyBorder="0" applyAlignment="0" applyProtection="0">
      <alignment horizontal="right"/>
    </xf>
    <xf numFmtId="0" fontId="114" fillId="0" borderId="0" applyFont="0" applyFill="0" applyBorder="0" applyAlignment="0" applyProtection="0"/>
    <xf numFmtId="6" fontId="121" fillId="0" borderId="0" applyFont="0" applyFill="0" applyBorder="0" applyAlignment="0" applyProtection="0"/>
    <xf numFmtId="5" fontId="111" fillId="0" borderId="0" applyFont="0" applyFill="0" applyBorder="0" applyAlignment="0" applyProtection="0"/>
    <xf numFmtId="7" fontId="111" fillId="0" borderId="0" applyFont="0" applyFill="0" applyBorder="0" applyAlignment="0" applyProtection="0"/>
    <xf numFmtId="14" fontId="5" fillId="0" borderId="0" applyFont="0" applyFill="0" applyBorder="0" applyProtection="0">
      <alignment horizontal="right"/>
    </xf>
    <xf numFmtId="17" fontId="6" fillId="0" borderId="0" applyFill="0" applyBorder="0" applyProtection="0">
      <alignment horizontal="center"/>
    </xf>
    <xf numFmtId="14" fontId="122" fillId="0" borderId="0" applyFill="0" applyBorder="0" applyAlignment="0"/>
    <xf numFmtId="42" fontId="123" fillId="0" borderId="0"/>
    <xf numFmtId="236" fontId="123" fillId="0" borderId="0"/>
    <xf numFmtId="38" fontId="24" fillId="0" borderId="38">
      <alignment vertical="center"/>
    </xf>
    <xf numFmtId="237" fontId="5" fillId="0" borderId="0" applyFont="0" applyFill="0" applyBorder="0" applyAlignment="0" applyProtection="0"/>
    <xf numFmtId="238" fontId="5" fillId="0" borderId="0" applyFont="0" applyFill="0" applyBorder="0" applyAlignment="0" applyProtection="0"/>
    <xf numFmtId="42" fontId="22" fillId="0" borderId="0"/>
    <xf numFmtId="0" fontId="114" fillId="0" borderId="0" applyFill="0" applyBorder="0" applyAlignment="0"/>
    <xf numFmtId="0" fontId="114" fillId="0" borderId="0" applyFill="0" applyBorder="0" applyAlignment="0"/>
    <xf numFmtId="0" fontId="114" fillId="0" borderId="0" applyFill="0" applyBorder="0" applyAlignment="0"/>
    <xf numFmtId="0" fontId="5" fillId="0" borderId="0" applyFill="0" applyBorder="0" applyAlignment="0"/>
    <xf numFmtId="0" fontId="114" fillId="0" borderId="0" applyFill="0" applyBorder="0" applyAlignment="0"/>
    <xf numFmtId="0" fontId="124" fillId="0" borderId="0" applyNumberFormat="0" applyAlignment="0">
      <alignment horizontal="left"/>
    </xf>
    <xf numFmtId="239" fontId="5" fillId="0" borderId="0" applyFont="0" applyFill="0" applyBorder="0" applyAlignment="0" applyProtection="0"/>
    <xf numFmtId="38" fontId="62" fillId="20" borderId="0" applyNumberFormat="0" applyBorder="0" applyAlignment="0" applyProtection="0"/>
    <xf numFmtId="240" fontId="5" fillId="0" borderId="0">
      <protection locked="0"/>
    </xf>
    <xf numFmtId="240" fontId="5" fillId="0" borderId="0">
      <protection locked="0"/>
    </xf>
    <xf numFmtId="0" fontId="125" fillId="0" borderId="4">
      <alignment horizontal="center"/>
    </xf>
    <xf numFmtId="38" fontId="126" fillId="0" borderId="0" applyNumberFormat="0" applyFill="0" applyBorder="0" applyProtection="0">
      <alignment horizontal="center"/>
    </xf>
    <xf numFmtId="0" fontId="125" fillId="0" borderId="4">
      <alignment horizontal="center"/>
    </xf>
    <xf numFmtId="0" fontId="125" fillId="0" borderId="0">
      <alignment horizontal="center"/>
    </xf>
    <xf numFmtId="0" fontId="127" fillId="0" borderId="39" applyNumberFormat="0" applyFill="0" applyAlignment="0" applyProtection="0"/>
    <xf numFmtId="10" fontId="62" fillId="35" borderId="40" applyNumberFormat="0" applyBorder="0" applyAlignment="0" applyProtection="0"/>
    <xf numFmtId="164" fontId="5" fillId="36" borderId="0"/>
    <xf numFmtId="38" fontId="128" fillId="24" borderId="0" applyNumberFormat="0" applyBorder="0" applyAlignment="0" applyProtection="0">
      <alignment horizontal="center"/>
    </xf>
    <xf numFmtId="0" fontId="112" fillId="0" borderId="0"/>
    <xf numFmtId="0" fontId="60" fillId="34" borderId="0">
      <alignment horizontal="left"/>
    </xf>
    <xf numFmtId="0" fontId="129" fillId="18" borderId="0">
      <alignment horizontal="left"/>
    </xf>
    <xf numFmtId="0" fontId="114" fillId="0" borderId="0" applyFill="0" applyBorder="0" applyAlignment="0"/>
    <xf numFmtId="0" fontId="114" fillId="0" borderId="0" applyFill="0" applyBorder="0" applyAlignment="0"/>
    <xf numFmtId="0" fontId="114" fillId="0" borderId="0" applyFill="0" applyBorder="0" applyAlignment="0"/>
    <xf numFmtId="0" fontId="5" fillId="0" borderId="0" applyFill="0" applyBorder="0" applyAlignment="0"/>
    <xf numFmtId="0" fontId="114" fillId="0" borderId="0" applyFill="0" applyBorder="0" applyAlignment="0"/>
    <xf numFmtId="164" fontId="5" fillId="34" borderId="0"/>
    <xf numFmtId="241" fontId="5" fillId="0" borderId="0" applyFont="0" applyFill="0" applyBorder="0" applyAlignment="0" applyProtection="0"/>
    <xf numFmtId="242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244" fontId="5" fillId="0" borderId="0" applyFont="0" applyFill="0" applyBorder="0" applyAlignment="0" applyProtection="0"/>
    <xf numFmtId="37" fontId="119" fillId="0" borderId="0"/>
    <xf numFmtId="0" fontId="2" fillId="0" borderId="0"/>
    <xf numFmtId="0" fontId="5" fillId="0" borderId="0"/>
    <xf numFmtId="38" fontId="121" fillId="0" borderId="0" applyFont="0" applyFill="0" applyBorder="0" applyAlignment="0" applyProtection="0"/>
    <xf numFmtId="245" fontId="112" fillId="0" borderId="0" applyFont="0" applyFill="0" applyBorder="0" applyAlignment="0" applyProtection="0"/>
    <xf numFmtId="246" fontId="5" fillId="0" borderId="0" applyFont="0" applyFill="0" applyBorder="0" applyProtection="0">
      <alignment horizontal="left"/>
    </xf>
    <xf numFmtId="247" fontId="5" fillId="0" borderId="0" applyFont="0" applyFill="0" applyBorder="0" applyProtection="0">
      <alignment horizontal="center"/>
    </xf>
    <xf numFmtId="248" fontId="5" fillId="0" borderId="0" applyFont="0" applyFill="0" applyBorder="0" applyProtection="0">
      <alignment horizontal="center"/>
    </xf>
    <xf numFmtId="40" fontId="130" fillId="0" borderId="0" applyFont="0" applyFill="0" applyBorder="0" applyAlignment="0" applyProtection="0"/>
    <xf numFmtId="38" fontId="130" fillId="0" borderId="0" applyFont="0" applyFill="0" applyBorder="0" applyAlignment="0" applyProtection="0"/>
    <xf numFmtId="40" fontId="131" fillId="37" borderId="0">
      <alignment horizontal="right"/>
    </xf>
    <xf numFmtId="0" fontId="132" fillId="20" borderId="0">
      <alignment horizontal="right"/>
    </xf>
    <xf numFmtId="0" fontId="133" fillId="37" borderId="8"/>
    <xf numFmtId="0" fontId="134" fillId="0" borderId="0" applyBorder="0">
      <alignment horizontal="centerContinuous"/>
    </xf>
    <xf numFmtId="0" fontId="135" fillId="0" borderId="0" applyBorder="0">
      <alignment horizontal="centerContinuous"/>
    </xf>
    <xf numFmtId="14" fontId="26" fillId="0" borderId="0">
      <alignment horizontal="center" wrapText="1"/>
      <protection locked="0"/>
    </xf>
    <xf numFmtId="249" fontId="5" fillId="0" borderId="0" applyFont="0" applyFill="0" applyBorder="0" applyAlignment="0" applyProtection="0"/>
    <xf numFmtId="250" fontId="5" fillId="0" borderId="0"/>
    <xf numFmtId="25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5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253" fontId="112" fillId="0" borderId="0" applyFont="0" applyFill="0" applyBorder="0" applyAlignment="0" applyProtection="0"/>
    <xf numFmtId="0" fontId="114" fillId="0" borderId="0" applyFill="0" applyBorder="0" applyAlignment="0"/>
    <xf numFmtId="0" fontId="114" fillId="0" borderId="0" applyFill="0" applyBorder="0" applyAlignment="0"/>
    <xf numFmtId="0" fontId="114" fillId="0" borderId="0" applyFill="0" applyBorder="0" applyAlignment="0"/>
    <xf numFmtId="0" fontId="5" fillId="0" borderId="0" applyFill="0" applyBorder="0" applyAlignment="0"/>
    <xf numFmtId="0" fontId="114" fillId="0" borderId="0" applyFill="0" applyBorder="0" applyAlignment="0"/>
    <xf numFmtId="254" fontId="5" fillId="0" borderId="0"/>
    <xf numFmtId="49" fontId="136" fillId="0" borderId="0">
      <alignment horizontal="right"/>
    </xf>
    <xf numFmtId="0" fontId="137" fillId="38" borderId="0" applyNumberFormat="0" applyFont="0" applyBorder="0" applyAlignment="0">
      <alignment horizontal="center"/>
    </xf>
    <xf numFmtId="0" fontId="129" fillId="9" borderId="0">
      <alignment horizontal="center"/>
    </xf>
    <xf numFmtId="49" fontId="138" fillId="18" borderId="0">
      <alignment horizontal="center"/>
    </xf>
    <xf numFmtId="255" fontId="42" fillId="0" borderId="0" applyNumberFormat="0" applyFill="0" applyBorder="0" applyAlignment="0" applyProtection="0">
      <alignment horizontal="left"/>
    </xf>
    <xf numFmtId="0" fontId="6" fillId="0" borderId="0" applyNumberFormat="0" applyFill="0" applyBorder="0" applyProtection="0">
      <alignment horizontal="center" vertical="top" wrapText="1"/>
    </xf>
    <xf numFmtId="0" fontId="116" fillId="34" borderId="0">
      <alignment horizontal="center"/>
    </xf>
    <xf numFmtId="0" fontId="116" fillId="34" borderId="0">
      <alignment horizontal="centerContinuous"/>
    </xf>
    <xf numFmtId="0" fontId="139" fillId="18" borderId="0">
      <alignment horizontal="left"/>
    </xf>
    <xf numFmtId="49" fontId="139" fillId="18" borderId="0">
      <alignment horizontal="center"/>
    </xf>
    <xf numFmtId="0" fontId="60" fillId="34" borderId="0">
      <alignment horizontal="left"/>
    </xf>
    <xf numFmtId="49" fontId="139" fillId="18" borderId="0">
      <alignment horizontal="left"/>
    </xf>
    <xf numFmtId="0" fontId="60" fillId="34" borderId="0">
      <alignment horizontal="centerContinuous"/>
    </xf>
    <xf numFmtId="0" fontId="60" fillId="34" borderId="0">
      <alignment horizontal="right"/>
    </xf>
    <xf numFmtId="49" fontId="129" fillId="18" borderId="0">
      <alignment horizontal="left"/>
    </xf>
    <xf numFmtId="0" fontId="116" fillId="34" borderId="0">
      <alignment horizontal="right"/>
    </xf>
    <xf numFmtId="0" fontId="139" fillId="7" borderId="0">
      <alignment horizontal="center"/>
    </xf>
    <xf numFmtId="0" fontId="140" fillId="7" borderId="0">
      <alignment horizontal="center"/>
    </xf>
    <xf numFmtId="0" fontId="137" fillId="1" borderId="12" applyNumberFormat="0" applyFont="0" applyAlignment="0">
      <alignment horizontal="center"/>
    </xf>
    <xf numFmtId="41" fontId="141" fillId="0" borderId="0"/>
    <xf numFmtId="236" fontId="141" fillId="0" borderId="0"/>
    <xf numFmtId="3" fontId="62" fillId="0" borderId="0"/>
    <xf numFmtId="0" fontId="142" fillId="0" borderId="0" applyNumberFormat="0" applyFill="0" applyBorder="0" applyAlignment="0">
      <alignment horizontal="center"/>
    </xf>
    <xf numFmtId="0" fontId="5" fillId="0" borderId="0"/>
    <xf numFmtId="4" fontId="5" fillId="0" borderId="0" applyProtection="0">
      <protection locked="0"/>
    </xf>
    <xf numFmtId="40" fontId="143" fillId="0" borderId="0" applyBorder="0">
      <alignment horizontal="right"/>
    </xf>
    <xf numFmtId="3" fontId="108" fillId="0" borderId="0" applyNumberFormat="0"/>
    <xf numFmtId="49" fontId="122" fillId="0" borderId="0" applyFill="0" applyBorder="0" applyAlignment="0"/>
    <xf numFmtId="0" fontId="35" fillId="0" borderId="0" applyFill="0" applyBorder="0" applyAlignment="0"/>
    <xf numFmtId="0" fontId="5" fillId="0" borderId="0" applyFill="0" applyBorder="0" applyAlignment="0"/>
    <xf numFmtId="3" fontId="144" fillId="0" borderId="0"/>
    <xf numFmtId="256" fontId="108" fillId="0" borderId="12">
      <alignment horizontal="center" wrapText="1"/>
    </xf>
    <xf numFmtId="3" fontId="108" fillId="0" borderId="7" applyNumberFormat="0"/>
    <xf numFmtId="0" fontId="145" fillId="18" borderId="0">
      <alignment horizontal="center"/>
    </xf>
    <xf numFmtId="257" fontId="5" fillId="0" borderId="0" applyFont="0" applyFill="0" applyBorder="0" applyAlignment="0" applyProtection="0"/>
    <xf numFmtId="258" fontId="5" fillId="0" borderId="0" applyFont="0" applyFill="0" applyBorder="0" applyAlignment="0" applyProtection="0"/>
    <xf numFmtId="0" fontId="146" fillId="0" borderId="0"/>
    <xf numFmtId="44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4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54" fillId="0" borderId="44">
      <alignment vertical="center"/>
    </xf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77">
    <xf numFmtId="0" fontId="0" fillId="0" borderId="0" xfId="0"/>
    <xf numFmtId="0" fontId="2" fillId="0" borderId="0" xfId="1"/>
    <xf numFmtId="37" fontId="3" fillId="0" borderId="1" xfId="1" applyNumberFormat="1" applyFont="1" applyBorder="1"/>
    <xf numFmtId="0" fontId="3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3" fillId="0" borderId="0" xfId="177" applyFont="1"/>
    <xf numFmtId="213" fontId="7" fillId="0" borderId="0" xfId="312" applyFont="1" applyAlignment="1" applyProtection="1">
      <alignment horizontal="left"/>
      <protection locked="0"/>
    </xf>
    <xf numFmtId="213" fontId="6" fillId="0" borderId="0" xfId="312" applyFont="1" applyProtection="1">
      <protection locked="0"/>
    </xf>
    <xf numFmtId="213" fontId="5" fillId="0" borderId="0" xfId="312" applyFont="1" applyProtection="1">
      <protection locked="0"/>
    </xf>
    <xf numFmtId="0" fontId="10" fillId="0" borderId="0" xfId="313"/>
    <xf numFmtId="0" fontId="84" fillId="0" borderId="0" xfId="179" applyFont="1" applyAlignment="1">
      <alignment horizontal="left" vertical="center"/>
    </xf>
    <xf numFmtId="213" fontId="85" fillId="0" borderId="0" xfId="152" applyNumberFormat="1" applyFont="1" applyFill="1" applyBorder="1" applyProtection="1">
      <protection locked="0"/>
    </xf>
    <xf numFmtId="213" fontId="5" fillId="0" borderId="0" xfId="312" applyFont="1" applyAlignment="1" applyProtection="1">
      <alignment horizontal="right"/>
      <protection locked="0"/>
    </xf>
    <xf numFmtId="213" fontId="35" fillId="0" borderId="0" xfId="312"/>
    <xf numFmtId="213" fontId="58" fillId="0" borderId="0" xfId="312" applyFont="1" applyProtection="1">
      <protection locked="0"/>
    </xf>
    <xf numFmtId="213" fontId="59" fillId="0" borderId="28" xfId="312" applyFont="1" applyBorder="1"/>
    <xf numFmtId="38" fontId="86" fillId="27" borderId="0" xfId="312" applyNumberFormat="1" applyFont="1" applyFill="1" applyAlignment="1" applyProtection="1">
      <alignment horizontal="left"/>
      <protection locked="0"/>
    </xf>
    <xf numFmtId="213" fontId="6" fillId="0" borderId="29" xfId="312" applyFont="1" applyBorder="1"/>
    <xf numFmtId="213" fontId="86" fillId="0" borderId="0" xfId="312" applyFont="1" applyAlignment="1" applyProtection="1">
      <alignment horizontal="right"/>
      <protection locked="0"/>
    </xf>
    <xf numFmtId="199" fontId="7" fillId="0" borderId="0" xfId="315" applyFont="1"/>
    <xf numFmtId="199" fontId="12" fillId="0" borderId="0" xfId="315" applyFont="1"/>
    <xf numFmtId="8" fontId="86" fillId="27" borderId="0" xfId="316" applyFont="1" applyFill="1" applyBorder="1" applyAlignment="1" applyProtection="1">
      <alignment horizontal="right"/>
      <protection locked="0"/>
    </xf>
    <xf numFmtId="213" fontId="5" fillId="0" borderId="29" xfId="312" applyFont="1" applyBorder="1"/>
    <xf numFmtId="38" fontId="86" fillId="27" borderId="0" xfId="312" applyNumberFormat="1" applyFont="1" applyFill="1" applyAlignment="1" applyProtection="1">
      <alignment horizontal="right"/>
      <protection locked="0"/>
    </xf>
    <xf numFmtId="0" fontId="84" fillId="0" borderId="0" xfId="185" applyFont="1" applyAlignment="1">
      <alignment horizontal="center"/>
    </xf>
    <xf numFmtId="0" fontId="7" fillId="0" borderId="0" xfId="315" applyNumberFormat="1" applyFont="1"/>
    <xf numFmtId="0" fontId="88" fillId="0" borderId="29" xfId="312" applyNumberFormat="1" applyFont="1" applyBorder="1"/>
    <xf numFmtId="213" fontId="88" fillId="0" borderId="29" xfId="312" applyFont="1" applyBorder="1"/>
    <xf numFmtId="213" fontId="84" fillId="0" borderId="29" xfId="191" applyNumberFormat="1" applyFont="1" applyBorder="1" applyAlignment="1">
      <alignment horizontal="center"/>
    </xf>
    <xf numFmtId="213" fontId="84" fillId="0" borderId="8" xfId="191" applyNumberFormat="1" applyFont="1" applyBorder="1" applyAlignment="1">
      <alignment horizontal="center"/>
    </xf>
    <xf numFmtId="199" fontId="7" fillId="0" borderId="0" xfId="315" quotePrefix="1" applyFont="1" applyAlignment="1">
      <alignment horizontal="left" wrapText="1"/>
    </xf>
    <xf numFmtId="213" fontId="88" fillId="29" borderId="30" xfId="312" applyFont="1" applyFill="1" applyBorder="1" applyAlignment="1">
      <alignment horizontal="center"/>
    </xf>
    <xf numFmtId="0" fontId="84" fillId="0" borderId="29" xfId="191" applyFont="1" applyBorder="1" applyAlignment="1">
      <alignment horizontal="center"/>
    </xf>
    <xf numFmtId="0" fontId="84" fillId="0" borderId="8" xfId="191" applyFont="1" applyBorder="1" applyAlignment="1">
      <alignment horizontal="center"/>
    </xf>
    <xf numFmtId="199" fontId="7" fillId="20" borderId="29" xfId="315" applyFont="1" applyFill="1" applyBorder="1" applyAlignment="1">
      <alignment horizontal="center"/>
    </xf>
    <xf numFmtId="199" fontId="7" fillId="20" borderId="8" xfId="315" applyFont="1" applyFill="1" applyBorder="1" applyAlignment="1">
      <alignment horizontal="center"/>
    </xf>
    <xf numFmtId="17" fontId="12" fillId="0" borderId="0" xfId="315" applyNumberFormat="1" applyFont="1"/>
    <xf numFmtId="17" fontId="7" fillId="0" borderId="0" xfId="315" applyNumberFormat="1" applyFont="1" applyAlignment="1">
      <alignment horizontal="left" wrapText="1"/>
    </xf>
    <xf numFmtId="17" fontId="88" fillId="0" borderId="29" xfId="312" applyNumberFormat="1" applyFont="1" applyBorder="1"/>
    <xf numFmtId="1" fontId="84" fillId="0" borderId="31" xfId="191" applyNumberFormat="1" applyFont="1" applyBorder="1" applyAlignment="1">
      <alignment horizontal="center"/>
    </xf>
    <xf numFmtId="1" fontId="84" fillId="0" borderId="32" xfId="191" applyNumberFormat="1" applyFont="1" applyBorder="1" applyAlignment="1">
      <alignment horizontal="center"/>
    </xf>
    <xf numFmtId="199" fontId="89" fillId="0" borderId="0" xfId="315" applyFont="1"/>
    <xf numFmtId="213" fontId="59" fillId="30" borderId="0" xfId="312" applyFont="1" applyFill="1" applyAlignment="1">
      <alignment horizontal="left"/>
    </xf>
    <xf numFmtId="213" fontId="88" fillId="30" borderId="29" xfId="312" applyFont="1" applyFill="1" applyBorder="1"/>
    <xf numFmtId="166" fontId="89" fillId="30" borderId="0" xfId="315" applyNumberFormat="1" applyFont="1" applyFill="1" applyAlignment="1">
      <alignment horizontal="right"/>
    </xf>
    <xf numFmtId="0" fontId="57" fillId="32" borderId="34" xfId="313" applyFont="1" applyFill="1" applyBorder="1" applyAlignment="1">
      <alignment horizontal="left" indent="1"/>
    </xf>
    <xf numFmtId="0" fontId="90" fillId="0" borderId="25" xfId="313" applyFont="1" applyBorder="1"/>
    <xf numFmtId="3" fontId="91" fillId="0" borderId="34" xfId="313" applyNumberFormat="1" applyFont="1" applyBorder="1" applyAlignment="1">
      <alignment horizontal="center"/>
    </xf>
    <xf numFmtId="199" fontId="57" fillId="32" borderId="35" xfId="315" applyFont="1" applyFill="1" applyBorder="1" applyAlignment="1">
      <alignment horizontal="left" indent="2"/>
    </xf>
    <xf numFmtId="213" fontId="89" fillId="33" borderId="31" xfId="312" applyFont="1" applyFill="1" applyBorder="1"/>
    <xf numFmtId="0" fontId="91" fillId="0" borderId="0" xfId="313" applyFont="1"/>
    <xf numFmtId="0" fontId="57" fillId="32" borderId="0" xfId="313" applyFont="1" applyFill="1" applyAlignment="1">
      <alignment horizontal="left" indent="1"/>
    </xf>
    <xf numFmtId="0" fontId="90" fillId="20" borderId="0" xfId="313" applyFont="1" applyFill="1"/>
    <xf numFmtId="215" fontId="91" fillId="0" borderId="24" xfId="313" applyNumberFormat="1" applyFont="1" applyBorder="1"/>
    <xf numFmtId="199" fontId="57" fillId="32" borderId="0" xfId="315" applyFont="1" applyFill="1" applyAlignment="1">
      <alignment horizontal="left" indent="2"/>
    </xf>
    <xf numFmtId="213" fontId="89" fillId="33" borderId="29" xfId="312" applyFont="1" applyFill="1" applyBorder="1"/>
    <xf numFmtId="0" fontId="90" fillId="0" borderId="34" xfId="313" applyFont="1" applyBorder="1" applyAlignment="1">
      <alignment horizontal="left" indent="1"/>
    </xf>
    <xf numFmtId="0" fontId="91" fillId="0" borderId="34" xfId="313" applyFont="1" applyBorder="1"/>
    <xf numFmtId="0" fontId="91" fillId="0" borderId="25" xfId="313" applyFont="1" applyBorder="1"/>
    <xf numFmtId="0" fontId="91" fillId="0" borderId="33" xfId="313" applyFont="1" applyBorder="1"/>
    <xf numFmtId="0" fontId="90" fillId="20" borderId="0" xfId="313" applyFont="1" applyFill="1" applyAlignment="1">
      <alignment horizontal="left" indent="1"/>
    </xf>
    <xf numFmtId="0" fontId="91" fillId="0" borderId="24" xfId="313" applyFont="1" applyBorder="1"/>
    <xf numFmtId="0" fontId="91" fillId="0" borderId="8" xfId="313" applyFont="1" applyBorder="1"/>
    <xf numFmtId="0" fontId="90" fillId="20" borderId="34" xfId="313" applyFont="1" applyFill="1" applyBorder="1" applyAlignment="1">
      <alignment horizontal="left" indent="1"/>
    </xf>
    <xf numFmtId="0" fontId="90" fillId="20" borderId="25" xfId="313" applyFont="1" applyFill="1" applyBorder="1"/>
    <xf numFmtId="199" fontId="92" fillId="0" borderId="0" xfId="315" applyFont="1"/>
    <xf numFmtId="199" fontId="12" fillId="0" borderId="0" xfId="315" applyFont="1" applyAlignment="1">
      <alignment horizontal="right"/>
    </xf>
    <xf numFmtId="0" fontId="93" fillId="0" borderId="1" xfId="1" applyFont="1" applyBorder="1"/>
    <xf numFmtId="0" fontId="2" fillId="0" borderId="1" xfId="1" applyBorder="1"/>
    <xf numFmtId="0" fontId="94" fillId="0" borderId="0" xfId="1" applyFont="1"/>
    <xf numFmtId="165" fontId="2" fillId="28" borderId="8" xfId="314" applyNumberFormat="1" applyFont="1" applyFill="1" applyBorder="1" applyProtection="1"/>
    <xf numFmtId="199" fontId="2" fillId="0" borderId="0" xfId="315" applyFont="1"/>
    <xf numFmtId="0" fontId="2" fillId="0" borderId="0" xfId="315" applyNumberFormat="1" applyFont="1" applyAlignment="1">
      <alignment horizontal="right"/>
    </xf>
    <xf numFmtId="199" fontId="2" fillId="0" borderId="0" xfId="315" applyFont="1" applyAlignment="1">
      <alignment horizontal="right"/>
    </xf>
    <xf numFmtId="17" fontId="2" fillId="0" borderId="0" xfId="314" applyNumberFormat="1" applyFont="1" applyFill="1" applyBorder="1" applyAlignment="1" applyProtection="1">
      <alignment horizontal="right"/>
    </xf>
    <xf numFmtId="214" fontId="2" fillId="31" borderId="33" xfId="314" applyNumberFormat="1" applyFont="1" applyFill="1" applyBorder="1" applyProtection="1"/>
    <xf numFmtId="214" fontId="2" fillId="31" borderId="28" xfId="314" applyNumberFormat="1" applyFont="1" applyFill="1" applyBorder="1" applyAlignment="1" applyProtection="1">
      <alignment horizontal="center"/>
    </xf>
    <xf numFmtId="214" fontId="2" fillId="27" borderId="28" xfId="314" applyNumberFormat="1" applyFont="1" applyFill="1" applyBorder="1" applyProtection="1"/>
    <xf numFmtId="213" fontId="2" fillId="0" borderId="28" xfId="312" applyFont="1" applyBorder="1"/>
    <xf numFmtId="165" fontId="2" fillId="0" borderId="7" xfId="314" applyNumberFormat="1" applyFont="1" applyFill="1" applyBorder="1" applyAlignment="1" applyProtection="1">
      <alignment horizontal="right"/>
    </xf>
    <xf numFmtId="165" fontId="2" fillId="28" borderId="7" xfId="314" applyNumberFormat="1" applyFont="1" applyFill="1" applyBorder="1" applyProtection="1"/>
    <xf numFmtId="165" fontId="2" fillId="28" borderId="32" xfId="314" applyNumberFormat="1" applyFont="1" applyFill="1" applyBorder="1" applyProtection="1"/>
    <xf numFmtId="165" fontId="2" fillId="28" borderId="0" xfId="314" applyNumberFormat="1" applyFont="1" applyFill="1" applyBorder="1" applyProtection="1"/>
    <xf numFmtId="213" fontId="2" fillId="20" borderId="29" xfId="312" applyFont="1" applyFill="1" applyBorder="1"/>
    <xf numFmtId="165" fontId="2" fillId="20" borderId="0" xfId="314" applyNumberFormat="1" applyFont="1" applyFill="1" applyBorder="1" applyAlignment="1" applyProtection="1">
      <alignment horizontal="right"/>
    </xf>
    <xf numFmtId="165" fontId="2" fillId="28" borderId="24" xfId="314" applyNumberFormat="1" applyFont="1" applyFill="1" applyBorder="1" applyProtection="1"/>
    <xf numFmtId="199" fontId="2" fillId="0" borderId="35" xfId="315" applyFont="1" applyBorder="1" applyAlignment="1">
      <alignment horizontal="left" indent="2"/>
    </xf>
    <xf numFmtId="165" fontId="2" fillId="28" borderId="35" xfId="314" applyNumberFormat="1" applyFont="1" applyFill="1" applyBorder="1" applyProtection="1"/>
    <xf numFmtId="199" fontId="2" fillId="20" borderId="0" xfId="315" applyFont="1" applyFill="1" applyAlignment="1">
      <alignment horizontal="left" indent="2"/>
    </xf>
    <xf numFmtId="213" fontId="2" fillId="20" borderId="28" xfId="312" applyFont="1" applyFill="1" applyBorder="1"/>
    <xf numFmtId="199" fontId="2" fillId="20" borderId="35" xfId="315" applyFont="1" applyFill="1" applyBorder="1" applyAlignment="1">
      <alignment horizontal="left" indent="1"/>
    </xf>
    <xf numFmtId="165" fontId="2" fillId="20" borderId="7" xfId="314" applyNumberFormat="1" applyFont="1" applyFill="1" applyBorder="1" applyAlignment="1" applyProtection="1">
      <alignment horizontal="right"/>
    </xf>
    <xf numFmtId="216" fontId="2" fillId="0" borderId="0" xfId="315" applyNumberFormat="1" applyFont="1" applyAlignment="1">
      <alignment horizontal="right"/>
    </xf>
    <xf numFmtId="213" fontId="96" fillId="29" borderId="29" xfId="319" applyNumberFormat="1" applyFill="1" applyBorder="1" applyAlignment="1" applyProtection="1">
      <alignment horizontal="center"/>
    </xf>
    <xf numFmtId="0" fontId="97" fillId="0" borderId="8" xfId="191" applyFont="1" applyBorder="1" applyAlignment="1">
      <alignment horizontal="center"/>
    </xf>
    <xf numFmtId="0" fontId="97" fillId="0" borderId="29" xfId="191" applyFont="1" applyBorder="1" applyAlignment="1">
      <alignment horizontal="center"/>
    </xf>
    <xf numFmtId="0" fontId="95" fillId="0" borderId="0" xfId="1" applyFont="1"/>
    <xf numFmtId="0" fontId="98" fillId="0" borderId="0" xfId="1" applyFont="1" applyAlignment="1">
      <alignment horizontal="center"/>
    </xf>
    <xf numFmtId="0" fontId="3" fillId="0" borderId="0" xfId="1" applyFont="1" applyAlignment="1">
      <alignment wrapText="1"/>
    </xf>
    <xf numFmtId="0" fontId="2" fillId="0" borderId="0" xfId="1" applyAlignment="1">
      <alignment wrapText="1"/>
    </xf>
    <xf numFmtId="0" fontId="7" fillId="0" borderId="0" xfId="1" applyFont="1" applyAlignment="1">
      <alignment wrapText="1"/>
    </xf>
    <xf numFmtId="0" fontId="98" fillId="0" borderId="0" xfId="1" applyFont="1" applyAlignment="1">
      <alignment horizontal="left" wrapText="1"/>
    </xf>
    <xf numFmtId="0" fontId="5" fillId="0" borderId="0" xfId="1" applyFont="1" applyAlignment="1">
      <alignment wrapText="1"/>
    </xf>
    <xf numFmtId="0" fontId="6" fillId="0" borderId="0" xfId="1" applyFont="1" applyAlignment="1">
      <alignment wrapText="1"/>
    </xf>
    <xf numFmtId="0" fontId="95" fillId="0" borderId="0" xfId="320"/>
    <xf numFmtId="0" fontId="102" fillId="0" borderId="0" xfId="320" applyFont="1" applyProtection="1"/>
    <xf numFmtId="0" fontId="103" fillId="0" borderId="0" xfId="320" applyFont="1" applyAlignment="1">
      <alignment horizontal="center"/>
    </xf>
    <xf numFmtId="211" fontId="103" fillId="0" borderId="0" xfId="320" applyNumberFormat="1" applyFont="1"/>
    <xf numFmtId="0" fontId="103" fillId="0" borderId="0" xfId="320" applyFont="1"/>
    <xf numFmtId="0" fontId="104" fillId="0" borderId="0" xfId="320" applyFont="1" applyAlignment="1">
      <alignment horizontal="center"/>
    </xf>
    <xf numFmtId="0" fontId="98" fillId="0" borderId="0" xfId="320" applyFont="1"/>
    <xf numFmtId="0" fontId="105" fillId="2" borderId="0" xfId="321" applyFont="1" applyFill="1"/>
    <xf numFmtId="0" fontId="5" fillId="2" borderId="4" xfId="321" applyFill="1" applyBorder="1"/>
    <xf numFmtId="0" fontId="5" fillId="0" borderId="0" xfId="321"/>
    <xf numFmtId="0" fontId="101" fillId="0" borderId="36" xfId="321" quotePrefix="1" applyFont="1" applyBorder="1" applyAlignment="1">
      <alignment horizontal="left"/>
    </xf>
    <xf numFmtId="0" fontId="95" fillId="0" borderId="0" xfId="317"/>
    <xf numFmtId="211" fontId="104" fillId="0" borderId="0" xfId="2" applyNumberFormat="1" applyFont="1" applyFill="1" applyBorder="1" applyAlignment="1">
      <alignment horizontal="left"/>
    </xf>
    <xf numFmtId="0" fontId="103" fillId="0" borderId="0" xfId="317" applyFont="1" applyAlignment="1">
      <alignment horizontal="centerContinuous"/>
    </xf>
    <xf numFmtId="7" fontId="103" fillId="0" borderId="0" xfId="317" applyNumberFormat="1" applyFont="1" applyAlignment="1">
      <alignment horizontal="centerContinuous"/>
    </xf>
    <xf numFmtId="0" fontId="103" fillId="0" borderId="0" xfId="317" applyFont="1" applyAlignment="1">
      <alignment horizontal="center"/>
    </xf>
    <xf numFmtId="0" fontId="103" fillId="0" borderId="0" xfId="317" applyFont="1"/>
    <xf numFmtId="0" fontId="103" fillId="0" borderId="0" xfId="317" applyFont="1" applyAlignment="1" applyProtection="1">
      <alignment horizontal="center"/>
      <protection locked="0"/>
    </xf>
    <xf numFmtId="17" fontId="103" fillId="0" borderId="0" xfId="317" applyNumberFormat="1" applyFont="1" applyAlignment="1">
      <alignment horizontal="center"/>
    </xf>
    <xf numFmtId="0" fontId="6" fillId="0" borderId="0" xfId="321" applyFont="1"/>
    <xf numFmtId="0" fontId="106" fillId="0" borderId="0" xfId="321" applyFont="1"/>
    <xf numFmtId="211" fontId="5" fillId="0" borderId="0" xfId="2" applyNumberFormat="1" applyFill="1" applyBorder="1"/>
    <xf numFmtId="167" fontId="5" fillId="0" borderId="0" xfId="207" applyNumberFormat="1" applyBorder="1"/>
    <xf numFmtId="0" fontId="107" fillId="0" borderId="0" xfId="321" applyFont="1"/>
    <xf numFmtId="9" fontId="5" fillId="0" borderId="0" xfId="207" applyBorder="1"/>
    <xf numFmtId="211" fontId="5" fillId="0" borderId="0" xfId="2" applyNumberFormat="1" applyBorder="1"/>
    <xf numFmtId="167" fontId="5" fillId="0" borderId="0" xfId="207" applyNumberFormat="1" applyFill="1" applyBorder="1"/>
    <xf numFmtId="0" fontId="102" fillId="0" borderId="0" xfId="321" applyFont="1"/>
    <xf numFmtId="37" fontId="5" fillId="0" borderId="0" xfId="2" applyNumberFormat="1" applyBorder="1"/>
    <xf numFmtId="164" fontId="5" fillId="0" borderId="0" xfId="2" applyNumberFormat="1" applyBorder="1"/>
    <xf numFmtId="165" fontId="5" fillId="0" borderId="0" xfId="2" applyNumberFormat="1" applyBorder="1"/>
    <xf numFmtId="38" fontId="5" fillId="0" borderId="0" xfId="321" applyNumberFormat="1"/>
    <xf numFmtId="9" fontId="5" fillId="0" borderId="0" xfId="321" applyNumberFormat="1"/>
    <xf numFmtId="0" fontId="147" fillId="0" borderId="0" xfId="321" applyFont="1"/>
    <xf numFmtId="0" fontId="148" fillId="0" borderId="0" xfId="321" applyFont="1"/>
    <xf numFmtId="0" fontId="149" fillId="0" borderId="0" xfId="321" applyFont="1"/>
    <xf numFmtId="211" fontId="147" fillId="0" borderId="0" xfId="2" applyNumberFormat="1" applyFont="1" applyFill="1"/>
    <xf numFmtId="211" fontId="147" fillId="0" borderId="0" xfId="2" applyNumberFormat="1" applyFont="1"/>
    <xf numFmtId="0" fontId="148" fillId="0" borderId="0" xfId="321" applyFont="1" applyAlignment="1">
      <alignment horizontal="right"/>
    </xf>
    <xf numFmtId="0" fontId="149" fillId="0" borderId="0" xfId="321" applyFont="1" applyAlignment="1">
      <alignment horizontal="right"/>
    </xf>
    <xf numFmtId="165" fontId="147" fillId="0" borderId="0" xfId="2" applyNumberFormat="1" applyFont="1" applyFill="1"/>
    <xf numFmtId="167" fontId="147" fillId="0" borderId="0" xfId="207" applyNumberFormat="1" applyFont="1"/>
    <xf numFmtId="0" fontId="150" fillId="0" borderId="0" xfId="321" applyFont="1"/>
    <xf numFmtId="0" fontId="150" fillId="0" borderId="0" xfId="321" applyFont="1" applyAlignment="1">
      <alignment horizontal="right"/>
    </xf>
    <xf numFmtId="9" fontId="147" fillId="0" borderId="0" xfId="207" applyFont="1"/>
    <xf numFmtId="164" fontId="147" fillId="0" borderId="0" xfId="2" applyNumberFormat="1" applyFont="1"/>
    <xf numFmtId="0" fontId="147" fillId="0" borderId="4" xfId="321" applyFont="1" applyBorder="1"/>
    <xf numFmtId="0" fontId="147" fillId="2" borderId="0" xfId="321" applyFont="1" applyFill="1"/>
    <xf numFmtId="0" fontId="152" fillId="0" borderId="1" xfId="1" applyFont="1" applyBorder="1"/>
    <xf numFmtId="0" fontId="147" fillId="0" borderId="0" xfId="1" applyFont="1"/>
    <xf numFmtId="0" fontId="148" fillId="0" borderId="0" xfId="1" applyFont="1" applyAlignment="1">
      <alignment horizontal="center"/>
    </xf>
    <xf numFmtId="9" fontId="147" fillId="0" borderId="0" xfId="207" applyFont="1" applyFill="1"/>
    <xf numFmtId="0" fontId="148" fillId="0" borderId="0" xfId="1" applyFont="1"/>
    <xf numFmtId="167" fontId="147" fillId="0" borderId="0" xfId="207" applyNumberFormat="1" applyFont="1" applyProtection="1"/>
    <xf numFmtId="212" fontId="148" fillId="0" borderId="0" xfId="2" applyNumberFormat="1" applyFont="1" applyAlignment="1"/>
    <xf numFmtId="43" fontId="147" fillId="0" borderId="0" xfId="2" applyFont="1"/>
    <xf numFmtId="212" fontId="147" fillId="0" borderId="0" xfId="1" applyNumberFormat="1" applyFont="1" applyAlignment="1">
      <alignment horizontal="right"/>
    </xf>
    <xf numFmtId="0" fontId="147" fillId="0" borderId="0" xfId="1" applyFont="1" applyAlignment="1">
      <alignment horizontal="left"/>
    </xf>
    <xf numFmtId="167" fontId="148" fillId="0" borderId="0" xfId="1" applyNumberFormat="1" applyFont="1"/>
    <xf numFmtId="211" fontId="147" fillId="0" borderId="0" xfId="2" applyNumberFormat="1" applyFont="1" applyProtection="1"/>
    <xf numFmtId="37" fontId="148" fillId="0" borderId="0" xfId="1" applyNumberFormat="1" applyFont="1"/>
    <xf numFmtId="37" fontId="147" fillId="0" borderId="0" xfId="1" applyNumberFormat="1" applyFont="1"/>
    <xf numFmtId="164" fontId="147" fillId="0" borderId="0" xfId="1" applyNumberFormat="1" applyFont="1"/>
    <xf numFmtId="0" fontId="150" fillId="0" borderId="0" xfId="1" applyFont="1" applyAlignment="1">
      <alignment horizontal="left"/>
    </xf>
    <xf numFmtId="167" fontId="150" fillId="0" borderId="0" xfId="177" applyNumberFormat="1" applyFont="1" applyAlignment="1">
      <alignment horizontal="right"/>
    </xf>
    <xf numFmtId="0" fontId="147" fillId="0" borderId="0" xfId="177" applyFont="1" applyAlignment="1">
      <alignment horizontal="left"/>
    </xf>
    <xf numFmtId="167" fontId="147" fillId="0" borderId="0" xfId="177" applyNumberFormat="1" applyFont="1"/>
    <xf numFmtId="37" fontId="147" fillId="0" borderId="0" xfId="1" applyNumberFormat="1" applyFont="1" applyAlignment="1">
      <alignment horizontal="right"/>
    </xf>
    <xf numFmtId="37" fontId="147" fillId="0" borderId="0" xfId="177" applyNumberFormat="1" applyFont="1" applyAlignment="1">
      <alignment horizontal="right"/>
    </xf>
    <xf numFmtId="0" fontId="148" fillId="0" borderId="0" xfId="1" applyFont="1" applyAlignment="1">
      <alignment horizontal="left"/>
    </xf>
    <xf numFmtId="164" fontId="147" fillId="0" borderId="0" xfId="1" applyNumberFormat="1" applyFont="1" applyAlignment="1">
      <alignment horizontal="right"/>
    </xf>
    <xf numFmtId="0" fontId="147" fillId="0" borderId="0" xfId="1" applyFont="1" applyAlignment="1">
      <alignment horizontal="right"/>
    </xf>
    <xf numFmtId="0" fontId="147" fillId="0" borderId="3" xfId="317" applyFont="1" applyBorder="1"/>
    <xf numFmtId="0" fontId="147" fillId="0" borderId="3" xfId="1" applyFont="1" applyBorder="1"/>
    <xf numFmtId="43" fontId="147" fillId="0" borderId="3" xfId="1" applyNumberFormat="1" applyFont="1" applyBorder="1"/>
    <xf numFmtId="43" fontId="147" fillId="0" borderId="4" xfId="1" applyNumberFormat="1" applyFont="1" applyBorder="1"/>
    <xf numFmtId="0" fontId="147" fillId="0" borderId="4" xfId="1" applyFont="1" applyBorder="1"/>
    <xf numFmtId="7" fontId="147" fillId="0" borderId="0" xfId="1" applyNumberFormat="1" applyFont="1"/>
    <xf numFmtId="7" fontId="147" fillId="0" borderId="0" xfId="94" applyNumberFormat="1" applyFont="1" applyFill="1" applyProtection="1"/>
    <xf numFmtId="165" fontId="147" fillId="0" borderId="0" xfId="2" applyNumberFormat="1" applyFont="1" applyFill="1" applyProtection="1"/>
    <xf numFmtId="0" fontId="147" fillId="0" borderId="0" xfId="177" applyFont="1"/>
    <xf numFmtId="0" fontId="148" fillId="0" borderId="2" xfId="177" applyFont="1" applyBorder="1" applyAlignment="1">
      <alignment horizontal="centerContinuous"/>
    </xf>
    <xf numFmtId="7" fontId="148" fillId="0" borderId="2" xfId="177" applyNumberFormat="1" applyFont="1" applyBorder="1" applyAlignment="1">
      <alignment horizontal="centerContinuous"/>
    </xf>
    <xf numFmtId="0" fontId="147" fillId="0" borderId="2" xfId="177" applyFont="1" applyBorder="1" applyAlignment="1">
      <alignment horizontal="centerContinuous"/>
    </xf>
    <xf numFmtId="0" fontId="148" fillId="0" borderId="0" xfId="177" applyFont="1" applyAlignment="1">
      <alignment horizontal="center"/>
    </xf>
    <xf numFmtId="0" fontId="148" fillId="0" borderId="0" xfId="177" applyFont="1"/>
    <xf numFmtId="0" fontId="154" fillId="0" borderId="0" xfId="177" applyFont="1"/>
    <xf numFmtId="37" fontId="147" fillId="0" borderId="0" xfId="177" applyNumberFormat="1" applyFont="1"/>
    <xf numFmtId="43" fontId="148" fillId="0" borderId="0" xfId="318" applyFont="1" applyProtection="1"/>
    <xf numFmtId="7" fontId="148" fillId="0" borderId="0" xfId="94" applyNumberFormat="1" applyFont="1" applyProtection="1"/>
    <xf numFmtId="37" fontId="147" fillId="0" borderId="0" xfId="2" applyNumberFormat="1" applyFont="1"/>
    <xf numFmtId="167" fontId="147" fillId="0" borderId="0" xfId="2" applyNumberFormat="1" applyFont="1"/>
    <xf numFmtId="167" fontId="147" fillId="0" borderId="0" xfId="207" applyNumberFormat="1" applyFont="1" applyAlignment="1" applyProtection="1">
      <alignment horizontal="right"/>
    </xf>
    <xf numFmtId="5" fontId="148" fillId="0" borderId="0" xfId="94" applyNumberFormat="1" applyFont="1" applyProtection="1"/>
    <xf numFmtId="5" fontId="147" fillId="0" borderId="0" xfId="177" applyNumberFormat="1" applyFont="1" applyAlignment="1">
      <alignment horizontal="right"/>
    </xf>
    <xf numFmtId="5" fontId="147" fillId="0" borderId="0" xfId="177" applyNumberFormat="1" applyFont="1"/>
    <xf numFmtId="5" fontId="148" fillId="0" borderId="0" xfId="177" applyNumberFormat="1" applyFont="1"/>
    <xf numFmtId="5" fontId="147" fillId="0" borderId="0" xfId="1" applyNumberFormat="1" applyFont="1"/>
    <xf numFmtId="37" fontId="154" fillId="0" borderId="0" xfId="1" applyNumberFormat="1" applyFont="1"/>
    <xf numFmtId="37" fontId="147" fillId="0" borderId="0" xfId="94" applyNumberFormat="1" applyFont="1" applyProtection="1"/>
    <xf numFmtId="37" fontId="147" fillId="0" borderId="0" xfId="2" applyNumberFormat="1" applyFont="1" applyProtection="1"/>
    <xf numFmtId="37" fontId="148" fillId="0" borderId="0" xfId="94" applyNumberFormat="1" applyFont="1" applyProtection="1"/>
    <xf numFmtId="37" fontId="147" fillId="0" borderId="0" xfId="2" applyNumberFormat="1" applyFont="1" applyAlignment="1" applyProtection="1">
      <alignment horizontal="right"/>
    </xf>
    <xf numFmtId="5" fontId="95" fillId="0" borderId="0" xfId="320" applyNumberFormat="1"/>
    <xf numFmtId="9" fontId="147" fillId="0" borderId="0" xfId="2" applyNumberFormat="1" applyFont="1"/>
    <xf numFmtId="9" fontId="151" fillId="0" borderId="0" xfId="2" applyNumberFormat="1" applyFont="1"/>
    <xf numFmtId="9" fontId="103" fillId="0" borderId="0" xfId="505" applyFont="1" applyFill="1"/>
    <xf numFmtId="9" fontId="103" fillId="0" borderId="0" xfId="505" applyFont="1" applyFill="1" applyBorder="1"/>
    <xf numFmtId="9" fontId="103" fillId="0" borderId="0" xfId="505" applyFont="1" applyAlignment="1">
      <alignment horizontal="center"/>
    </xf>
    <xf numFmtId="9" fontId="104" fillId="0" borderId="0" xfId="505" applyFont="1" applyFill="1" applyAlignment="1">
      <alignment horizontal="center"/>
    </xf>
    <xf numFmtId="9" fontId="103" fillId="0" borderId="0" xfId="505" applyFont="1" applyFill="1" applyAlignment="1">
      <alignment horizontal="center"/>
    </xf>
    <xf numFmtId="9" fontId="148" fillId="0" borderId="2" xfId="505" applyFont="1" applyFill="1" applyBorder="1" applyAlignment="1">
      <alignment horizontal="centerContinuous"/>
    </xf>
    <xf numFmtId="9" fontId="147" fillId="0" borderId="2" xfId="505" applyFont="1" applyBorder="1" applyAlignment="1">
      <alignment horizontal="centerContinuous"/>
    </xf>
    <xf numFmtId="9" fontId="148" fillId="0" borderId="0" xfId="505" applyFont="1" applyAlignment="1">
      <alignment horizontal="center"/>
    </xf>
    <xf numFmtId="9" fontId="0" fillId="0" borderId="0" xfId="505" applyFont="1"/>
    <xf numFmtId="37" fontId="151" fillId="0" borderId="0" xfId="2" applyNumberFormat="1" applyFont="1"/>
    <xf numFmtId="0" fontId="148" fillId="0" borderId="4" xfId="1" applyFont="1" applyBorder="1" applyAlignment="1">
      <alignment horizontal="center"/>
    </xf>
    <xf numFmtId="0" fontId="152" fillId="0" borderId="0" xfId="320" quotePrefix="1" applyFont="1" applyAlignment="1" applyProtection="1">
      <alignment horizontal="left"/>
    </xf>
    <xf numFmtId="0" fontId="147" fillId="0" borderId="0" xfId="320" applyFont="1" applyProtection="1"/>
    <xf numFmtId="0" fontId="148" fillId="0" borderId="0" xfId="320" applyFont="1" applyProtection="1"/>
    <xf numFmtId="0" fontId="155" fillId="0" borderId="0" xfId="320" applyFont="1" applyProtection="1"/>
    <xf numFmtId="0" fontId="147" fillId="0" borderId="0" xfId="320" applyFont="1"/>
    <xf numFmtId="9" fontId="147" fillId="0" borderId="0" xfId="505" applyFont="1" applyFill="1" applyAlignment="1" applyProtection="1">
      <alignment horizontal="right"/>
    </xf>
    <xf numFmtId="37" fontId="147" fillId="0" borderId="0" xfId="505" applyNumberFormat="1" applyFont="1" applyProtection="1"/>
    <xf numFmtId="37" fontId="153" fillId="0" borderId="0" xfId="505" applyNumberFormat="1" applyFont="1" applyFill="1" applyAlignment="1" applyProtection="1">
      <alignment horizontal="right"/>
    </xf>
    <xf numFmtId="0" fontId="148" fillId="0" borderId="0" xfId="320" applyFont="1"/>
    <xf numFmtId="37" fontId="148" fillId="0" borderId="0" xfId="505" applyNumberFormat="1" applyFont="1" applyProtection="1"/>
    <xf numFmtId="9" fontId="147" fillId="0" borderId="0" xfId="505" applyFont="1" applyAlignment="1" applyProtection="1">
      <alignment horizontal="right"/>
    </xf>
    <xf numFmtId="9" fontId="151" fillId="0" borderId="0" xfId="505" applyFont="1"/>
    <xf numFmtId="37" fontId="147" fillId="0" borderId="0" xfId="505" applyNumberFormat="1" applyFont="1" applyAlignment="1" applyProtection="1">
      <alignment horizontal="right"/>
    </xf>
    <xf numFmtId="37" fontId="147" fillId="0" borderId="0" xfId="320" applyNumberFormat="1" applyFont="1"/>
    <xf numFmtId="9" fontId="147" fillId="0" borderId="0" xfId="505" applyFont="1"/>
    <xf numFmtId="37" fontId="148" fillId="0" borderId="0" xfId="505" applyNumberFormat="1" applyFont="1" applyAlignment="1" applyProtection="1">
      <alignment horizontal="right"/>
    </xf>
    <xf numFmtId="0" fontId="155" fillId="0" borderId="0" xfId="320" applyFont="1"/>
    <xf numFmtId="0" fontId="147" fillId="0" borderId="4" xfId="320" applyFont="1" applyBorder="1"/>
    <xf numFmtId="9" fontId="147" fillId="0" borderId="4" xfId="505" applyFont="1" applyBorder="1" applyAlignment="1" applyProtection="1">
      <alignment horizontal="right"/>
    </xf>
    <xf numFmtId="5" fontId="147" fillId="0" borderId="0" xfId="320" applyNumberFormat="1" applyFont="1" applyProtection="1"/>
    <xf numFmtId="5" fontId="147" fillId="0" borderId="0" xfId="320" applyNumberFormat="1" applyFont="1"/>
    <xf numFmtId="37" fontId="151" fillId="0" borderId="0" xfId="505" applyNumberFormat="1" applyFont="1" applyProtection="1"/>
    <xf numFmtId="17" fontId="157" fillId="0" borderId="0" xfId="317" applyNumberFormat="1" applyFont="1" applyAlignment="1">
      <alignment horizontal="center"/>
    </xf>
    <xf numFmtId="165" fontId="147" fillId="0" borderId="0" xfId="2" applyNumberFormat="1" applyFont="1" applyAlignment="1" applyProtection="1">
      <alignment horizontal="right"/>
    </xf>
    <xf numFmtId="9" fontId="147" fillId="0" borderId="0" xfId="207" applyFont="1" applyAlignment="1" applyProtection="1">
      <alignment horizontal="right"/>
    </xf>
    <xf numFmtId="9" fontId="147" fillId="0" borderId="0" xfId="2" applyNumberFormat="1" applyFont="1" applyAlignment="1" applyProtection="1">
      <alignment horizontal="right"/>
    </xf>
    <xf numFmtId="167" fontId="147" fillId="0" borderId="4" xfId="207" applyNumberFormat="1" applyFont="1" applyBorder="1" applyAlignment="1" applyProtection="1">
      <alignment horizontal="right"/>
    </xf>
    <xf numFmtId="0" fontId="152" fillId="0" borderId="36" xfId="321" quotePrefix="1" applyFont="1" applyBorder="1" applyAlignment="1">
      <alignment horizontal="left"/>
    </xf>
    <xf numFmtId="0" fontId="156" fillId="0" borderId="0" xfId="321" applyFont="1"/>
    <xf numFmtId="211" fontId="147" fillId="0" borderId="0" xfId="2" applyNumberFormat="1" applyFont="1" applyFill="1" applyAlignment="1">
      <alignment horizontal="left"/>
    </xf>
    <xf numFmtId="0" fontId="148" fillId="0" borderId="0" xfId="317" applyFont="1" applyAlignment="1">
      <alignment horizontal="centerContinuous"/>
    </xf>
    <xf numFmtId="7" fontId="148" fillId="0" borderId="0" xfId="317" applyNumberFormat="1" applyFont="1" applyAlignment="1">
      <alignment horizontal="centerContinuous"/>
    </xf>
    <xf numFmtId="0" fontId="148" fillId="0" borderId="0" xfId="317" applyFont="1" applyAlignment="1">
      <alignment horizontal="center"/>
    </xf>
    <xf numFmtId="0" fontId="147" fillId="0" borderId="0" xfId="317" applyFont="1"/>
    <xf numFmtId="37" fontId="147" fillId="0" borderId="0" xfId="2" applyNumberFormat="1" applyFont="1" applyFill="1" applyAlignment="1" applyProtection="1">
      <alignment horizontal="right"/>
    </xf>
    <xf numFmtId="167" fontId="147" fillId="0" borderId="0" xfId="207" applyNumberFormat="1" applyFont="1" applyFill="1" applyAlignment="1" applyProtection="1">
      <alignment horizontal="right"/>
    </xf>
    <xf numFmtId="0" fontId="152" fillId="0" borderId="1" xfId="1" applyFont="1" applyBorder="1" applyAlignment="1">
      <alignment wrapText="1"/>
    </xf>
    <xf numFmtId="0" fontId="147" fillId="0" borderId="0" xfId="1" applyFont="1" applyAlignment="1">
      <alignment wrapText="1"/>
    </xf>
    <xf numFmtId="0" fontId="148" fillId="0" borderId="0" xfId="1" applyFont="1" applyAlignment="1">
      <alignment wrapText="1"/>
    </xf>
    <xf numFmtId="0" fontId="147" fillId="0" borderId="0" xfId="1" applyFont="1" applyAlignment="1">
      <alignment horizontal="left" wrapText="1"/>
    </xf>
    <xf numFmtId="0" fontId="154" fillId="0" borderId="0" xfId="1" applyFont="1"/>
    <xf numFmtId="0" fontId="148" fillId="0" borderId="0" xfId="1" applyFont="1" applyAlignment="1">
      <alignment horizontal="left" wrapText="1"/>
    </xf>
    <xf numFmtId="0" fontId="148" fillId="0" borderId="0" xfId="1" applyFont="1" applyAlignment="1">
      <alignment horizontal="right"/>
    </xf>
    <xf numFmtId="5" fontId="148" fillId="0" borderId="0" xfId="506" applyNumberFormat="1" applyFont="1"/>
    <xf numFmtId="5" fontId="147" fillId="0" borderId="0" xfId="94" applyNumberFormat="1" applyFont="1" applyProtection="1"/>
    <xf numFmtId="5" fontId="147" fillId="0" borderId="0" xfId="2" applyNumberFormat="1" applyFont="1"/>
    <xf numFmtId="0" fontId="148" fillId="0" borderId="0" xfId="506" applyFont="1"/>
    <xf numFmtId="0" fontId="147" fillId="0" borderId="0" xfId="506" applyFont="1"/>
    <xf numFmtId="5" fontId="147" fillId="0" borderId="0" xfId="506" applyNumberFormat="1" applyFont="1" applyAlignment="1">
      <alignment horizontal="right"/>
    </xf>
    <xf numFmtId="0" fontId="147" fillId="0" borderId="0" xfId="506" applyFont="1" applyAlignment="1">
      <alignment horizontal="left"/>
    </xf>
    <xf numFmtId="37" fontId="147" fillId="0" borderId="0" xfId="506" applyNumberFormat="1" applyFont="1" applyAlignment="1">
      <alignment horizontal="right"/>
    </xf>
    <xf numFmtId="37" fontId="147" fillId="0" borderId="0" xfId="506" applyNumberFormat="1" applyFont="1"/>
    <xf numFmtId="37" fontId="148" fillId="0" borderId="0" xfId="506" applyNumberFormat="1" applyFont="1"/>
    <xf numFmtId="0" fontId="150" fillId="0" borderId="0" xfId="506" applyFont="1" applyAlignment="1">
      <alignment horizontal="left"/>
    </xf>
    <xf numFmtId="167" fontId="147" fillId="0" borderId="0" xfId="506" applyNumberFormat="1" applyFont="1"/>
    <xf numFmtId="0" fontId="148" fillId="0" borderId="0" xfId="506" applyFont="1" applyAlignment="1">
      <alignment horizontal="left"/>
    </xf>
    <xf numFmtId="167" fontId="147" fillId="0" borderId="0" xfId="506" applyNumberFormat="1" applyFont="1" applyAlignment="1">
      <alignment horizontal="right"/>
    </xf>
    <xf numFmtId="0" fontId="147" fillId="0" borderId="0" xfId="506" applyFont="1" applyAlignment="1">
      <alignment horizontal="right"/>
    </xf>
    <xf numFmtId="167" fontId="153" fillId="0" borderId="0" xfId="506" applyNumberFormat="1" applyFont="1"/>
    <xf numFmtId="7" fontId="148" fillId="0" borderId="0" xfId="506" applyNumberFormat="1" applyFont="1"/>
    <xf numFmtId="7" fontId="147" fillId="0" borderId="0" xfId="506" applyNumberFormat="1" applyFont="1"/>
    <xf numFmtId="164" fontId="147" fillId="0" borderId="0" xfId="506" applyNumberFormat="1" applyFont="1"/>
    <xf numFmtId="37" fontId="147" fillId="0" borderId="4" xfId="2" applyNumberFormat="1" applyFont="1" applyBorder="1"/>
    <xf numFmtId="0" fontId="3" fillId="0" borderId="0" xfId="506" applyFont="1"/>
    <xf numFmtId="0" fontId="152" fillId="0" borderId="1" xfId="506" applyFont="1" applyBorder="1"/>
    <xf numFmtId="0" fontId="3" fillId="0" borderId="1" xfId="506" applyFont="1" applyBorder="1"/>
    <xf numFmtId="37" fontId="3" fillId="0" borderId="1" xfId="506" applyNumberFormat="1" applyFont="1" applyBorder="1"/>
    <xf numFmtId="164" fontId="3" fillId="0" borderId="1" xfId="506" applyNumberFormat="1" applyFont="1" applyBorder="1"/>
    <xf numFmtId="9" fontId="147" fillId="0" borderId="0" xfId="506" applyNumberFormat="1" applyFont="1"/>
    <xf numFmtId="0" fontId="148" fillId="0" borderId="0" xfId="506" applyFont="1" applyAlignment="1">
      <alignment horizontal="center"/>
    </xf>
    <xf numFmtId="0" fontId="148" fillId="0" borderId="2" xfId="506" applyFont="1" applyBorder="1" applyAlignment="1">
      <alignment horizontal="centerContinuous"/>
    </xf>
    <xf numFmtId="7" fontId="148" fillId="0" borderId="2" xfId="506" applyNumberFormat="1" applyFont="1" applyBorder="1" applyAlignment="1">
      <alignment horizontal="centerContinuous"/>
    </xf>
    <xf numFmtId="0" fontId="147" fillId="0" borderId="2" xfId="506" applyFont="1" applyBorder="1" applyAlignment="1">
      <alignment horizontal="centerContinuous"/>
    </xf>
    <xf numFmtId="5" fontId="3" fillId="0" borderId="0" xfId="506" applyNumberFormat="1" applyFont="1"/>
    <xf numFmtId="0" fontId="154" fillId="0" borderId="0" xfId="506" applyFont="1"/>
    <xf numFmtId="0" fontId="150" fillId="0" borderId="0" xfId="506" applyFont="1" applyAlignment="1">
      <alignment horizontal="right"/>
    </xf>
    <xf numFmtId="0" fontId="150" fillId="0" borderId="0" xfId="506" applyFont="1"/>
    <xf numFmtId="0" fontId="148" fillId="0" borderId="0" xfId="506" applyFont="1" applyAlignment="1">
      <alignment horizontal="right"/>
    </xf>
    <xf numFmtId="37" fontId="151" fillId="0" borderId="0" xfId="506" applyNumberFormat="1" applyFont="1"/>
    <xf numFmtId="9" fontId="151" fillId="0" borderId="0" xfId="505" applyFont="1" applyProtection="1"/>
    <xf numFmtId="0" fontId="147" fillId="0" borderId="3" xfId="506" applyFont="1" applyBorder="1"/>
    <xf numFmtId="43" fontId="147" fillId="0" borderId="3" xfId="506" applyNumberFormat="1" applyFont="1" applyBorder="1"/>
    <xf numFmtId="0" fontId="3" fillId="0" borderId="3" xfId="506" applyFont="1" applyBorder="1"/>
    <xf numFmtId="0" fontId="3" fillId="3" borderId="0" xfId="506" applyFont="1" applyFill="1"/>
    <xf numFmtId="43" fontId="3" fillId="3" borderId="0" xfId="506" applyNumberFormat="1" applyFont="1" applyFill="1"/>
    <xf numFmtId="211" fontId="147" fillId="0" borderId="0" xfId="2" applyNumberFormat="1" applyFont="1" applyFill="1" applyProtection="1"/>
    <xf numFmtId="0" fontId="155" fillId="0" borderId="41" xfId="1" applyFont="1" applyBorder="1"/>
    <xf numFmtId="0" fontId="151" fillId="0" borderId="0" xfId="1" applyFont="1"/>
    <xf numFmtId="0" fontId="147" fillId="0" borderId="42" xfId="320" applyFont="1" applyBorder="1" applyProtection="1"/>
    <xf numFmtId="0" fontId="3" fillId="0" borderId="42" xfId="1" applyFont="1" applyBorder="1"/>
    <xf numFmtId="5" fontId="147" fillId="0" borderId="0" xfId="505" applyNumberFormat="1" applyFont="1" applyFill="1" applyAlignment="1" applyProtection="1">
      <alignment horizontal="right"/>
    </xf>
    <xf numFmtId="37" fontId="151" fillId="0" borderId="0" xfId="2" applyNumberFormat="1" applyFont="1" applyFill="1" applyAlignment="1" applyProtection="1">
      <alignment horizontal="right"/>
    </xf>
    <xf numFmtId="37" fontId="147" fillId="0" borderId="0" xfId="207" applyNumberFormat="1" applyFont="1" applyFill="1" applyAlignment="1" applyProtection="1">
      <alignment horizontal="right"/>
    </xf>
    <xf numFmtId="37" fontId="148" fillId="0" borderId="0" xfId="505" applyNumberFormat="1" applyFont="1" applyFill="1" applyProtection="1"/>
    <xf numFmtId="164" fontId="148" fillId="0" borderId="0" xfId="1" applyNumberFormat="1" applyFont="1"/>
    <xf numFmtId="0" fontId="151" fillId="0" borderId="4" xfId="1" applyFont="1" applyBorder="1" applyAlignment="1">
      <alignment wrapText="1"/>
    </xf>
    <xf numFmtId="0" fontId="158" fillId="0" borderId="4" xfId="1" applyFont="1" applyBorder="1"/>
    <xf numFmtId="9" fontId="151" fillId="0" borderId="4" xfId="505" applyFont="1" applyBorder="1"/>
    <xf numFmtId="0" fontId="155" fillId="0" borderId="0" xfId="1" applyFont="1" applyAlignment="1">
      <alignment horizontal="left" wrapText="1"/>
    </xf>
    <xf numFmtId="37" fontId="147" fillId="39" borderId="0" xfId="506" applyNumberFormat="1" applyFont="1" applyFill="1"/>
    <xf numFmtId="9" fontId="151" fillId="39" borderId="0" xfId="2" applyNumberFormat="1" applyFont="1" applyFill="1"/>
    <xf numFmtId="37" fontId="151" fillId="0" borderId="0" xfId="1" applyNumberFormat="1" applyFont="1"/>
    <xf numFmtId="9" fontId="147" fillId="0" borderId="0" xfId="505" applyFont="1" applyBorder="1"/>
    <xf numFmtId="164" fontId="3" fillId="0" borderId="0" xfId="1" applyNumberFormat="1" applyFont="1"/>
    <xf numFmtId="211" fontId="147" fillId="0" borderId="0" xfId="1" applyNumberFormat="1" applyFont="1"/>
    <xf numFmtId="37" fontId="147" fillId="40" borderId="0" xfId="1" applyNumberFormat="1" applyFont="1" applyFill="1"/>
    <xf numFmtId="9" fontId="147" fillId="40" borderId="0" xfId="505" applyFont="1" applyFill="1"/>
    <xf numFmtId="9" fontId="147" fillId="40" borderId="0" xfId="505" applyFont="1" applyFill="1" applyBorder="1"/>
    <xf numFmtId="0" fontId="151" fillId="40" borderId="0" xfId="1" applyFont="1" applyFill="1"/>
    <xf numFmtId="0" fontId="147" fillId="40" borderId="0" xfId="1" applyFont="1" applyFill="1"/>
    <xf numFmtId="9" fontId="147" fillId="40" borderId="0" xfId="1" applyNumberFormat="1" applyFont="1" applyFill="1"/>
    <xf numFmtId="211" fontId="147" fillId="40" borderId="0" xfId="1" applyNumberFormat="1" applyFont="1" applyFill="1"/>
    <xf numFmtId="37" fontId="147" fillId="40" borderId="0" xfId="1" applyNumberFormat="1" applyFont="1" applyFill="1" applyAlignment="1">
      <alignment horizontal="right"/>
    </xf>
    <xf numFmtId="9" fontId="151" fillId="40" borderId="0" xfId="505" applyFont="1" applyFill="1"/>
    <xf numFmtId="9" fontId="147" fillId="0" borderId="0" xfId="1" applyNumberFormat="1" applyFont="1"/>
    <xf numFmtId="9" fontId="151" fillId="0" borderId="0" xfId="505" applyFont="1" applyFill="1"/>
    <xf numFmtId="9" fontId="147" fillId="0" borderId="0" xfId="505" applyFont="1" applyFill="1"/>
    <xf numFmtId="9" fontId="147" fillId="40" borderId="42" xfId="505" applyFont="1" applyFill="1" applyBorder="1"/>
    <xf numFmtId="9" fontId="147" fillId="0" borderId="42" xfId="505" applyFont="1" applyBorder="1"/>
    <xf numFmtId="0" fontId="155" fillId="0" borderId="0" xfId="1" applyFont="1"/>
    <xf numFmtId="0" fontId="0" fillId="0" borderId="41" xfId="0" applyBorder="1"/>
    <xf numFmtId="9" fontId="0" fillId="0" borderId="41" xfId="505" applyFont="1" applyBorder="1"/>
    <xf numFmtId="9" fontId="0" fillId="40" borderId="41" xfId="505" applyFont="1" applyFill="1" applyBorder="1"/>
    <xf numFmtId="10" fontId="147" fillId="40" borderId="0" xfId="505" applyNumberFormat="1" applyFont="1" applyFill="1"/>
    <xf numFmtId="37" fontId="148" fillId="40" borderId="0" xfId="1" applyNumberFormat="1" applyFont="1" applyFill="1"/>
    <xf numFmtId="10" fontId="158" fillId="40" borderId="4" xfId="505" applyNumberFormat="1" applyFont="1" applyFill="1" applyBorder="1"/>
    <xf numFmtId="0" fontId="158" fillId="40" borderId="4" xfId="1" applyFont="1" applyFill="1" applyBorder="1"/>
    <xf numFmtId="9" fontId="151" fillId="40" borderId="4" xfId="505" applyFont="1" applyFill="1" applyBorder="1"/>
    <xf numFmtId="259" fontId="148" fillId="0" borderId="0" xfId="505" applyNumberFormat="1" applyFont="1" applyAlignment="1" applyProtection="1">
      <alignment horizontal="right"/>
    </xf>
    <xf numFmtId="0" fontId="155" fillId="0" borderId="41" xfId="1" applyFont="1" applyBorder="1" applyAlignment="1">
      <alignment horizontal="left" wrapText="1"/>
    </xf>
    <xf numFmtId="259" fontId="147" fillId="0" borderId="0" xfId="505" applyNumberFormat="1" applyFont="1" applyAlignment="1" applyProtection="1">
      <alignment horizontal="right"/>
    </xf>
    <xf numFmtId="5" fontId="148" fillId="0" borderId="0" xfId="505" applyNumberFormat="1" applyFont="1" applyFill="1" applyAlignment="1" applyProtection="1">
      <alignment horizontal="right"/>
    </xf>
    <xf numFmtId="259" fontId="147" fillId="0" borderId="0" xfId="1" applyNumberFormat="1" applyFont="1"/>
    <xf numFmtId="259" fontId="147" fillId="40" borderId="0" xfId="1" applyNumberFormat="1" applyFont="1" applyFill="1"/>
    <xf numFmtId="167" fontId="3" fillId="0" borderId="0" xfId="505" applyNumberFormat="1" applyFont="1" applyFill="1" applyBorder="1"/>
    <xf numFmtId="167" fontId="147" fillId="0" borderId="0" xfId="505" applyNumberFormat="1" applyFont="1" applyFill="1" applyBorder="1"/>
    <xf numFmtId="9" fontId="147" fillId="0" borderId="0" xfId="505" applyFont="1" applyFill="1" applyBorder="1"/>
    <xf numFmtId="167" fontId="147" fillId="0" borderId="0" xfId="505" applyNumberFormat="1" applyFont="1" applyFill="1"/>
    <xf numFmtId="167" fontId="151" fillId="0" borderId="0" xfId="207" applyNumberFormat="1" applyFont="1" applyProtection="1"/>
    <xf numFmtId="167" fontId="151" fillId="0" borderId="0" xfId="505" applyNumberFormat="1" applyFont="1" applyFill="1" applyBorder="1"/>
    <xf numFmtId="37" fontId="148" fillId="0" borderId="0" xfId="94" applyNumberFormat="1" applyFont="1" applyFill="1" applyProtection="1"/>
    <xf numFmtId="217" fontId="147" fillId="0" borderId="0" xfId="1" applyNumberFormat="1" applyFont="1"/>
    <xf numFmtId="164" fontId="147" fillId="0" borderId="41" xfId="1" applyNumberFormat="1" applyFont="1" applyBorder="1"/>
    <xf numFmtId="0" fontId="147" fillId="40" borderId="41" xfId="1" applyFont="1" applyFill="1" applyBorder="1"/>
    <xf numFmtId="0" fontId="147" fillId="0" borderId="41" xfId="1" applyFont="1" applyBorder="1"/>
    <xf numFmtId="0" fontId="147" fillId="0" borderId="42" xfId="1" applyFont="1" applyBorder="1"/>
    <xf numFmtId="0" fontId="147" fillId="40" borderId="42" xfId="1" applyFont="1" applyFill="1" applyBorder="1"/>
    <xf numFmtId="217" fontId="147" fillId="0" borderId="0" xfId="1" applyNumberFormat="1" applyFont="1" applyAlignment="1">
      <alignment wrapText="1"/>
    </xf>
    <xf numFmtId="259" fontId="147" fillId="0" borderId="0" xfId="505" applyNumberFormat="1" applyFont="1" applyAlignment="1" applyProtection="1">
      <alignment horizontal="right" vertical="center"/>
    </xf>
    <xf numFmtId="259" fontId="147" fillId="0" borderId="0" xfId="505" applyNumberFormat="1" applyFont="1" applyProtection="1"/>
    <xf numFmtId="259" fontId="148" fillId="0" borderId="0" xfId="505" applyNumberFormat="1" applyFont="1" applyProtection="1"/>
    <xf numFmtId="0" fontId="148" fillId="0" borderId="0" xfId="505" applyNumberFormat="1" applyFont="1" applyAlignment="1">
      <alignment horizontal="center"/>
    </xf>
    <xf numFmtId="0" fontId="157" fillId="0" borderId="0" xfId="317" applyFont="1" applyAlignment="1">
      <alignment horizontal="center"/>
    </xf>
    <xf numFmtId="259" fontId="147" fillId="0" borderId="0" xfId="2" applyNumberFormat="1" applyFont="1"/>
    <xf numFmtId="259" fontId="147" fillId="0" borderId="0" xfId="321" applyNumberFormat="1" applyFont="1"/>
    <xf numFmtId="259" fontId="147" fillId="0" borderId="0" xfId="2" applyNumberFormat="1" applyFont="1" applyFill="1"/>
    <xf numFmtId="259" fontId="151" fillId="0" borderId="0" xfId="2" applyNumberFormat="1" applyFont="1" applyFill="1"/>
    <xf numFmtId="259" fontId="147" fillId="0" borderId="0" xfId="2" applyNumberFormat="1" applyFont="1" applyFill="1" applyAlignment="1" applyProtection="1">
      <alignment horizontal="right"/>
    </xf>
    <xf numFmtId="167" fontId="151" fillId="0" borderId="0" xfId="505" applyNumberFormat="1" applyFont="1" applyFill="1"/>
    <xf numFmtId="0" fontId="158" fillId="40" borderId="0" xfId="1" applyFont="1" applyFill="1"/>
    <xf numFmtId="0" fontId="158" fillId="0" borderId="0" xfId="1" applyFont="1"/>
    <xf numFmtId="7" fontId="147" fillId="0" borderId="0" xfId="2" applyNumberFormat="1" applyFont="1" applyAlignment="1" applyProtection="1">
      <alignment horizontal="right"/>
    </xf>
    <xf numFmtId="0" fontId="3" fillId="0" borderId="0" xfId="1" quotePrefix="1" applyFont="1"/>
    <xf numFmtId="0" fontId="159" fillId="3" borderId="0" xfId="506" applyFont="1" applyFill="1"/>
    <xf numFmtId="43" fontId="159" fillId="3" borderId="0" xfId="506" applyNumberFormat="1" applyFont="1" applyFill="1"/>
    <xf numFmtId="0" fontId="159" fillId="0" borderId="0" xfId="506" applyFont="1"/>
    <xf numFmtId="43" fontId="159" fillId="3" borderId="0" xfId="506" quotePrefix="1" applyNumberFormat="1" applyFont="1" applyFill="1"/>
    <xf numFmtId="3" fontId="2" fillId="0" borderId="0" xfId="1" applyNumberFormat="1"/>
    <xf numFmtId="10" fontId="2" fillId="0" borderId="0" xfId="1" applyNumberFormat="1"/>
    <xf numFmtId="3" fontId="0" fillId="0" borderId="0" xfId="0" applyNumberFormat="1"/>
    <xf numFmtId="3" fontId="7" fillId="0" borderId="0" xfId="1" applyNumberFormat="1" applyFont="1"/>
    <xf numFmtId="10" fontId="0" fillId="0" borderId="0" xfId="0" applyNumberFormat="1"/>
    <xf numFmtId="6" fontId="0" fillId="0" borderId="0" xfId="0" applyNumberFormat="1"/>
    <xf numFmtId="8" fontId="2" fillId="0" borderId="0" xfId="1" applyNumberFormat="1"/>
    <xf numFmtId="8" fontId="0" fillId="0" borderId="0" xfId="0" applyNumberFormat="1"/>
    <xf numFmtId="43" fontId="147" fillId="0" borderId="0" xfId="1" applyNumberFormat="1" applyFont="1"/>
    <xf numFmtId="7" fontId="148" fillId="0" borderId="0" xfId="1" applyNumberFormat="1" applyFont="1"/>
    <xf numFmtId="37" fontId="147" fillId="40" borderId="41" xfId="1" applyNumberFormat="1" applyFont="1" applyFill="1" applyBorder="1"/>
    <xf numFmtId="37" fontId="147" fillId="0" borderId="41" xfId="1" applyNumberFormat="1" applyFont="1" applyBorder="1"/>
    <xf numFmtId="9" fontId="151" fillId="0" borderId="42" xfId="505" applyFont="1" applyFill="1" applyBorder="1"/>
    <xf numFmtId="7" fontId="148" fillId="0" borderId="0" xfId="94" quotePrefix="1" applyNumberFormat="1" applyFont="1" applyProtection="1"/>
    <xf numFmtId="0" fontId="153" fillId="0" borderId="0" xfId="0" applyFont="1"/>
    <xf numFmtId="7" fontId="160" fillId="0" borderId="0" xfId="94" applyNumberFormat="1" applyFont="1" applyProtection="1"/>
    <xf numFmtId="7" fontId="160" fillId="0" borderId="0" xfId="94" quotePrefix="1" applyNumberFormat="1" applyFont="1" applyProtection="1"/>
    <xf numFmtId="0" fontId="160" fillId="0" borderId="0" xfId="1" applyFont="1"/>
    <xf numFmtId="0" fontId="161" fillId="0" borderId="0" xfId="1" applyFont="1"/>
    <xf numFmtId="0" fontId="162" fillId="0" borderId="0" xfId="1" applyFont="1"/>
    <xf numFmtId="259" fontId="163" fillId="0" borderId="0" xfId="505" applyNumberFormat="1" applyFont="1" applyAlignment="1" applyProtection="1">
      <alignment horizontal="right"/>
    </xf>
    <xf numFmtId="37" fontId="147" fillId="39" borderId="0" xfId="94" applyNumberFormat="1" applyFont="1" applyFill="1" applyProtection="1"/>
    <xf numFmtId="0" fontId="148" fillId="0" borderId="0" xfId="505" applyNumberFormat="1" applyFont="1" applyFill="1" applyAlignment="1">
      <alignment horizontal="center"/>
    </xf>
    <xf numFmtId="167" fontId="147" fillId="39" borderId="0" xfId="207" applyNumberFormat="1" applyFont="1" applyFill="1"/>
    <xf numFmtId="37" fontId="147" fillId="39" borderId="0" xfId="2" applyNumberFormat="1" applyFont="1" applyFill="1"/>
    <xf numFmtId="37" fontId="147" fillId="0" borderId="0" xfId="2" quotePrefix="1" applyNumberFormat="1" applyFont="1"/>
    <xf numFmtId="259" fontId="148" fillId="0" borderId="0" xfId="505" applyNumberFormat="1" applyFont="1" applyAlignment="1" applyProtection="1">
      <alignment horizontal="right" vertical="center"/>
    </xf>
    <xf numFmtId="212" fontId="148" fillId="3" borderId="0" xfId="2" applyNumberFormat="1" applyFont="1" applyFill="1" applyAlignment="1"/>
    <xf numFmtId="5" fontId="148" fillId="3" borderId="0" xfId="94" applyNumberFormat="1" applyFont="1" applyFill="1" applyProtection="1"/>
    <xf numFmtId="7" fontId="148" fillId="3" borderId="0" xfId="1" applyNumberFormat="1" applyFont="1" applyFill="1"/>
    <xf numFmtId="7" fontId="148" fillId="3" borderId="0" xfId="506" applyNumberFormat="1" applyFont="1" applyFill="1"/>
    <xf numFmtId="0" fontId="148" fillId="3" borderId="0" xfId="177" applyFont="1" applyFill="1" applyAlignment="1">
      <alignment horizontal="center"/>
    </xf>
    <xf numFmtId="0" fontId="147" fillId="3" borderId="0" xfId="321" applyFont="1" applyFill="1"/>
    <xf numFmtId="0" fontId="148" fillId="3" borderId="0" xfId="506" applyFont="1" applyFill="1" applyAlignment="1">
      <alignment horizontal="center"/>
    </xf>
    <xf numFmtId="167" fontId="147" fillId="3" borderId="0" xfId="207" applyNumberFormat="1" applyFont="1" applyFill="1" applyProtection="1"/>
    <xf numFmtId="167" fontId="147" fillId="3" borderId="0" xfId="505" applyNumberFormat="1" applyFont="1" applyFill="1"/>
    <xf numFmtId="167" fontId="147" fillId="3" borderId="0" xfId="505" applyNumberFormat="1" applyFont="1" applyFill="1" applyBorder="1"/>
    <xf numFmtId="9" fontId="147" fillId="3" borderId="0" xfId="505" applyFont="1" applyFill="1" applyBorder="1"/>
    <xf numFmtId="0" fontId="148" fillId="3" borderId="0" xfId="1" applyFont="1" applyFill="1" applyAlignment="1">
      <alignment horizontal="center"/>
    </xf>
    <xf numFmtId="0" fontId="147" fillId="3" borderId="0" xfId="1" applyFont="1" applyFill="1"/>
    <xf numFmtId="37" fontId="147" fillId="3" borderId="0" xfId="1" applyNumberFormat="1" applyFont="1" applyFill="1"/>
    <xf numFmtId="0" fontId="95" fillId="3" borderId="0" xfId="1" applyFont="1" applyFill="1"/>
    <xf numFmtId="0" fontId="148" fillId="3" borderId="0" xfId="505" applyNumberFormat="1" applyFont="1" applyFill="1" applyAlignment="1">
      <alignment horizontal="center"/>
    </xf>
    <xf numFmtId="9" fontId="147" fillId="3" borderId="0" xfId="505" applyFont="1" applyFill="1" applyAlignment="1" applyProtection="1">
      <alignment horizontal="right"/>
    </xf>
    <xf numFmtId="37" fontId="147" fillId="3" borderId="0" xfId="505" applyNumberFormat="1" applyFont="1" applyFill="1" applyProtection="1"/>
    <xf numFmtId="259" fontId="147" fillId="3" borderId="0" xfId="505" applyNumberFormat="1" applyFont="1" applyFill="1" applyProtection="1"/>
    <xf numFmtId="9" fontId="151" fillId="3" borderId="0" xfId="505" applyFont="1" applyFill="1"/>
    <xf numFmtId="9" fontId="151" fillId="0" borderId="0" xfId="505" applyFont="1" applyAlignment="1" applyProtection="1">
      <alignment horizontal="right"/>
    </xf>
    <xf numFmtId="0" fontId="148" fillId="0" borderId="45" xfId="506" applyFont="1" applyBorder="1" applyAlignment="1">
      <alignment horizontal="center"/>
    </xf>
    <xf numFmtId="5" fontId="148" fillId="0" borderId="45" xfId="94" applyNumberFormat="1" applyFont="1" applyBorder="1" applyProtection="1"/>
    <xf numFmtId="167" fontId="147" fillId="0" borderId="45" xfId="207" applyNumberFormat="1" applyFont="1" applyBorder="1" applyProtection="1"/>
    <xf numFmtId="0" fontId="3" fillId="0" borderId="45" xfId="1" applyFont="1" applyBorder="1"/>
    <xf numFmtId="167" fontId="3" fillId="0" borderId="45" xfId="505" applyNumberFormat="1" applyFont="1" applyFill="1" applyBorder="1"/>
    <xf numFmtId="5" fontId="147" fillId="0" borderId="45" xfId="177" applyNumberFormat="1" applyFont="1" applyBorder="1" applyAlignment="1">
      <alignment horizontal="right"/>
    </xf>
    <xf numFmtId="37" fontId="147" fillId="0" borderId="45" xfId="94" applyNumberFormat="1" applyFont="1" applyBorder="1" applyProtection="1"/>
    <xf numFmtId="37" fontId="147" fillId="0" borderId="45" xfId="177" applyNumberFormat="1" applyFont="1" applyBorder="1" applyAlignment="1">
      <alignment horizontal="right"/>
    </xf>
    <xf numFmtId="5" fontId="147" fillId="0" borderId="45" xfId="506" applyNumberFormat="1" applyFont="1" applyBorder="1" applyAlignment="1">
      <alignment horizontal="right"/>
    </xf>
    <xf numFmtId="37" fontId="147" fillId="0" borderId="45" xfId="2" applyNumberFormat="1" applyFont="1" applyBorder="1" applyAlignment="1" applyProtection="1">
      <alignment horizontal="right"/>
    </xf>
    <xf numFmtId="37" fontId="147" fillId="0" borderId="45" xfId="506" applyNumberFormat="1" applyFont="1" applyBorder="1"/>
    <xf numFmtId="37" fontId="148" fillId="0" borderId="45" xfId="506" applyNumberFormat="1" applyFont="1" applyBorder="1"/>
    <xf numFmtId="37" fontId="147" fillId="0" borderId="45" xfId="177" applyNumberFormat="1" applyFont="1" applyBorder="1"/>
    <xf numFmtId="167" fontId="150" fillId="0" borderId="45" xfId="177" applyNumberFormat="1" applyFont="1" applyBorder="1" applyAlignment="1">
      <alignment horizontal="right"/>
    </xf>
    <xf numFmtId="167" fontId="147" fillId="0" borderId="45" xfId="177" applyNumberFormat="1" applyFont="1" applyBorder="1"/>
    <xf numFmtId="37" fontId="147" fillId="0" borderId="45" xfId="506" applyNumberFormat="1" applyFont="1" applyBorder="1" applyAlignment="1">
      <alignment horizontal="right"/>
    </xf>
    <xf numFmtId="37" fontId="148" fillId="0" borderId="45" xfId="94" applyNumberFormat="1" applyFont="1" applyBorder="1" applyProtection="1"/>
    <xf numFmtId="167" fontId="147" fillId="0" borderId="45" xfId="506" applyNumberFormat="1" applyFont="1" applyBorder="1" applyAlignment="1">
      <alignment horizontal="right"/>
    </xf>
    <xf numFmtId="164" fontId="147" fillId="0" borderId="45" xfId="506" applyNumberFormat="1" applyFont="1" applyBorder="1" applyAlignment="1">
      <alignment horizontal="right"/>
    </xf>
    <xf numFmtId="167" fontId="147" fillId="0" borderId="45" xfId="506" applyNumberFormat="1" applyFont="1" applyBorder="1"/>
    <xf numFmtId="7" fontId="148" fillId="0" borderId="45" xfId="506" applyNumberFormat="1" applyFont="1" applyBorder="1"/>
    <xf numFmtId="7" fontId="147" fillId="0" borderId="45" xfId="506" applyNumberFormat="1" applyFont="1" applyBorder="1"/>
    <xf numFmtId="164" fontId="147" fillId="0" borderId="45" xfId="506" applyNumberFormat="1" applyFont="1" applyBorder="1"/>
    <xf numFmtId="37" fontId="147" fillId="0" borderId="45" xfId="2" applyNumberFormat="1" applyFont="1" applyBorder="1"/>
    <xf numFmtId="9" fontId="147" fillId="0" borderId="45" xfId="505" applyFont="1" applyBorder="1"/>
    <xf numFmtId="167" fontId="147" fillId="0" borderId="45" xfId="505" applyNumberFormat="1" applyFont="1" applyFill="1" applyBorder="1"/>
    <xf numFmtId="259" fontId="147" fillId="0" borderId="45" xfId="505" applyNumberFormat="1" applyFont="1" applyBorder="1" applyAlignment="1" applyProtection="1">
      <alignment horizontal="right" vertical="center"/>
    </xf>
    <xf numFmtId="37" fontId="148" fillId="0" borderId="45" xfId="94" applyNumberFormat="1" applyFont="1" applyFill="1" applyBorder="1" applyProtection="1"/>
    <xf numFmtId="7" fontId="160" fillId="0" borderId="45" xfId="94" applyNumberFormat="1" applyFont="1" applyBorder="1" applyProtection="1"/>
    <xf numFmtId="7" fontId="148" fillId="0" borderId="45" xfId="94" applyNumberFormat="1" applyFont="1" applyBorder="1" applyProtection="1"/>
    <xf numFmtId="9" fontId="147" fillId="0" borderId="45" xfId="505" applyFont="1" applyBorder="1" applyProtection="1"/>
    <xf numFmtId="0" fontId="148" fillId="0" borderId="46" xfId="1" applyFont="1" applyBorder="1" applyAlignment="1">
      <alignment horizontal="center"/>
    </xf>
    <xf numFmtId="0" fontId="147" fillId="0" borderId="46" xfId="1" applyFont="1" applyBorder="1"/>
    <xf numFmtId="37" fontId="148" fillId="0" borderId="46" xfId="1" applyNumberFormat="1" applyFont="1" applyBorder="1"/>
    <xf numFmtId="37" fontId="147" fillId="0" borderId="46" xfId="1" applyNumberFormat="1" applyFont="1" applyBorder="1"/>
    <xf numFmtId="37" fontId="147" fillId="0" borderId="46" xfId="1" applyNumberFormat="1" applyFont="1" applyBorder="1" applyAlignment="1">
      <alignment horizontal="right"/>
    </xf>
    <xf numFmtId="164" fontId="147" fillId="0" borderId="46" xfId="1" applyNumberFormat="1" applyFont="1" applyBorder="1"/>
    <xf numFmtId="7" fontId="147" fillId="0" borderId="46" xfId="1" applyNumberFormat="1" applyFont="1" applyBorder="1"/>
    <xf numFmtId="5" fontId="147" fillId="0" borderId="46" xfId="1" applyNumberFormat="1" applyFont="1" applyBorder="1"/>
    <xf numFmtId="7" fontId="147" fillId="0" borderId="46" xfId="94" applyNumberFormat="1" applyFont="1" applyFill="1" applyBorder="1" applyProtection="1"/>
    <xf numFmtId="211" fontId="147" fillId="0" borderId="46" xfId="2" applyNumberFormat="1" applyFont="1" applyFill="1" applyBorder="1" applyProtection="1"/>
    <xf numFmtId="259" fontId="147" fillId="0" borderId="46" xfId="1" applyNumberFormat="1" applyFont="1" applyBorder="1"/>
    <xf numFmtId="9" fontId="147" fillId="0" borderId="46" xfId="505" applyFont="1" applyBorder="1"/>
    <xf numFmtId="0" fontId="151" fillId="0" borderId="46" xfId="1" applyFont="1" applyBorder="1"/>
    <xf numFmtId="9" fontId="147" fillId="0" borderId="46" xfId="1" applyNumberFormat="1" applyFont="1" applyBorder="1"/>
    <xf numFmtId="211" fontId="147" fillId="0" borderId="46" xfId="1" applyNumberFormat="1" applyFont="1" applyBorder="1"/>
    <xf numFmtId="9" fontId="147" fillId="0" borderId="46" xfId="505" applyFont="1" applyFill="1" applyBorder="1"/>
    <xf numFmtId="9" fontId="151" fillId="0" borderId="46" xfId="505" applyFont="1" applyFill="1" applyBorder="1"/>
    <xf numFmtId="0" fontId="158" fillId="0" borderId="46" xfId="1" applyFont="1" applyBorder="1"/>
    <xf numFmtId="0" fontId="147" fillId="0" borderId="47" xfId="1" applyFont="1" applyBorder="1"/>
    <xf numFmtId="37" fontId="147" fillId="40" borderId="46" xfId="1" applyNumberFormat="1" applyFont="1" applyFill="1" applyBorder="1"/>
    <xf numFmtId="9" fontId="147" fillId="40" borderId="46" xfId="505" applyFont="1" applyFill="1" applyBorder="1"/>
    <xf numFmtId="0" fontId="151" fillId="40" borderId="46" xfId="1" applyFont="1" applyFill="1" applyBorder="1"/>
    <xf numFmtId="9" fontId="147" fillId="40" borderId="46" xfId="1" applyNumberFormat="1" applyFont="1" applyFill="1" applyBorder="1"/>
    <xf numFmtId="211" fontId="147" fillId="40" borderId="46" xfId="1" applyNumberFormat="1" applyFont="1" applyFill="1" applyBorder="1"/>
    <xf numFmtId="37" fontId="147" fillId="40" borderId="46" xfId="1" applyNumberFormat="1" applyFont="1" applyFill="1" applyBorder="1" applyAlignment="1">
      <alignment horizontal="right"/>
    </xf>
    <xf numFmtId="9" fontId="151" fillId="40" borderId="46" xfId="505" applyFont="1" applyFill="1" applyBorder="1"/>
    <xf numFmtId="0" fontId="147" fillId="40" borderId="46" xfId="1" applyFont="1" applyFill="1" applyBorder="1"/>
    <xf numFmtId="0" fontId="158" fillId="40" borderId="46" xfId="1" applyFont="1" applyFill="1" applyBorder="1"/>
    <xf numFmtId="9" fontId="147" fillId="40" borderId="47" xfId="505" applyFont="1" applyFill="1" applyBorder="1"/>
    <xf numFmtId="0" fontId="147" fillId="40" borderId="47" xfId="1" applyFont="1" applyFill="1" applyBorder="1"/>
    <xf numFmtId="0" fontId="147" fillId="40" borderId="48" xfId="1" applyFont="1" applyFill="1" applyBorder="1"/>
    <xf numFmtId="37" fontId="147" fillId="0" borderId="48" xfId="1" applyNumberFormat="1" applyFont="1" applyBorder="1"/>
    <xf numFmtId="37" fontId="147" fillId="40" borderId="48" xfId="1" applyNumberFormat="1" applyFont="1" applyFill="1" applyBorder="1"/>
    <xf numFmtId="9" fontId="147" fillId="0" borderId="46" xfId="505" applyFont="1" applyBorder="1" applyAlignment="1" applyProtection="1">
      <alignment horizontal="right"/>
    </xf>
    <xf numFmtId="37" fontId="151" fillId="0" borderId="46" xfId="1" applyNumberFormat="1" applyFont="1" applyBorder="1"/>
    <xf numFmtId="0" fontId="148" fillId="0" borderId="46" xfId="1" applyFont="1" applyBorder="1"/>
    <xf numFmtId="9" fontId="147" fillId="0" borderId="47" xfId="505" applyFont="1" applyBorder="1"/>
    <xf numFmtId="0" fontId="3" fillId="0" borderId="41" xfId="1" applyFont="1" applyBorder="1"/>
    <xf numFmtId="0" fontId="148" fillId="0" borderId="46" xfId="177" applyFont="1" applyBorder="1" applyAlignment="1">
      <alignment horizontal="center"/>
    </xf>
    <xf numFmtId="0" fontId="157" fillId="0" borderId="46" xfId="317" applyFont="1" applyBorder="1" applyAlignment="1">
      <alignment horizontal="center"/>
    </xf>
    <xf numFmtId="37" fontId="147" fillId="0" borderId="46" xfId="2" applyNumberFormat="1" applyFont="1" applyBorder="1" applyAlignment="1" applyProtection="1">
      <alignment horizontal="right"/>
    </xf>
    <xf numFmtId="37" fontId="147" fillId="0" borderId="46" xfId="177" applyNumberFormat="1" applyFont="1" applyBorder="1"/>
    <xf numFmtId="9" fontId="147" fillId="0" borderId="46" xfId="207" applyFont="1" applyBorder="1" applyAlignment="1" applyProtection="1">
      <alignment horizontal="right"/>
    </xf>
    <xf numFmtId="165" fontId="147" fillId="0" borderId="46" xfId="2" applyNumberFormat="1" applyFont="1" applyBorder="1" applyAlignment="1" applyProtection="1">
      <alignment horizontal="right"/>
    </xf>
    <xf numFmtId="37" fontId="147" fillId="0" borderId="46" xfId="2" applyNumberFormat="1" applyFont="1" applyBorder="1"/>
    <xf numFmtId="7" fontId="147" fillId="0" borderId="46" xfId="2" applyNumberFormat="1" applyFont="1" applyBorder="1" applyAlignment="1" applyProtection="1">
      <alignment horizontal="right"/>
    </xf>
    <xf numFmtId="5" fontId="147" fillId="0" borderId="46" xfId="320" applyNumberFormat="1" applyFont="1" applyBorder="1"/>
    <xf numFmtId="9" fontId="147" fillId="0" borderId="46" xfId="2" applyNumberFormat="1" applyFont="1" applyBorder="1" applyAlignment="1" applyProtection="1">
      <alignment horizontal="right"/>
    </xf>
    <xf numFmtId="0" fontId="147" fillId="0" borderId="46" xfId="321" applyFont="1" applyBorder="1"/>
    <xf numFmtId="259" fontId="147" fillId="0" borderId="46" xfId="2" applyNumberFormat="1" applyFont="1" applyFill="1" applyBorder="1"/>
    <xf numFmtId="259" fontId="147" fillId="0" borderId="46" xfId="2" applyNumberFormat="1" applyFont="1" applyFill="1" applyBorder="1" applyAlignment="1" applyProtection="1">
      <alignment horizontal="right"/>
    </xf>
    <xf numFmtId="165" fontId="147" fillId="0" borderId="46" xfId="2" applyNumberFormat="1" applyFont="1" applyFill="1" applyBorder="1"/>
    <xf numFmtId="167" fontId="147" fillId="0" borderId="46" xfId="207" applyNumberFormat="1" applyFont="1" applyBorder="1"/>
    <xf numFmtId="167" fontId="147" fillId="0" borderId="46" xfId="207" applyNumberFormat="1" applyFont="1" applyFill="1" applyBorder="1" applyAlignment="1" applyProtection="1">
      <alignment horizontal="right"/>
    </xf>
    <xf numFmtId="211" fontId="147" fillId="0" borderId="46" xfId="2" applyNumberFormat="1" applyFont="1" applyFill="1" applyBorder="1"/>
    <xf numFmtId="9" fontId="148" fillId="0" borderId="46" xfId="505" applyFont="1" applyBorder="1" applyAlignment="1">
      <alignment horizontal="center"/>
    </xf>
    <xf numFmtId="0" fontId="148" fillId="0" borderId="46" xfId="505" applyNumberFormat="1" applyFont="1" applyBorder="1" applyAlignment="1">
      <alignment horizontal="center"/>
    </xf>
    <xf numFmtId="9" fontId="147" fillId="0" borderId="46" xfId="505" applyFont="1" applyFill="1" applyBorder="1" applyAlignment="1" applyProtection="1">
      <alignment horizontal="right"/>
    </xf>
    <xf numFmtId="37" fontId="147" fillId="0" borderId="46" xfId="505" applyNumberFormat="1" applyFont="1" applyBorder="1" applyProtection="1"/>
    <xf numFmtId="259" fontId="147" fillId="0" borderId="46" xfId="505" applyNumberFormat="1" applyFont="1" applyBorder="1" applyProtection="1"/>
    <xf numFmtId="37" fontId="153" fillId="0" borderId="46" xfId="505" applyNumberFormat="1" applyFont="1" applyFill="1" applyBorder="1" applyAlignment="1" applyProtection="1">
      <alignment horizontal="right"/>
    </xf>
    <xf numFmtId="259" fontId="148" fillId="0" borderId="46" xfId="505" applyNumberFormat="1" applyFont="1" applyBorder="1" applyProtection="1"/>
    <xf numFmtId="259" fontId="147" fillId="0" borderId="46" xfId="505" applyNumberFormat="1" applyFont="1" applyBorder="1" applyAlignment="1" applyProtection="1">
      <alignment horizontal="right"/>
    </xf>
    <xf numFmtId="259" fontId="148" fillId="0" borderId="46" xfId="505" applyNumberFormat="1" applyFont="1" applyBorder="1" applyAlignment="1" applyProtection="1">
      <alignment horizontal="right"/>
    </xf>
    <xf numFmtId="259" fontId="147" fillId="0" borderId="46" xfId="505" applyNumberFormat="1" applyFont="1" applyBorder="1" applyAlignment="1" applyProtection="1">
      <alignment horizontal="right" vertical="center"/>
    </xf>
    <xf numFmtId="37" fontId="147" fillId="0" borderId="46" xfId="320" applyNumberFormat="1" applyFont="1" applyBorder="1"/>
    <xf numFmtId="9" fontId="151" fillId="0" borderId="46" xfId="505" applyFont="1" applyBorder="1"/>
    <xf numFmtId="2" fontId="147" fillId="0" borderId="46" xfId="505" applyNumberFormat="1" applyFont="1" applyFill="1" applyBorder="1" applyAlignment="1" applyProtection="1">
      <alignment horizontal="right"/>
    </xf>
    <xf numFmtId="37" fontId="151" fillId="0" borderId="46" xfId="505" applyNumberFormat="1" applyFont="1" applyBorder="1" applyProtection="1"/>
    <xf numFmtId="5" fontId="147" fillId="0" borderId="46" xfId="505" applyNumberFormat="1" applyFont="1" applyFill="1" applyBorder="1" applyAlignment="1" applyProtection="1">
      <alignment horizontal="right"/>
    </xf>
    <xf numFmtId="37" fontId="147" fillId="0" borderId="46" xfId="2" applyNumberFormat="1" applyFont="1" applyFill="1" applyBorder="1" applyAlignment="1" applyProtection="1">
      <alignment horizontal="right"/>
    </xf>
    <xf numFmtId="37" fontId="147" fillId="0" borderId="46" xfId="207" applyNumberFormat="1" applyFont="1" applyFill="1" applyBorder="1" applyAlignment="1" applyProtection="1">
      <alignment horizontal="right"/>
    </xf>
    <xf numFmtId="5" fontId="148" fillId="0" borderId="46" xfId="505" applyNumberFormat="1" applyFont="1" applyFill="1" applyBorder="1" applyAlignment="1" applyProtection="1">
      <alignment horizontal="right"/>
    </xf>
    <xf numFmtId="37" fontId="147" fillId="0" borderId="46" xfId="94" applyNumberFormat="1" applyFont="1" applyBorder="1" applyProtection="1"/>
    <xf numFmtId="37" fontId="148" fillId="0" borderId="46" xfId="505" applyNumberFormat="1" applyFont="1" applyBorder="1" applyProtection="1"/>
    <xf numFmtId="0" fontId="95" fillId="0" borderId="46" xfId="320" applyBorder="1"/>
    <xf numFmtId="10" fontId="147" fillId="0" borderId="46" xfId="505" applyNumberFormat="1" applyFont="1" applyFill="1" applyBorder="1"/>
    <xf numFmtId="9" fontId="0" fillId="0" borderId="46" xfId="505" applyFont="1" applyBorder="1"/>
    <xf numFmtId="10" fontId="147" fillId="0" borderId="46" xfId="505" applyNumberFormat="1" applyFont="1" applyBorder="1"/>
    <xf numFmtId="9" fontId="0" fillId="0" borderId="49" xfId="505" applyFont="1" applyBorder="1"/>
    <xf numFmtId="259" fontId="147" fillId="40" borderId="46" xfId="1" applyNumberFormat="1" applyFont="1" applyFill="1" applyBorder="1"/>
    <xf numFmtId="37" fontId="148" fillId="40" borderId="46" xfId="1" applyNumberFormat="1" applyFont="1" applyFill="1" applyBorder="1"/>
    <xf numFmtId="9" fontId="151" fillId="40" borderId="49" xfId="505" applyFont="1" applyFill="1" applyBorder="1"/>
    <xf numFmtId="10" fontId="147" fillId="40" borderId="46" xfId="505" applyNumberFormat="1" applyFont="1" applyFill="1" applyBorder="1"/>
    <xf numFmtId="10" fontId="158" fillId="40" borderId="49" xfId="505" applyNumberFormat="1" applyFont="1" applyFill="1" applyBorder="1"/>
    <xf numFmtId="0" fontId="158" fillId="40" borderId="49" xfId="1" applyFont="1" applyFill="1" applyBorder="1"/>
    <xf numFmtId="9" fontId="147" fillId="0" borderId="46" xfId="2" applyNumberFormat="1" applyFont="1" applyBorder="1"/>
    <xf numFmtId="37" fontId="147" fillId="0" borderId="46" xfId="2" quotePrefix="1" applyNumberFormat="1" applyFont="1" applyBorder="1"/>
    <xf numFmtId="259" fontId="147" fillId="3" borderId="0" xfId="1" applyNumberFormat="1" applyFont="1" applyFill="1"/>
    <xf numFmtId="37" fontId="147" fillId="3" borderId="0" xfId="2" applyNumberFormat="1" applyFont="1" applyFill="1"/>
    <xf numFmtId="0" fontId="147" fillId="41" borderId="0" xfId="321" applyFont="1" applyFill="1"/>
    <xf numFmtId="0" fontId="147" fillId="41" borderId="46" xfId="321" applyFont="1" applyFill="1" applyBorder="1"/>
    <xf numFmtId="0" fontId="161" fillId="41" borderId="0" xfId="177" applyFont="1" applyFill="1"/>
    <xf numFmtId="0" fontId="147" fillId="41" borderId="0" xfId="506" applyFont="1" applyFill="1"/>
    <xf numFmtId="9" fontId="147" fillId="41" borderId="0" xfId="2" applyNumberFormat="1" applyFont="1" applyFill="1"/>
    <xf numFmtId="9" fontId="147" fillId="41" borderId="46" xfId="2" applyNumberFormat="1" applyFont="1" applyFill="1" applyBorder="1"/>
    <xf numFmtId="0" fontId="160" fillId="41" borderId="0" xfId="321" applyFont="1" applyFill="1"/>
    <xf numFmtId="37" fontId="147" fillId="3" borderId="0" xfId="177" applyNumberFormat="1" applyFont="1" applyFill="1" applyAlignment="1">
      <alignment horizontal="right"/>
    </xf>
    <xf numFmtId="37" fontId="147" fillId="3" borderId="0" xfId="506" applyNumberFormat="1" applyFont="1" applyFill="1"/>
    <xf numFmtId="262" fontId="147" fillId="0" borderId="0" xfId="505" applyNumberFormat="1" applyFont="1" applyAlignment="1" applyProtection="1">
      <alignment horizontal="right"/>
    </xf>
    <xf numFmtId="259" fontId="147" fillId="0" borderId="0" xfId="505" applyNumberFormat="1" applyFont="1" applyFill="1" applyAlignment="1" applyProtection="1">
      <alignment horizontal="right"/>
    </xf>
    <xf numFmtId="0" fontId="3" fillId="42" borderId="0" xfId="506" applyFont="1" applyFill="1"/>
    <xf numFmtId="0" fontId="94" fillId="42" borderId="0" xfId="506" applyFont="1" applyFill="1"/>
    <xf numFmtId="43" fontId="94" fillId="42" borderId="1" xfId="506" applyNumberFormat="1" applyFont="1" applyFill="1" applyBorder="1"/>
    <xf numFmtId="0" fontId="101" fillId="42" borderId="4" xfId="320" applyFont="1" applyFill="1" applyBorder="1" applyAlignment="1" applyProtection="1">
      <alignment horizontal="left"/>
    </xf>
    <xf numFmtId="0" fontId="101" fillId="42" borderId="4" xfId="320" applyFont="1" applyFill="1" applyBorder="1" applyProtection="1"/>
    <xf numFmtId="43" fontId="101" fillId="42" borderId="4" xfId="320" applyNumberFormat="1" applyFont="1" applyFill="1" applyBorder="1" applyProtection="1"/>
    <xf numFmtId="0" fontId="101" fillId="42" borderId="4" xfId="320" quotePrefix="1" applyFont="1" applyFill="1" applyBorder="1" applyAlignment="1" applyProtection="1">
      <alignment horizontal="left"/>
    </xf>
    <xf numFmtId="0" fontId="156" fillId="42" borderId="0" xfId="320" applyFont="1" applyFill="1"/>
    <xf numFmtId="167" fontId="156" fillId="42" borderId="0" xfId="207" applyNumberFormat="1" applyFont="1" applyFill="1" applyAlignment="1" applyProtection="1">
      <alignment horizontal="right"/>
    </xf>
    <xf numFmtId="0" fontId="105" fillId="42" borderId="0" xfId="321" applyFont="1" applyFill="1"/>
    <xf numFmtId="0" fontId="5" fillId="42" borderId="4" xfId="321" applyFill="1" applyBorder="1"/>
    <xf numFmtId="0" fontId="147" fillId="42" borderId="0" xfId="321" applyFont="1" applyFill="1"/>
    <xf numFmtId="0" fontId="3" fillId="42" borderId="0" xfId="1" applyFont="1" applyFill="1" applyAlignment="1">
      <alignment wrapText="1"/>
    </xf>
    <xf numFmtId="0" fontId="3" fillId="42" borderId="3" xfId="1" applyFont="1" applyFill="1" applyBorder="1"/>
    <xf numFmtId="0" fontId="94" fillId="42" borderId="1" xfId="1" applyFont="1" applyFill="1" applyBorder="1" applyAlignment="1">
      <alignment wrapText="1"/>
    </xf>
    <xf numFmtId="0" fontId="94" fillId="42" borderId="1" xfId="1" applyFont="1" applyFill="1" applyBorder="1"/>
    <xf numFmtId="0" fontId="3" fillId="42" borderId="0" xfId="1" applyFont="1" applyFill="1"/>
    <xf numFmtId="0" fontId="148" fillId="42" borderId="1" xfId="1" applyFont="1" applyFill="1" applyBorder="1"/>
    <xf numFmtId="0" fontId="147" fillId="42" borderId="1" xfId="1" applyFont="1" applyFill="1" applyBorder="1"/>
    <xf numFmtId="9" fontId="101" fillId="42" borderId="4" xfId="505" applyFont="1" applyFill="1" applyBorder="1" applyProtection="1"/>
    <xf numFmtId="9" fontId="101" fillId="42" borderId="4" xfId="505" quotePrefix="1" applyFont="1" applyFill="1" applyBorder="1" applyAlignment="1" applyProtection="1">
      <alignment horizontal="left"/>
    </xf>
    <xf numFmtId="0" fontId="156" fillId="42" borderId="43" xfId="320" applyFont="1" applyFill="1" applyBorder="1"/>
    <xf numFmtId="9" fontId="156" fillId="42" borderId="43" xfId="505" applyFont="1" applyFill="1" applyBorder="1" applyAlignment="1" applyProtection="1">
      <alignment horizontal="right"/>
    </xf>
    <xf numFmtId="9" fontId="156" fillId="42" borderId="0" xfId="505" applyFont="1" applyFill="1" applyAlignment="1" applyProtection="1">
      <alignment horizontal="right"/>
    </xf>
    <xf numFmtId="0" fontId="94" fillId="42" borderId="0" xfId="1" applyFont="1" applyFill="1"/>
    <xf numFmtId="7" fontId="94" fillId="42" borderId="0" xfId="1" applyNumberFormat="1" applyFont="1" applyFill="1"/>
    <xf numFmtId="0" fontId="5" fillId="42" borderId="0" xfId="1" applyFont="1" applyFill="1"/>
    <xf numFmtId="215" fontId="147" fillId="0" borderId="0" xfId="505" applyNumberFormat="1" applyFont="1" applyFill="1" applyAlignment="1" applyProtection="1">
      <alignment horizontal="right"/>
    </xf>
    <xf numFmtId="0" fontId="156" fillId="3" borderId="0" xfId="320" applyFont="1" applyFill="1"/>
    <xf numFmtId="9" fontId="156" fillId="3" borderId="0" xfId="505" applyFont="1" applyFill="1" applyBorder="1" applyAlignment="1" applyProtection="1">
      <alignment horizontal="right"/>
    </xf>
    <xf numFmtId="0" fontId="95" fillId="3" borderId="0" xfId="320" applyFill="1"/>
    <xf numFmtId="167" fontId="156" fillId="3" borderId="0" xfId="207" applyNumberFormat="1" applyFont="1" applyFill="1" applyAlignment="1" applyProtection="1">
      <alignment horizontal="right"/>
    </xf>
    <xf numFmtId="37" fontId="151" fillId="0" borderId="0" xfId="177" applyNumberFormat="1" applyFont="1"/>
    <xf numFmtId="37" fontId="147" fillId="3" borderId="46" xfId="177" applyNumberFormat="1" applyFont="1" applyFill="1" applyBorder="1"/>
    <xf numFmtId="9" fontId="147" fillId="3" borderId="0" xfId="207" applyFont="1" applyFill="1" applyAlignment="1" applyProtection="1">
      <alignment horizontal="right"/>
    </xf>
    <xf numFmtId="9" fontId="147" fillId="3" borderId="46" xfId="207" applyFont="1" applyFill="1" applyBorder="1" applyAlignment="1" applyProtection="1">
      <alignment horizontal="right"/>
    </xf>
    <xf numFmtId="9" fontId="147" fillId="3" borderId="0" xfId="2" applyNumberFormat="1" applyFont="1" applyFill="1" applyAlignment="1" applyProtection="1">
      <alignment horizontal="right"/>
    </xf>
    <xf numFmtId="37" fontId="147" fillId="3" borderId="46" xfId="2" applyNumberFormat="1" applyFont="1" applyFill="1" applyBorder="1"/>
    <xf numFmtId="167" fontId="147" fillId="3" borderId="0" xfId="207" applyNumberFormat="1" applyFont="1" applyFill="1" applyAlignment="1" applyProtection="1">
      <alignment horizontal="right"/>
    </xf>
    <xf numFmtId="164" fontId="147" fillId="0" borderId="46" xfId="506" applyNumberFormat="1" applyFont="1" applyBorder="1"/>
    <xf numFmtId="37" fontId="147" fillId="0" borderId="46" xfId="506" applyNumberFormat="1" applyFont="1" applyBorder="1"/>
    <xf numFmtId="9" fontId="147" fillId="0" borderId="46" xfId="505" applyFont="1" applyBorder="1" applyProtection="1"/>
    <xf numFmtId="259" fontId="147" fillId="3" borderId="46" xfId="2" applyNumberFormat="1" applyFont="1" applyFill="1" applyBorder="1"/>
    <xf numFmtId="259" fontId="151" fillId="3" borderId="0" xfId="2" applyNumberFormat="1" applyFont="1" applyFill="1"/>
    <xf numFmtId="5" fontId="148" fillId="3" borderId="45" xfId="94" applyNumberFormat="1" applyFont="1" applyFill="1" applyBorder="1" applyProtection="1"/>
    <xf numFmtId="5" fontId="147" fillId="3" borderId="0" xfId="177" applyNumberFormat="1" applyFont="1" applyFill="1" applyAlignment="1">
      <alignment horizontal="right"/>
    </xf>
    <xf numFmtId="0" fontId="148" fillId="3" borderId="2" xfId="506" applyFont="1" applyFill="1" applyBorder="1" applyAlignment="1">
      <alignment horizontal="centerContinuous"/>
    </xf>
    <xf numFmtId="37" fontId="147" fillId="3" borderId="0" xfId="1" applyNumberFormat="1" applyFont="1" applyFill="1" applyAlignment="1">
      <alignment horizontal="right"/>
    </xf>
    <xf numFmtId="37" fontId="148" fillId="3" borderId="0" xfId="1" applyNumberFormat="1" applyFont="1" applyFill="1"/>
    <xf numFmtId="0" fontId="3" fillId="43" borderId="0" xfId="506" applyFont="1" applyFill="1"/>
    <xf numFmtId="5" fontId="147" fillId="43" borderId="0" xfId="177" applyNumberFormat="1" applyFont="1" applyFill="1" applyAlignment="1">
      <alignment horizontal="left" indent="4"/>
    </xf>
    <xf numFmtId="0" fontId="148" fillId="43" borderId="0" xfId="506" applyFont="1" applyFill="1"/>
    <xf numFmtId="37" fontId="147" fillId="43" borderId="0" xfId="177" applyNumberFormat="1" applyFont="1" applyFill="1"/>
    <xf numFmtId="37" fontId="147" fillId="43" borderId="45" xfId="94" applyNumberFormat="1" applyFont="1" applyFill="1" applyBorder="1" applyProtection="1"/>
    <xf numFmtId="0" fontId="147" fillId="43" borderId="0" xfId="506" applyFont="1" applyFill="1" applyAlignment="1">
      <alignment horizontal="left" indent="4"/>
    </xf>
    <xf numFmtId="0" fontId="150" fillId="43" borderId="0" xfId="506" applyFont="1" applyFill="1"/>
    <xf numFmtId="167" fontId="147" fillId="43" borderId="0" xfId="207" applyNumberFormat="1" applyFont="1" applyFill="1" applyProtection="1"/>
    <xf numFmtId="167" fontId="147" fillId="43" borderId="45" xfId="207" applyNumberFormat="1" applyFont="1" applyFill="1" applyBorder="1" applyProtection="1"/>
    <xf numFmtId="0" fontId="3" fillId="43" borderId="0" xfId="1" applyFont="1" applyFill="1"/>
    <xf numFmtId="0" fontId="147" fillId="43" borderId="0" xfId="320" applyFont="1" applyFill="1" applyAlignment="1" applyProtection="1">
      <alignment horizontal="left" indent="4"/>
    </xf>
    <xf numFmtId="164" fontId="3" fillId="43" borderId="0" xfId="1" applyNumberFormat="1" applyFont="1" applyFill="1"/>
    <xf numFmtId="0" fontId="3" fillId="43" borderId="45" xfId="1" applyFont="1" applyFill="1" applyBorder="1"/>
    <xf numFmtId="167" fontId="147" fillId="43" borderId="0" xfId="505" applyNumberFormat="1" applyFont="1" applyFill="1"/>
    <xf numFmtId="167" fontId="147" fillId="43" borderId="45" xfId="505" applyNumberFormat="1" applyFont="1" applyFill="1" applyBorder="1"/>
    <xf numFmtId="167" fontId="3" fillId="43" borderId="0" xfId="505" applyNumberFormat="1" applyFont="1" applyFill="1" applyBorder="1"/>
    <xf numFmtId="167" fontId="147" fillId="43" borderId="0" xfId="505" applyNumberFormat="1" applyFont="1" applyFill="1" applyBorder="1"/>
    <xf numFmtId="167" fontId="3" fillId="43" borderId="45" xfId="505" applyNumberFormat="1" applyFont="1" applyFill="1" applyBorder="1"/>
    <xf numFmtId="0" fontId="147" fillId="43" borderId="0" xfId="177" applyFont="1" applyFill="1" applyAlignment="1">
      <alignment horizontal="left" indent="4"/>
    </xf>
    <xf numFmtId="5" fontId="147" fillId="43" borderId="0" xfId="177" applyNumberFormat="1" applyFont="1" applyFill="1" applyAlignment="1">
      <alignment horizontal="left" indent="3"/>
    </xf>
    <xf numFmtId="5" fontId="148" fillId="43" borderId="0" xfId="506" applyNumberFormat="1" applyFont="1" applyFill="1"/>
    <xf numFmtId="5" fontId="147" fillId="43" borderId="0" xfId="94" applyNumberFormat="1" applyFont="1" applyFill="1" applyProtection="1"/>
    <xf numFmtId="5" fontId="147" fillId="43" borderId="45" xfId="94" applyNumberFormat="1" applyFont="1" applyFill="1" applyBorder="1" applyProtection="1"/>
    <xf numFmtId="0" fontId="147" fillId="43" borderId="0" xfId="506" applyFont="1" applyFill="1" applyAlignment="1">
      <alignment horizontal="left" indent="3"/>
    </xf>
    <xf numFmtId="0" fontId="147" fillId="43" borderId="0" xfId="320" applyFont="1" applyFill="1" applyAlignment="1" applyProtection="1">
      <alignment horizontal="left" indent="3"/>
    </xf>
    <xf numFmtId="167" fontId="147" fillId="43" borderId="0" xfId="505" applyNumberFormat="1" applyFont="1" applyFill="1" applyBorder="1" applyAlignment="1"/>
    <xf numFmtId="167" fontId="151" fillId="43" borderId="0" xfId="505" applyNumberFormat="1" applyFont="1" applyFill="1"/>
    <xf numFmtId="0" fontId="147" fillId="43" borderId="0" xfId="177" applyFont="1" applyFill="1" applyAlignment="1">
      <alignment horizontal="left" indent="3"/>
    </xf>
    <xf numFmtId="0" fontId="148" fillId="3" borderId="45" xfId="506" applyFont="1" applyFill="1" applyBorder="1" applyAlignment="1">
      <alignment horizontal="center"/>
    </xf>
    <xf numFmtId="167" fontId="147" fillId="3" borderId="45" xfId="207" applyNumberFormat="1" applyFont="1" applyFill="1" applyBorder="1" applyProtection="1"/>
    <xf numFmtId="167" fontId="147" fillId="3" borderId="45" xfId="505" applyNumberFormat="1" applyFont="1" applyFill="1" applyBorder="1"/>
    <xf numFmtId="0" fontId="3" fillId="3" borderId="45" xfId="1" applyFont="1" applyFill="1" applyBorder="1"/>
    <xf numFmtId="5" fontId="147" fillId="3" borderId="45" xfId="94" applyNumberFormat="1" applyFont="1" applyFill="1" applyBorder="1" applyProtection="1"/>
    <xf numFmtId="5" fontId="147" fillId="3" borderId="45" xfId="177" applyNumberFormat="1" applyFont="1" applyFill="1" applyBorder="1" applyAlignment="1">
      <alignment horizontal="right"/>
    </xf>
    <xf numFmtId="37" fontId="147" fillId="3" borderId="0" xfId="177" applyNumberFormat="1" applyFont="1" applyFill="1"/>
    <xf numFmtId="37" fontId="147" fillId="3" borderId="45" xfId="94" applyNumberFormat="1" applyFont="1" applyFill="1" applyBorder="1" applyProtection="1"/>
    <xf numFmtId="37" fontId="148" fillId="3" borderId="45" xfId="94" applyNumberFormat="1" applyFont="1" applyFill="1" applyBorder="1" applyProtection="1"/>
    <xf numFmtId="37" fontId="147" fillId="3" borderId="45" xfId="177" applyNumberFormat="1" applyFont="1" applyFill="1" applyBorder="1" applyAlignment="1">
      <alignment horizontal="right"/>
    </xf>
    <xf numFmtId="5" fontId="147" fillId="3" borderId="0" xfId="506" applyNumberFormat="1" applyFont="1" applyFill="1" applyAlignment="1">
      <alignment horizontal="right"/>
    </xf>
    <xf numFmtId="5" fontId="147" fillId="3" borderId="45" xfId="506" applyNumberFormat="1" applyFont="1" applyFill="1" applyBorder="1" applyAlignment="1">
      <alignment horizontal="right"/>
    </xf>
    <xf numFmtId="37" fontId="147" fillId="3" borderId="0" xfId="506" applyNumberFormat="1" applyFont="1" applyFill="1" applyAlignment="1">
      <alignment horizontal="right"/>
    </xf>
    <xf numFmtId="37" fontId="147" fillId="3" borderId="45" xfId="2" applyNumberFormat="1" applyFont="1" applyFill="1" applyBorder="1" applyAlignment="1" applyProtection="1">
      <alignment horizontal="right"/>
    </xf>
    <xf numFmtId="37" fontId="147" fillId="3" borderId="45" xfId="506" applyNumberFormat="1" applyFont="1" applyFill="1" applyBorder="1"/>
    <xf numFmtId="37" fontId="148" fillId="3" borderId="0" xfId="94" applyNumberFormat="1" applyFont="1" applyFill="1" applyProtection="1"/>
    <xf numFmtId="37" fontId="147" fillId="3" borderId="45" xfId="177" applyNumberFormat="1" applyFont="1" applyFill="1" applyBorder="1"/>
    <xf numFmtId="37" fontId="147" fillId="3" borderId="45" xfId="506" applyNumberFormat="1" applyFont="1" applyFill="1" applyBorder="1" applyAlignment="1">
      <alignment horizontal="right"/>
    </xf>
    <xf numFmtId="167" fontId="147" fillId="3" borderId="0" xfId="506" applyNumberFormat="1" applyFont="1" applyFill="1" applyAlignment="1">
      <alignment horizontal="right"/>
    </xf>
    <xf numFmtId="167" fontId="147" fillId="3" borderId="45" xfId="506" applyNumberFormat="1" applyFont="1" applyFill="1" applyBorder="1" applyAlignment="1">
      <alignment horizontal="right"/>
    </xf>
    <xf numFmtId="167" fontId="147" fillId="3" borderId="0" xfId="506" applyNumberFormat="1" applyFont="1" applyFill="1"/>
    <xf numFmtId="167" fontId="147" fillId="3" borderId="45" xfId="506" applyNumberFormat="1" applyFont="1" applyFill="1" applyBorder="1"/>
    <xf numFmtId="0" fontId="84" fillId="3" borderId="29" xfId="191" applyFont="1" applyFill="1" applyBorder="1" applyAlignment="1">
      <alignment horizontal="center"/>
    </xf>
    <xf numFmtId="260" fontId="5" fillId="0" borderId="0" xfId="321" applyNumberFormat="1"/>
    <xf numFmtId="259" fontId="147" fillId="0" borderId="0" xfId="320" applyNumberFormat="1" applyFont="1"/>
    <xf numFmtId="9" fontId="147" fillId="3" borderId="0" xfId="505" applyFont="1" applyFill="1"/>
    <xf numFmtId="37" fontId="153" fillId="3" borderId="0" xfId="505" applyNumberFormat="1" applyFont="1" applyFill="1" applyAlignment="1" applyProtection="1">
      <alignment horizontal="right"/>
    </xf>
    <xf numFmtId="259" fontId="148" fillId="3" borderId="0" xfId="505" applyNumberFormat="1" applyFont="1" applyFill="1" applyProtection="1"/>
    <xf numFmtId="37" fontId="149" fillId="0" borderId="0" xfId="321" applyNumberFormat="1" applyFont="1"/>
    <xf numFmtId="37" fontId="147" fillId="0" borderId="0" xfId="2" applyNumberFormat="1" applyFont="1" applyFill="1"/>
    <xf numFmtId="37" fontId="151" fillId="0" borderId="0" xfId="2" applyNumberFormat="1" applyFont="1" applyFill="1"/>
    <xf numFmtId="37" fontId="147" fillId="0" borderId="46" xfId="2" applyNumberFormat="1" applyFont="1" applyFill="1" applyBorder="1"/>
    <xf numFmtId="37" fontId="151" fillId="3" borderId="0" xfId="2" applyNumberFormat="1" applyFont="1" applyFill="1"/>
    <xf numFmtId="5" fontId="147" fillId="0" borderId="0" xfId="94" applyNumberFormat="1" applyFont="1" applyFill="1" applyProtection="1"/>
    <xf numFmtId="167" fontId="147" fillId="0" borderId="0" xfId="207" applyNumberFormat="1" applyFont="1" applyFill="1" applyProtection="1"/>
    <xf numFmtId="5" fontId="147" fillId="0" borderId="45" xfId="94" applyNumberFormat="1" applyFont="1" applyFill="1" applyBorder="1" applyProtection="1"/>
    <xf numFmtId="167" fontId="147" fillId="0" borderId="45" xfId="207" applyNumberFormat="1" applyFont="1" applyFill="1" applyBorder="1" applyProtection="1"/>
    <xf numFmtId="37" fontId="147" fillId="0" borderId="45" xfId="94" applyNumberFormat="1" applyFont="1" applyFill="1" applyBorder="1" applyProtection="1"/>
    <xf numFmtId="167" fontId="147" fillId="0" borderId="0" xfId="505" applyNumberFormat="1" applyFont="1" applyFill="1" applyBorder="1" applyAlignment="1">
      <alignment horizontal="right"/>
    </xf>
    <xf numFmtId="9" fontId="3" fillId="0" borderId="1" xfId="505" applyFont="1" applyFill="1" applyBorder="1"/>
    <xf numFmtId="167" fontId="151" fillId="3" borderId="0" xfId="207" applyNumberFormat="1" applyFont="1" applyFill="1" applyProtection="1"/>
    <xf numFmtId="167" fontId="147" fillId="40" borderId="46" xfId="505" applyNumberFormat="1" applyFont="1" applyFill="1" applyBorder="1"/>
    <xf numFmtId="167" fontId="147" fillId="40" borderId="0" xfId="505" applyNumberFormat="1" applyFont="1" applyFill="1"/>
    <xf numFmtId="167" fontId="151" fillId="0" borderId="0" xfId="505" applyNumberFormat="1" applyFont="1"/>
    <xf numFmtId="167" fontId="147" fillId="0" borderId="46" xfId="505" applyNumberFormat="1" applyFont="1" applyBorder="1"/>
    <xf numFmtId="259" fontId="95" fillId="0" borderId="0" xfId="320" applyNumberFormat="1"/>
    <xf numFmtId="9" fontId="95" fillId="0" borderId="0" xfId="320" applyNumberFormat="1"/>
    <xf numFmtId="166" fontId="95" fillId="0" borderId="0" xfId="505" applyNumberFormat="1" applyFont="1"/>
    <xf numFmtId="166" fontId="95" fillId="0" borderId="0" xfId="320" applyNumberFormat="1"/>
    <xf numFmtId="9" fontId="147" fillId="0" borderId="4" xfId="505" applyFont="1" applyFill="1" applyBorder="1"/>
    <xf numFmtId="9" fontId="147" fillId="3" borderId="0" xfId="505" applyFont="1" applyFill="1" applyProtection="1"/>
    <xf numFmtId="264" fontId="148" fillId="0" borderId="0" xfId="505" applyNumberFormat="1" applyFont="1" applyFill="1" applyBorder="1"/>
    <xf numFmtId="259" fontId="147" fillId="3" borderId="0" xfId="2" applyNumberFormat="1" applyFont="1" applyFill="1"/>
    <xf numFmtId="9" fontId="147" fillId="0" borderId="0" xfId="505" applyFont="1" applyAlignment="1">
      <alignment horizontal="right"/>
    </xf>
    <xf numFmtId="41" fontId="148" fillId="0" borderId="0" xfId="94" applyNumberFormat="1" applyFont="1" applyProtection="1"/>
    <xf numFmtId="9" fontId="148" fillId="0" borderId="0" xfId="505" applyFont="1" applyFill="1" applyAlignment="1">
      <alignment horizontal="center"/>
    </xf>
    <xf numFmtId="2" fontId="147" fillId="0" borderId="0" xfId="505" applyNumberFormat="1" applyFont="1" applyFill="1" applyAlignment="1" applyProtection="1">
      <alignment horizontal="right"/>
    </xf>
    <xf numFmtId="37" fontId="3" fillId="0" borderId="0" xfId="1" applyNumberFormat="1" applyFont="1"/>
    <xf numFmtId="9" fontId="3" fillId="0" borderId="0" xfId="505" applyFont="1"/>
    <xf numFmtId="2" fontId="0" fillId="0" borderId="0" xfId="505" applyNumberFormat="1" applyFont="1"/>
    <xf numFmtId="9" fontId="5" fillId="0" borderId="0" xfId="505" applyFont="1" applyBorder="1"/>
    <xf numFmtId="9" fontId="5" fillId="0" borderId="0" xfId="505" applyFont="1" applyFill="1" applyBorder="1"/>
    <xf numFmtId="259" fontId="5" fillId="0" borderId="0" xfId="321" applyNumberFormat="1"/>
    <xf numFmtId="166" fontId="0" fillId="0" borderId="0" xfId="505" applyNumberFormat="1" applyFont="1"/>
    <xf numFmtId="9" fontId="148" fillId="0" borderId="0" xfId="505" applyFont="1" applyProtection="1"/>
    <xf numFmtId="166" fontId="153" fillId="0" borderId="0" xfId="505" applyNumberFormat="1" applyFont="1"/>
    <xf numFmtId="0" fontId="164" fillId="0" borderId="0" xfId="0" applyFont="1"/>
    <xf numFmtId="44" fontId="147" fillId="0" borderId="0" xfId="519" applyFont="1" applyFill="1" applyAlignment="1" applyProtection="1">
      <alignment horizontal="right"/>
    </xf>
    <xf numFmtId="262" fontId="5" fillId="0" borderId="0" xfId="321" applyNumberFormat="1"/>
    <xf numFmtId="0" fontId="165" fillId="0" borderId="0" xfId="321" applyFont="1"/>
    <xf numFmtId="0" fontId="147" fillId="0" borderId="0" xfId="513" applyFont="1" applyAlignment="1">
      <alignment horizontal="left" indent="1"/>
    </xf>
    <xf numFmtId="43" fontId="147" fillId="0" borderId="0" xfId="318" applyFont="1" applyBorder="1"/>
    <xf numFmtId="0" fontId="147" fillId="0" borderId="0" xfId="513" applyFont="1"/>
    <xf numFmtId="166" fontId="5" fillId="0" borderId="0" xfId="321" applyNumberFormat="1"/>
    <xf numFmtId="0" fontId="5" fillId="0" borderId="0" xfId="321" applyAlignment="1">
      <alignment horizontal="left" indent="1"/>
    </xf>
    <xf numFmtId="0" fontId="6" fillId="0" borderId="0" xfId="321" applyFont="1" applyAlignment="1">
      <alignment horizontal="left" indent="1"/>
    </xf>
    <xf numFmtId="211" fontId="5" fillId="0" borderId="0" xfId="2" applyNumberFormat="1" applyFont="1" applyFill="1" applyBorder="1"/>
    <xf numFmtId="211" fontId="166" fillId="0" borderId="0" xfId="2" applyNumberFormat="1" applyFont="1" applyFill="1" applyBorder="1"/>
    <xf numFmtId="262" fontId="5" fillId="0" borderId="0" xfId="2" applyNumberFormat="1" applyBorder="1"/>
    <xf numFmtId="165" fontId="0" fillId="0" borderId="0" xfId="318" applyNumberFormat="1" applyFont="1"/>
    <xf numFmtId="1" fontId="5" fillId="0" borderId="0" xfId="2" applyNumberFormat="1" applyBorder="1"/>
    <xf numFmtId="262" fontId="5" fillId="0" borderId="0" xfId="2" applyNumberFormat="1" applyFont="1" applyBorder="1"/>
    <xf numFmtId="167" fontId="5" fillId="0" borderId="0" xfId="505" applyNumberFormat="1" applyFont="1" applyBorder="1"/>
    <xf numFmtId="211" fontId="167" fillId="0" borderId="0" xfId="505" applyNumberFormat="1" applyFont="1"/>
    <xf numFmtId="2" fontId="147" fillId="0" borderId="0" xfId="505" applyNumberFormat="1" applyFont="1" applyAlignment="1" applyProtection="1">
      <alignment horizontal="right"/>
    </xf>
    <xf numFmtId="9" fontId="147" fillId="0" borderId="0" xfId="94" quotePrefix="1" applyNumberFormat="1" applyFont="1" applyProtection="1"/>
    <xf numFmtId="9" fontId="151" fillId="0" borderId="0" xfId="2" applyNumberFormat="1" applyFont="1" applyAlignment="1" applyProtection="1">
      <alignment horizontal="right"/>
    </xf>
    <xf numFmtId="9" fontId="151" fillId="0" borderId="46" xfId="207" applyFont="1" applyBorder="1" applyAlignment="1" applyProtection="1">
      <alignment horizontal="right"/>
    </xf>
    <xf numFmtId="167" fontId="147" fillId="0" borderId="0" xfId="505" applyNumberFormat="1" applyFont="1" applyAlignment="1" applyProtection="1">
      <alignment horizontal="right"/>
    </xf>
    <xf numFmtId="0" fontId="167" fillId="0" borderId="0" xfId="0" applyFont="1"/>
    <xf numFmtId="0" fontId="148" fillId="0" borderId="0" xfId="177" applyFont="1" applyAlignment="1">
      <alignment horizontal="left"/>
    </xf>
    <xf numFmtId="0" fontId="148" fillId="44" borderId="0" xfId="506" applyFont="1" applyFill="1"/>
    <xf numFmtId="9" fontId="168" fillId="0" borderId="0" xfId="505" applyFont="1"/>
    <xf numFmtId="0" fontId="150" fillId="0" borderId="0" xfId="506" applyFont="1" applyAlignment="1">
      <alignment horizontal="left" indent="1"/>
    </xf>
    <xf numFmtId="165" fontId="150" fillId="0" borderId="0" xfId="318" applyNumberFormat="1" applyFont="1"/>
    <xf numFmtId="165" fontId="147" fillId="0" borderId="0" xfId="318" applyNumberFormat="1" applyFont="1"/>
    <xf numFmtId="165" fontId="148" fillId="0" borderId="0" xfId="318" applyNumberFormat="1" applyFont="1"/>
    <xf numFmtId="261" fontId="147" fillId="0" borderId="0" xfId="505" applyNumberFormat="1" applyFont="1" applyAlignment="1" applyProtection="1">
      <alignment horizontal="right" vertical="center"/>
    </xf>
    <xf numFmtId="166" fontId="0" fillId="0" borderId="0" xfId="0" applyNumberFormat="1"/>
    <xf numFmtId="14" fontId="148" fillId="0" borderId="0" xfId="320" quotePrefix="1" applyNumberFormat="1" applyFont="1" applyProtection="1"/>
    <xf numFmtId="9" fontId="147" fillId="0" borderId="0" xfId="505" applyFont="1" applyAlignment="1" applyProtection="1">
      <alignment horizontal="right" vertical="center"/>
    </xf>
    <xf numFmtId="7" fontId="3" fillId="0" borderId="45" xfId="1" applyNumberFormat="1" applyFont="1" applyBorder="1"/>
    <xf numFmtId="265" fontId="169" fillId="0" borderId="0" xfId="321" applyNumberFormat="1" applyFont="1"/>
    <xf numFmtId="265" fontId="1" fillId="0" borderId="0" xfId="505" applyNumberFormat="1" applyFont="1"/>
    <xf numFmtId="265" fontId="0" fillId="0" borderId="0" xfId="505" applyNumberFormat="1" applyFont="1"/>
    <xf numFmtId="265" fontId="5" fillId="0" borderId="0" xfId="321" applyNumberFormat="1"/>
    <xf numFmtId="265" fontId="0" fillId="0" borderId="0" xfId="0" applyNumberFormat="1"/>
    <xf numFmtId="5" fontId="147" fillId="0" borderId="0" xfId="505" applyNumberFormat="1" applyFont="1" applyFill="1" applyBorder="1"/>
    <xf numFmtId="9" fontId="170" fillId="0" borderId="0" xfId="505" applyFont="1"/>
    <xf numFmtId="9" fontId="147" fillId="0" borderId="46" xfId="505" applyFont="1" applyBorder="1" applyAlignment="1" applyProtection="1">
      <alignment horizontal="right" vertical="center"/>
    </xf>
    <xf numFmtId="167" fontId="147" fillId="0" borderId="46" xfId="505" applyNumberFormat="1" applyFont="1" applyBorder="1" applyAlignment="1" applyProtection="1">
      <alignment horizontal="right"/>
    </xf>
    <xf numFmtId="0" fontId="3" fillId="0" borderId="0" xfId="513" applyFont="1"/>
    <xf numFmtId="211" fontId="3" fillId="0" borderId="0" xfId="318" applyNumberFormat="1" applyFont="1"/>
    <xf numFmtId="211" fontId="3" fillId="0" borderId="0" xfId="506" applyNumberFormat="1" applyFont="1"/>
    <xf numFmtId="211" fontId="158" fillId="0" borderId="0" xfId="318" applyNumberFormat="1" applyFont="1"/>
    <xf numFmtId="167" fontId="3" fillId="0" borderId="0" xfId="505" applyNumberFormat="1" applyFont="1"/>
    <xf numFmtId="5" fontId="158" fillId="0" borderId="0" xfId="506" applyNumberFormat="1" applyFont="1"/>
    <xf numFmtId="166" fontId="168" fillId="0" borderId="0" xfId="505" applyNumberFormat="1" applyFont="1"/>
    <xf numFmtId="211" fontId="151" fillId="40" borderId="0" xfId="1" applyNumberFormat="1" applyFont="1" applyFill="1"/>
    <xf numFmtId="259" fontId="148" fillId="0" borderId="0" xfId="2" applyNumberFormat="1" applyFont="1"/>
    <xf numFmtId="259" fontId="148" fillId="0" borderId="46" xfId="2" applyNumberFormat="1" applyFont="1" applyBorder="1"/>
    <xf numFmtId="167" fontId="147" fillId="3" borderId="0" xfId="505" applyNumberFormat="1" applyFont="1" applyFill="1" applyAlignment="1" applyProtection="1">
      <alignment horizontal="right"/>
    </xf>
    <xf numFmtId="167" fontId="151" fillId="0" borderId="0" xfId="505" applyNumberFormat="1" applyFont="1" applyAlignment="1" applyProtection="1">
      <alignment horizontal="right"/>
    </xf>
    <xf numFmtId="0" fontId="147" fillId="0" borderId="0" xfId="320" applyFont="1" applyAlignment="1" applyProtection="1">
      <alignment horizontal="left" indent="3"/>
    </xf>
    <xf numFmtId="0" fontId="147" fillId="43" borderId="0" xfId="506" applyFont="1" applyFill="1"/>
    <xf numFmtId="37" fontId="148" fillId="0" borderId="0" xfId="506" applyNumberFormat="1" applyFont="1" applyAlignment="1">
      <alignment horizontal="right"/>
    </xf>
    <xf numFmtId="37" fontId="148" fillId="0" borderId="45" xfId="2" applyNumberFormat="1" applyFont="1" applyBorder="1" applyAlignment="1" applyProtection="1">
      <alignment horizontal="right"/>
    </xf>
    <xf numFmtId="37" fontId="148" fillId="3" borderId="0" xfId="506" applyNumberFormat="1" applyFont="1" applyFill="1" applyAlignment="1">
      <alignment horizontal="right"/>
    </xf>
    <xf numFmtId="37" fontId="148" fillId="3" borderId="45" xfId="2" applyNumberFormat="1" applyFont="1" applyFill="1" applyBorder="1" applyAlignment="1" applyProtection="1">
      <alignment horizontal="right"/>
    </xf>
    <xf numFmtId="37" fontId="171" fillId="0" borderId="46" xfId="1" applyNumberFormat="1" applyFont="1" applyBorder="1"/>
    <xf numFmtId="9" fontId="173" fillId="0" borderId="0" xfId="505" applyFont="1"/>
    <xf numFmtId="261" fontId="172" fillId="0" borderId="0" xfId="505" applyNumberFormat="1" applyFont="1" applyAlignment="1" applyProtection="1">
      <alignment horizontal="right" vertical="center"/>
    </xf>
    <xf numFmtId="9" fontId="167" fillId="0" borderId="0" xfId="505" applyFont="1"/>
    <xf numFmtId="2" fontId="167" fillId="0" borderId="0" xfId="505" applyNumberFormat="1" applyFont="1"/>
    <xf numFmtId="261" fontId="148" fillId="0" borderId="0" xfId="505" applyNumberFormat="1" applyFont="1" applyAlignment="1" applyProtection="1">
      <alignment horizontal="right" vertical="center"/>
    </xf>
    <xf numFmtId="259" fontId="167" fillId="0" borderId="0" xfId="505" applyNumberFormat="1" applyFont="1"/>
    <xf numFmtId="259" fontId="174" fillId="0" borderId="0" xfId="505" applyNumberFormat="1" applyFont="1" applyAlignment="1" applyProtection="1">
      <alignment horizontal="right" vertical="center"/>
    </xf>
    <xf numFmtId="259" fontId="174" fillId="0" borderId="0" xfId="505" applyNumberFormat="1" applyFont="1" applyAlignment="1" applyProtection="1">
      <alignment horizontal="right"/>
    </xf>
    <xf numFmtId="259" fontId="171" fillId="0" borderId="0" xfId="505" applyNumberFormat="1" applyFont="1" applyAlignment="1" applyProtection="1">
      <alignment horizontal="right" vertical="center"/>
    </xf>
    <xf numFmtId="259" fontId="148" fillId="0" borderId="46" xfId="505" applyNumberFormat="1" applyFont="1" applyBorder="1" applyAlignment="1" applyProtection="1">
      <alignment horizontal="right" vertical="center"/>
    </xf>
    <xf numFmtId="261" fontId="171" fillId="0" borderId="0" xfId="505" applyNumberFormat="1" applyFont="1" applyAlignment="1" applyProtection="1">
      <alignment horizontal="right"/>
    </xf>
    <xf numFmtId="261" fontId="148" fillId="0" borderId="0" xfId="505" applyNumberFormat="1" applyFont="1" applyAlignment="1" applyProtection="1">
      <alignment horizontal="right"/>
    </xf>
    <xf numFmtId="259" fontId="148" fillId="3" borderId="0" xfId="505" applyNumberFormat="1" applyFont="1" applyFill="1" applyAlignment="1" applyProtection="1">
      <alignment horizontal="right" vertical="center"/>
    </xf>
    <xf numFmtId="259" fontId="148" fillId="0" borderId="0" xfId="505" applyNumberFormat="1" applyFont="1" applyFill="1" applyAlignment="1" applyProtection="1">
      <alignment horizontal="right" vertical="center"/>
    </xf>
    <xf numFmtId="261" fontId="171" fillId="0" borderId="0" xfId="505" applyNumberFormat="1" applyFont="1" applyAlignment="1" applyProtection="1">
      <alignment horizontal="right" vertical="center"/>
    </xf>
    <xf numFmtId="259" fontId="147" fillId="0" borderId="0" xfId="505" applyNumberFormat="1" applyFont="1" applyBorder="1" applyAlignment="1" applyProtection="1">
      <alignment horizontal="right" vertical="center"/>
    </xf>
    <xf numFmtId="9" fontId="147" fillId="0" borderId="0" xfId="505" applyFont="1" applyBorder="1" applyAlignment="1" applyProtection="1">
      <alignment horizontal="right"/>
    </xf>
    <xf numFmtId="9" fontId="147" fillId="0" borderId="50" xfId="505" applyFont="1" applyBorder="1" applyAlignment="1" applyProtection="1">
      <alignment horizontal="right"/>
    </xf>
    <xf numFmtId="259" fontId="147" fillId="0" borderId="50" xfId="505" applyNumberFormat="1" applyFont="1" applyBorder="1" applyAlignment="1" applyProtection="1">
      <alignment horizontal="right" vertical="center"/>
    </xf>
    <xf numFmtId="9" fontId="147" fillId="0" borderId="50" xfId="505" applyFont="1" applyBorder="1" applyAlignment="1" applyProtection="1">
      <alignment horizontal="right" vertical="center"/>
    </xf>
    <xf numFmtId="167" fontId="147" fillId="0" borderId="50" xfId="505" applyNumberFormat="1" applyFont="1" applyBorder="1" applyAlignment="1" applyProtection="1">
      <alignment horizontal="right"/>
    </xf>
    <xf numFmtId="9" fontId="147" fillId="0" borderId="50" xfId="505" applyFont="1" applyFill="1" applyBorder="1" applyAlignment="1" applyProtection="1">
      <alignment horizontal="right"/>
    </xf>
    <xf numFmtId="261" fontId="148" fillId="0" borderId="50" xfId="505" applyNumberFormat="1" applyFont="1" applyBorder="1" applyAlignment="1" applyProtection="1">
      <alignment horizontal="right" vertical="center"/>
    </xf>
    <xf numFmtId="9" fontId="0" fillId="0" borderId="50" xfId="505" applyFont="1" applyBorder="1"/>
    <xf numFmtId="2" fontId="147" fillId="0" borderId="50" xfId="505" applyNumberFormat="1" applyFont="1" applyBorder="1" applyAlignment="1" applyProtection="1">
      <alignment horizontal="right"/>
    </xf>
    <xf numFmtId="9" fontId="151" fillId="0" borderId="50" xfId="505" applyFont="1" applyBorder="1" applyAlignment="1" applyProtection="1">
      <alignment horizontal="right" vertical="center"/>
    </xf>
    <xf numFmtId="259" fontId="171" fillId="0" borderId="0" xfId="505" applyNumberFormat="1" applyFont="1" applyAlignment="1" applyProtection="1">
      <alignment horizontal="right"/>
    </xf>
    <xf numFmtId="259" fontId="148" fillId="3" borderId="0" xfId="505" applyNumberFormat="1" applyFont="1" applyFill="1" applyAlignment="1" applyProtection="1">
      <alignment horizontal="right"/>
    </xf>
    <xf numFmtId="263" fontId="148" fillId="0" borderId="0" xfId="505" applyNumberFormat="1" applyFont="1" applyAlignment="1" applyProtection="1">
      <alignment horizontal="right"/>
    </xf>
    <xf numFmtId="259" fontId="148" fillId="0" borderId="0" xfId="505" applyNumberFormat="1" applyFont="1" applyFill="1" applyAlignment="1" applyProtection="1">
      <alignment horizontal="right"/>
    </xf>
    <xf numFmtId="259" fontId="148" fillId="0" borderId="50" xfId="505" applyNumberFormat="1" applyFont="1" applyBorder="1" applyAlignment="1" applyProtection="1">
      <alignment horizontal="right"/>
    </xf>
    <xf numFmtId="37" fontId="147" fillId="3" borderId="0" xfId="94" applyNumberFormat="1" applyFont="1" applyFill="1" applyProtection="1"/>
    <xf numFmtId="37" fontId="147" fillId="0" borderId="0" xfId="94" applyNumberFormat="1" applyFont="1" applyFill="1" applyProtection="1"/>
    <xf numFmtId="165" fontId="155" fillId="0" borderId="0" xfId="2" applyNumberFormat="1" applyFont="1"/>
    <xf numFmtId="37" fontId="148" fillId="0" borderId="0" xfId="2" applyNumberFormat="1" applyFont="1" applyProtection="1"/>
    <xf numFmtId="37" fontId="148" fillId="0" borderId="45" xfId="2" applyNumberFormat="1" applyFont="1" applyBorder="1" applyProtection="1"/>
    <xf numFmtId="37" fontId="148" fillId="3" borderId="0" xfId="2" applyNumberFormat="1" applyFont="1" applyFill="1" applyProtection="1"/>
    <xf numFmtId="37" fontId="148" fillId="3" borderId="45" xfId="2" applyNumberFormat="1" applyFont="1" applyFill="1" applyBorder="1" applyProtection="1"/>
    <xf numFmtId="212" fontId="147" fillId="0" borderId="46" xfId="2" applyNumberFormat="1" applyFont="1" applyBorder="1" applyAlignment="1" applyProtection="1">
      <alignment horizontal="right"/>
    </xf>
    <xf numFmtId="212" fontId="147" fillId="0" borderId="0" xfId="2" applyNumberFormat="1" applyFont="1" applyAlignment="1" applyProtection="1">
      <alignment horizontal="right"/>
    </xf>
    <xf numFmtId="247" fontId="148" fillId="0" borderId="50" xfId="505" applyNumberFormat="1" applyFont="1" applyFill="1" applyBorder="1" applyAlignment="1" applyProtection="1">
      <alignment horizontal="right"/>
    </xf>
    <xf numFmtId="247" fontId="148" fillId="0" borderId="0" xfId="505" applyNumberFormat="1" applyFont="1" applyFill="1" applyAlignment="1" applyProtection="1">
      <alignment horizontal="right"/>
    </xf>
    <xf numFmtId="0" fontId="4" fillId="0" borderId="0" xfId="1" applyFont="1"/>
    <xf numFmtId="259" fontId="148" fillId="40" borderId="0" xfId="1" applyNumberFormat="1" applyFont="1" applyFill="1"/>
    <xf numFmtId="259" fontId="148" fillId="40" borderId="46" xfId="1" applyNumberFormat="1" applyFont="1" applyFill="1" applyBorder="1"/>
    <xf numFmtId="259" fontId="148" fillId="0" borderId="46" xfId="1" applyNumberFormat="1" applyFont="1" applyBorder="1"/>
    <xf numFmtId="259" fontId="148" fillId="0" borderId="0" xfId="1" applyNumberFormat="1" applyFont="1"/>
    <xf numFmtId="0" fontId="84" fillId="39" borderId="0" xfId="185" applyFont="1" applyFill="1" applyAlignment="1">
      <alignment horizontal="center"/>
    </xf>
    <xf numFmtId="0" fontId="167" fillId="0" borderId="0" xfId="0" applyFont="1" applyAlignment="1">
      <alignment horizontal="left" indent="1"/>
    </xf>
    <xf numFmtId="0" fontId="167" fillId="0" borderId="0" xfId="0" applyFont="1" applyAlignment="1">
      <alignment horizontal="left" indent="2"/>
    </xf>
    <xf numFmtId="211" fontId="174" fillId="0" borderId="0" xfId="318" applyNumberFormat="1" applyFont="1" applyAlignment="1" applyProtection="1">
      <alignment horizontal="right" vertical="center"/>
    </xf>
    <xf numFmtId="259" fontId="151" fillId="0" borderId="0" xfId="505" applyNumberFormat="1" applyFont="1" applyAlignment="1" applyProtection="1">
      <alignment horizontal="right" vertical="center"/>
    </xf>
    <xf numFmtId="211" fontId="175" fillId="0" borderId="0" xfId="318" applyNumberFormat="1" applyFont="1"/>
    <xf numFmtId="259" fontId="176" fillId="0" borderId="0" xfId="505" applyNumberFormat="1" applyFont="1" applyAlignment="1" applyProtection="1">
      <alignment horizontal="right" vertical="center"/>
    </xf>
    <xf numFmtId="0" fontId="167" fillId="0" borderId="0" xfId="0" applyFont="1" applyAlignment="1">
      <alignment horizontal="left" indent="3"/>
    </xf>
    <xf numFmtId="9" fontId="151" fillId="0" borderId="0" xfId="505" applyFont="1" applyAlignment="1" applyProtection="1">
      <alignment horizontal="right" vertical="center"/>
    </xf>
    <xf numFmtId="0" fontId="0" fillId="0" borderId="0" xfId="0" applyAlignment="1">
      <alignment horizontal="left" indent="1"/>
    </xf>
    <xf numFmtId="2" fontId="1" fillId="0" borderId="0" xfId="505" applyNumberFormat="1" applyFont="1"/>
    <xf numFmtId="1" fontId="172" fillId="0" borderId="0" xfId="505" applyNumberFormat="1" applyFont="1" applyAlignment="1" applyProtection="1">
      <alignment horizontal="right" vertical="center"/>
    </xf>
    <xf numFmtId="211" fontId="172" fillId="0" borderId="0" xfId="318" applyNumberFormat="1" applyFont="1" applyAlignment="1" applyProtection="1">
      <alignment horizontal="right" vertical="center"/>
    </xf>
    <xf numFmtId="0" fontId="170" fillId="0" borderId="0" xfId="320" applyFont="1"/>
    <xf numFmtId="0" fontId="1" fillId="0" borderId="0" xfId="0" applyFont="1" applyAlignment="1">
      <alignment horizontal="left" indent="3"/>
    </xf>
    <xf numFmtId="0" fontId="170" fillId="0" borderId="0" xfId="32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4"/>
    </xf>
    <xf numFmtId="260" fontId="0" fillId="0" borderId="0" xfId="0" applyNumberFormat="1"/>
    <xf numFmtId="43" fontId="0" fillId="0" borderId="0" xfId="0" applyNumberFormat="1"/>
    <xf numFmtId="167" fontId="0" fillId="0" borderId="0" xfId="505" applyNumberFormat="1" applyFont="1"/>
    <xf numFmtId="167" fontId="168" fillId="0" borderId="0" xfId="505" applyNumberFormat="1" applyFont="1"/>
    <xf numFmtId="167" fontId="167" fillId="0" borderId="0" xfId="505" applyNumberFormat="1" applyFont="1"/>
    <xf numFmtId="0" fontId="167" fillId="0" borderId="0" xfId="0" applyFont="1" applyAlignment="1">
      <alignment horizontal="left"/>
    </xf>
    <xf numFmtId="9" fontId="159" fillId="3" borderId="0" xfId="505" quotePrefix="1" applyFont="1" applyFill="1" applyBorder="1"/>
    <xf numFmtId="0" fontId="177" fillId="45" borderId="0" xfId="0" applyFont="1" applyFill="1" applyAlignment="1">
      <alignment horizontal="centerContinuous"/>
    </xf>
    <xf numFmtId="0" fontId="178" fillId="45" borderId="0" xfId="0" applyFont="1" applyFill="1" applyAlignment="1">
      <alignment horizontal="left"/>
    </xf>
    <xf numFmtId="0" fontId="177" fillId="45" borderId="0" xfId="0" applyFont="1" applyFill="1" applyAlignment="1">
      <alignment horizontal="center"/>
    </xf>
    <xf numFmtId="212" fontId="167" fillId="0" borderId="0" xfId="0" applyNumberFormat="1" applyFont="1"/>
    <xf numFmtId="212" fontId="179" fillId="46" borderId="0" xfId="0" applyNumberFormat="1" applyFont="1" applyFill="1"/>
    <xf numFmtId="266" fontId="167" fillId="0" borderId="0" xfId="0" applyNumberFormat="1" applyFont="1" applyAlignment="1">
      <alignment horizontal="center"/>
    </xf>
    <xf numFmtId="167" fontId="0" fillId="46" borderId="0" xfId="505" applyNumberFormat="1" applyFont="1" applyFill="1"/>
    <xf numFmtId="167" fontId="18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46" borderId="0" xfId="0" applyFill="1"/>
    <xf numFmtId="212" fontId="0" fillId="0" borderId="0" xfId="0" applyNumberFormat="1"/>
    <xf numFmtId="212" fontId="0" fillId="46" borderId="0" xfId="0" applyNumberFormat="1" applyFill="1"/>
    <xf numFmtId="167" fontId="0" fillId="46" borderId="0" xfId="0" applyNumberFormat="1" applyFill="1"/>
    <xf numFmtId="0" fontId="5" fillId="45" borderId="0" xfId="0" applyFont="1" applyFill="1"/>
    <xf numFmtId="0" fontId="16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67" fillId="0" borderId="24" xfId="0" applyFont="1" applyBorder="1" applyAlignment="1">
      <alignment horizontal="center"/>
    </xf>
    <xf numFmtId="0" fontId="167" fillId="0" borderId="0" xfId="0" applyFont="1" applyAlignment="1">
      <alignment horizontal="center"/>
    </xf>
    <xf numFmtId="0" fontId="167" fillId="0" borderId="8" xfId="0" applyFont="1" applyBorder="1" applyAlignment="1">
      <alignment horizontal="center"/>
    </xf>
    <xf numFmtId="167" fontId="180" fillId="0" borderId="0" xfId="505" applyNumberFormat="1" applyFont="1"/>
    <xf numFmtId="212" fontId="0" fillId="0" borderId="24" xfId="0" applyNumberFormat="1" applyBorder="1"/>
    <xf numFmtId="167" fontId="0" fillId="0" borderId="8" xfId="505" applyNumberFormat="1" applyFont="1" applyBorder="1"/>
    <xf numFmtId="0" fontId="148" fillId="0" borderId="4" xfId="1" applyFont="1" applyBorder="1" applyAlignment="1">
      <alignment horizontal="center"/>
    </xf>
    <xf numFmtId="0" fontId="148" fillId="0" borderId="51" xfId="177" applyFont="1" applyBorder="1" applyAlignment="1">
      <alignment horizontal="center"/>
    </xf>
    <xf numFmtId="0" fontId="148" fillId="0" borderId="2" xfId="177" applyFont="1" applyBorder="1" applyAlignment="1">
      <alignment horizontal="center"/>
    </xf>
    <xf numFmtId="9" fontId="148" fillId="0" borderId="51" xfId="505" applyFont="1" applyFill="1" applyBorder="1" applyAlignment="1">
      <alignment horizontal="center"/>
    </xf>
    <xf numFmtId="9" fontId="148" fillId="0" borderId="2" xfId="505" applyFont="1" applyFill="1" applyBorder="1" applyAlignment="1">
      <alignment horizontal="center"/>
    </xf>
    <xf numFmtId="0" fontId="108" fillId="0" borderId="0" xfId="320" applyFont="1" applyAlignment="1">
      <alignment wrapText="1"/>
    </xf>
  </cellXfs>
  <cellStyles count="520">
    <cellStyle name="$" xfId="4" xr:uid="{00000000-0005-0000-0000-000000000000}"/>
    <cellStyle name="$m" xfId="5" xr:uid="{00000000-0005-0000-0000-000001000000}"/>
    <cellStyle name="%" xfId="6" xr:uid="{00000000-0005-0000-0000-000002000000}"/>
    <cellStyle name="_1.3.07 SA Closing Package DEC" xfId="322" xr:uid="{00000000-0005-0000-0000-000003000000}"/>
    <cellStyle name="_10 Q108 Revenue by Theatre with 06 restmt" xfId="323" xr:uid="{00000000-0005-0000-0000-000004000000}"/>
    <cellStyle name="_11.29.06 Closing Pack SA November" xfId="324" xr:uid="{00000000-0005-0000-0000-000005000000}"/>
    <cellStyle name="_2.28.07 Closing Package Feb" xfId="325" xr:uid="{00000000-0005-0000-0000-000006000000}"/>
    <cellStyle name="_3.24.07 Final SA PL and PF Items" xfId="326" xr:uid="{00000000-0005-0000-0000-000007000000}"/>
    <cellStyle name="_Budget Scenarios with Different Net Shipments Apr 28" xfId="327" xr:uid="{00000000-0005-0000-0000-000008000000}"/>
    <cellStyle name="_Cisco Q2 FY'07 P&amp;L" xfId="328" xr:uid="{00000000-0005-0000-0000-000009000000}"/>
    <cellStyle name="_Cisco-Linksys Performance Summary July 05" xfId="329" xr:uid="{00000000-0005-0000-0000-00000A000000}"/>
    <cellStyle name="_FP&amp;A Consolidated Forecast Q4FY'07" xfId="330" xr:uid="{00000000-0005-0000-0000-00000B000000}"/>
    <cellStyle name="_FY'07 Plan vs forecast 01-04-07" xfId="331" xr:uid="{00000000-0005-0000-0000-00000C000000}"/>
    <cellStyle name="_FY07REVIEWPACKAGEFORJIM" xfId="332" xr:uid="{00000000-0005-0000-0000-00000D000000}"/>
    <cellStyle name="_Inventory schedule for December Cisco Mtg" xfId="333" xr:uid="{00000000-0005-0000-0000-00000E000000}"/>
    <cellStyle name="_Japan" xfId="334" xr:uid="{00000000-0005-0000-0000-00000F000000}"/>
    <cellStyle name="_Margin Forecast Detail FY06 with Net Shipped" xfId="335" xr:uid="{00000000-0005-0000-0000-000010000000}"/>
    <cellStyle name="_Mfg Schedules as of 1.26.07 Values" xfId="336" xr:uid="{00000000-0005-0000-0000-000011000000}"/>
    <cellStyle name="_Mfg Schedules as of 3.24.07_values1" xfId="337" xr:uid="{00000000-0005-0000-0000-000012000000}"/>
    <cellStyle name="_Mfg Schedules as of 4.27.07 values" xfId="338" xr:uid="{00000000-0005-0000-0000-000013000000}"/>
    <cellStyle name="_Mfg Schedules as of 5.26.07 values" xfId="339" xr:uid="{00000000-0005-0000-0000-000014000000}"/>
    <cellStyle name="_Q3 Customer Revenue" xfId="340" xr:uid="{00000000-0005-0000-0000-000015000000}"/>
    <cellStyle name="_SEC_B_Q107" xfId="341" xr:uid="{00000000-0005-0000-0000-000016000000}"/>
    <cellStyle name="_Sheet6" xfId="342" xr:uid="{00000000-0005-0000-0000-000017000000}"/>
    <cellStyle name="_Sheet7" xfId="343" xr:uid="{00000000-0005-0000-0000-000018000000}"/>
    <cellStyle name="_WW Recruitment Activity wk  Ending 05-6-05 A" xfId="344" xr:uid="{00000000-0005-0000-0000-000019000000}"/>
    <cellStyle name="¦__x001d_" xfId="345" xr:uid="{00000000-0005-0000-0000-00001A000000}"/>
    <cellStyle name="’Ê‰Ý_Region Orders (2)" xfId="346" xr:uid="{00000000-0005-0000-0000-00001B000000}"/>
    <cellStyle name="=C:\WINNT35\SYSTEM32\COMMAND.COM" xfId="7" xr:uid="{00000000-0005-0000-0000-00001C000000}"/>
    <cellStyle name="=C:\WINNT35\SYSTEM32\COMMAND.COM 2" xfId="8" xr:uid="{00000000-0005-0000-0000-00001D000000}"/>
    <cellStyle name="•W_Pacific Region P&amp;L" xfId="347" xr:uid="{00000000-0005-0000-0000-00001E000000}"/>
    <cellStyle name="0%" xfId="348" xr:uid="{00000000-0005-0000-0000-00001F000000}"/>
    <cellStyle name="0,0_x000d__x000a_NA_x000d__x000a_" xfId="349" xr:uid="{00000000-0005-0000-0000-000020000000}"/>
    <cellStyle name="0.0%" xfId="350" xr:uid="{00000000-0005-0000-0000-000021000000}"/>
    <cellStyle name="0.00%" xfId="351" xr:uid="{00000000-0005-0000-0000-000022000000}"/>
    <cellStyle name="20% - Accent1 2" xfId="9" xr:uid="{00000000-0005-0000-0000-000023000000}"/>
    <cellStyle name="20% - Accent1 3" xfId="10" xr:uid="{00000000-0005-0000-0000-000024000000}"/>
    <cellStyle name="20% - Accent2 2" xfId="11" xr:uid="{00000000-0005-0000-0000-000025000000}"/>
    <cellStyle name="20% - Accent2 3" xfId="12" xr:uid="{00000000-0005-0000-0000-000026000000}"/>
    <cellStyle name="20% - Accent3 2" xfId="13" xr:uid="{00000000-0005-0000-0000-000027000000}"/>
    <cellStyle name="20% - Accent3 3" xfId="14" xr:uid="{00000000-0005-0000-0000-000028000000}"/>
    <cellStyle name="20% - Accent4 2" xfId="15" xr:uid="{00000000-0005-0000-0000-000029000000}"/>
    <cellStyle name="20% - Accent4 3" xfId="16" xr:uid="{00000000-0005-0000-0000-00002A000000}"/>
    <cellStyle name="20% - Accent5 2" xfId="17" xr:uid="{00000000-0005-0000-0000-00002B000000}"/>
    <cellStyle name="20% - Accent5 3" xfId="18" xr:uid="{00000000-0005-0000-0000-00002C000000}"/>
    <cellStyle name="20% - Accent6 2" xfId="19" xr:uid="{00000000-0005-0000-0000-00002D000000}"/>
    <cellStyle name="20% - Accent6 3" xfId="20" xr:uid="{00000000-0005-0000-0000-00002E000000}"/>
    <cellStyle name="40% - Accent1 2" xfId="21" xr:uid="{00000000-0005-0000-0000-00002F000000}"/>
    <cellStyle name="40% - Accent1 3" xfId="22" xr:uid="{00000000-0005-0000-0000-000030000000}"/>
    <cellStyle name="40% - Accent2 2" xfId="23" xr:uid="{00000000-0005-0000-0000-000031000000}"/>
    <cellStyle name="40% - Accent2 3" xfId="24" xr:uid="{00000000-0005-0000-0000-000032000000}"/>
    <cellStyle name="40% - Accent3 2" xfId="25" xr:uid="{00000000-0005-0000-0000-000033000000}"/>
    <cellStyle name="40% - Accent3 3" xfId="26" xr:uid="{00000000-0005-0000-0000-000034000000}"/>
    <cellStyle name="40% - Accent4 2" xfId="27" xr:uid="{00000000-0005-0000-0000-000035000000}"/>
    <cellStyle name="40% - Accent4 3" xfId="28" xr:uid="{00000000-0005-0000-0000-000036000000}"/>
    <cellStyle name="40% - Accent5 2" xfId="29" xr:uid="{00000000-0005-0000-0000-000037000000}"/>
    <cellStyle name="40% - Accent5 3" xfId="30" xr:uid="{00000000-0005-0000-0000-000038000000}"/>
    <cellStyle name="40% - Accent6 2" xfId="31" xr:uid="{00000000-0005-0000-0000-000039000000}"/>
    <cellStyle name="40% - Accent6 3" xfId="32" xr:uid="{00000000-0005-0000-0000-00003A000000}"/>
    <cellStyle name="60% - Accent1 2" xfId="33" xr:uid="{00000000-0005-0000-0000-00003B000000}"/>
    <cellStyle name="60% - Accent1 3" xfId="34" xr:uid="{00000000-0005-0000-0000-00003C000000}"/>
    <cellStyle name="60% - Accent2 2" xfId="35" xr:uid="{00000000-0005-0000-0000-00003D000000}"/>
    <cellStyle name="60% - Accent2 3" xfId="36" xr:uid="{00000000-0005-0000-0000-00003E000000}"/>
    <cellStyle name="60% - Accent3 2" xfId="37" xr:uid="{00000000-0005-0000-0000-00003F000000}"/>
    <cellStyle name="60% - Accent3 3" xfId="38" xr:uid="{00000000-0005-0000-0000-000040000000}"/>
    <cellStyle name="60% - Accent4 2" xfId="39" xr:uid="{00000000-0005-0000-0000-000041000000}"/>
    <cellStyle name="60% - Accent4 3" xfId="40" xr:uid="{00000000-0005-0000-0000-000042000000}"/>
    <cellStyle name="60% - Accent5 2" xfId="41" xr:uid="{00000000-0005-0000-0000-000043000000}"/>
    <cellStyle name="60% - Accent5 3" xfId="42" xr:uid="{00000000-0005-0000-0000-000044000000}"/>
    <cellStyle name="60% - Accent6 2" xfId="43" xr:uid="{00000000-0005-0000-0000-000045000000}"/>
    <cellStyle name="60% - Accent6 3" xfId="44" xr:uid="{00000000-0005-0000-0000-000046000000}"/>
    <cellStyle name="Accent1 2" xfId="45" xr:uid="{00000000-0005-0000-0000-000047000000}"/>
    <cellStyle name="Accent1 3" xfId="46" xr:uid="{00000000-0005-0000-0000-000048000000}"/>
    <cellStyle name="Accent2 2" xfId="47" xr:uid="{00000000-0005-0000-0000-000049000000}"/>
    <cellStyle name="Accent2 3" xfId="48" xr:uid="{00000000-0005-0000-0000-00004A000000}"/>
    <cellStyle name="Accent3 2" xfId="49" xr:uid="{00000000-0005-0000-0000-00004B000000}"/>
    <cellStyle name="Accent3 3" xfId="50" xr:uid="{00000000-0005-0000-0000-00004C000000}"/>
    <cellStyle name="Accent4 2" xfId="51" xr:uid="{00000000-0005-0000-0000-00004D000000}"/>
    <cellStyle name="Accent4 3" xfId="52" xr:uid="{00000000-0005-0000-0000-00004E000000}"/>
    <cellStyle name="Accent5 2" xfId="53" xr:uid="{00000000-0005-0000-0000-00004F000000}"/>
    <cellStyle name="Accent5 3" xfId="54" xr:uid="{00000000-0005-0000-0000-000050000000}"/>
    <cellStyle name="Accent6 2" xfId="55" xr:uid="{00000000-0005-0000-0000-000051000000}"/>
    <cellStyle name="Accent6 3" xfId="56" xr:uid="{00000000-0005-0000-0000-000052000000}"/>
    <cellStyle name="active" xfId="352" xr:uid="{00000000-0005-0000-0000-000053000000}"/>
    <cellStyle name="Actual Date" xfId="353" xr:uid="{00000000-0005-0000-0000-000054000000}"/>
    <cellStyle name="args.style" xfId="354" xr:uid="{00000000-0005-0000-0000-000055000000}"/>
    <cellStyle name="Arial 10" xfId="57" xr:uid="{00000000-0005-0000-0000-000056000000}"/>
    <cellStyle name="Arial 12" xfId="58" xr:uid="{00000000-0005-0000-0000-000057000000}"/>
    <cellStyle name="Arial 12 2" xfId="507" xr:uid="{00000000-0005-0000-0000-000058000000}"/>
    <cellStyle name="Arial10b" xfId="355" xr:uid="{00000000-0005-0000-0000-000059000000}"/>
    <cellStyle name="AutoFormat Options" xfId="356" xr:uid="{00000000-0005-0000-0000-00005A000000}"/>
    <cellStyle name="Bad 2" xfId="59" xr:uid="{00000000-0005-0000-0000-00005B000000}"/>
    <cellStyle name="Bad 3" xfId="60" xr:uid="{00000000-0005-0000-0000-00005C000000}"/>
    <cellStyle name="Body" xfId="357" xr:uid="{00000000-0005-0000-0000-00005D000000}"/>
    <cellStyle name="Bold12" xfId="61" xr:uid="{00000000-0005-0000-0000-00005E000000}"/>
    <cellStyle name="Bold12 2" xfId="62" xr:uid="{00000000-0005-0000-0000-00005F000000}"/>
    <cellStyle name="BoldItal12" xfId="63" xr:uid="{00000000-0005-0000-0000-000060000000}"/>
    <cellStyle name="BoldItal12 2" xfId="64" xr:uid="{00000000-0005-0000-0000-000061000000}"/>
    <cellStyle name="British Pound" xfId="65" xr:uid="{00000000-0005-0000-0000-000062000000}"/>
    <cellStyle name="Calc Currency (0)" xfId="358" xr:uid="{00000000-0005-0000-0000-000063000000}"/>
    <cellStyle name="Calc Currency (2)" xfId="359" xr:uid="{00000000-0005-0000-0000-000064000000}"/>
    <cellStyle name="Calc Percent (0)" xfId="360" xr:uid="{00000000-0005-0000-0000-000065000000}"/>
    <cellStyle name="Calc Percent (1)" xfId="361" xr:uid="{00000000-0005-0000-0000-000066000000}"/>
    <cellStyle name="Calc Percent (2)" xfId="362" xr:uid="{00000000-0005-0000-0000-000067000000}"/>
    <cellStyle name="Calc Units (0)" xfId="363" xr:uid="{00000000-0005-0000-0000-000068000000}"/>
    <cellStyle name="Calc Units (1)" xfId="364" xr:uid="{00000000-0005-0000-0000-000069000000}"/>
    <cellStyle name="Calc Units (2)" xfId="365" xr:uid="{00000000-0005-0000-0000-00006A000000}"/>
    <cellStyle name="Calculation 2" xfId="66" xr:uid="{00000000-0005-0000-0000-00006B000000}"/>
    <cellStyle name="Calculation 3" xfId="67" xr:uid="{00000000-0005-0000-0000-00006C000000}"/>
    <cellStyle name="Check Cell 2" xfId="68" xr:uid="{00000000-0005-0000-0000-00006D000000}"/>
    <cellStyle name="Check Cell 3" xfId="69" xr:uid="{00000000-0005-0000-0000-00006E000000}"/>
    <cellStyle name="Col Heads" xfId="366" xr:uid="{00000000-0005-0000-0000-00006F000000}"/>
    <cellStyle name="colheadleft" xfId="70" xr:uid="{00000000-0005-0000-0000-000070000000}"/>
    <cellStyle name="colheadright" xfId="71" xr:uid="{00000000-0005-0000-0000-000071000000}"/>
    <cellStyle name="ColumnAttributeAbovePrompt" xfId="367" xr:uid="{00000000-0005-0000-0000-000072000000}"/>
    <cellStyle name="ColumnAttributePrompt" xfId="368" xr:uid="{00000000-0005-0000-0000-000073000000}"/>
    <cellStyle name="ColumnAttributeValue" xfId="369" xr:uid="{00000000-0005-0000-0000-000074000000}"/>
    <cellStyle name="ColumnHeadingPrompt" xfId="370" xr:uid="{00000000-0005-0000-0000-000075000000}"/>
    <cellStyle name="ColumnHeadingValue" xfId="371" xr:uid="{00000000-0005-0000-0000-000076000000}"/>
    <cellStyle name="columns" xfId="72" xr:uid="{00000000-0005-0000-0000-000077000000}"/>
    <cellStyle name="Comma" xfId="318" builtinId="3"/>
    <cellStyle name="comma (,0)" xfId="372" xr:uid="{00000000-0005-0000-0000-000079000000}"/>
    <cellStyle name="comma (,1)" xfId="373" xr:uid="{00000000-0005-0000-0000-00007A000000}"/>
    <cellStyle name="comma (,2)" xfId="374" xr:uid="{00000000-0005-0000-0000-00007B000000}"/>
    <cellStyle name="comma (0)" xfId="73" xr:uid="{00000000-0005-0000-0000-00007C000000}"/>
    <cellStyle name="comma (K0)" xfId="375" xr:uid="{00000000-0005-0000-0000-00007D000000}"/>
    <cellStyle name="comma (K1)" xfId="376" xr:uid="{00000000-0005-0000-0000-00007E000000}"/>
    <cellStyle name="comma (M0)" xfId="377" xr:uid="{00000000-0005-0000-0000-00007F000000}"/>
    <cellStyle name="comma (M1)" xfId="378" xr:uid="{00000000-0005-0000-0000-000080000000}"/>
    <cellStyle name="Comma [00]" xfId="379" xr:uid="{00000000-0005-0000-0000-000081000000}"/>
    <cellStyle name="Comma 0" xfId="74" xr:uid="{00000000-0005-0000-0000-000082000000}"/>
    <cellStyle name="Comma 0*" xfId="75" xr:uid="{00000000-0005-0000-0000-000083000000}"/>
    <cellStyle name="Comma 10 2" xfId="76" xr:uid="{00000000-0005-0000-0000-000084000000}"/>
    <cellStyle name="Comma 2" xfId="2" xr:uid="{00000000-0005-0000-0000-000085000000}"/>
    <cellStyle name="Comma 2 10 2" xfId="77" xr:uid="{00000000-0005-0000-0000-000086000000}"/>
    <cellStyle name="Comma 2 2" xfId="78" xr:uid="{00000000-0005-0000-0000-000087000000}"/>
    <cellStyle name="Comma 2 2 2" xfId="79" xr:uid="{00000000-0005-0000-0000-000088000000}"/>
    <cellStyle name="Comma 2 3" xfId="80" xr:uid="{00000000-0005-0000-0000-000089000000}"/>
    <cellStyle name="Comma 2 4" xfId="81" xr:uid="{00000000-0005-0000-0000-00008A000000}"/>
    <cellStyle name="Comma 2 4 2" xfId="82" xr:uid="{00000000-0005-0000-0000-00008B000000}"/>
    <cellStyle name="Comma 2 4 3" xfId="508" xr:uid="{00000000-0005-0000-0000-00008C000000}"/>
    <cellStyle name="Comma 2_Blue Matrix Upload Template Modified" xfId="83" xr:uid="{00000000-0005-0000-0000-00008D000000}"/>
    <cellStyle name="Comma 3" xfId="84" xr:uid="{00000000-0005-0000-0000-00008E000000}"/>
    <cellStyle name="Comma 3 2" xfId="85" xr:uid="{00000000-0005-0000-0000-00008F000000}"/>
    <cellStyle name="Comma 4" xfId="86" xr:uid="{00000000-0005-0000-0000-000090000000}"/>
    <cellStyle name="Comma 4 2" xfId="87" xr:uid="{00000000-0005-0000-0000-000091000000}"/>
    <cellStyle name="Comma 5" xfId="88" xr:uid="{00000000-0005-0000-0000-000092000000}"/>
    <cellStyle name="Comma 6" xfId="89" xr:uid="{00000000-0005-0000-0000-000093000000}"/>
    <cellStyle name="Comma,0" xfId="380" xr:uid="{00000000-0005-0000-0000-000094000000}"/>
    <cellStyle name="Comma,1" xfId="381" xr:uid="{00000000-0005-0000-0000-000095000000}"/>
    <cellStyle name="Comma,2" xfId="382" xr:uid="{00000000-0005-0000-0000-000096000000}"/>
    <cellStyle name="Comma_EMC072000" xfId="314" xr:uid="{00000000-0005-0000-0000-000097000000}"/>
    <cellStyle name="Comma0" xfId="90" xr:uid="{00000000-0005-0000-0000-000098000000}"/>
    <cellStyle name="Comma0 2" xfId="509" xr:uid="{00000000-0005-0000-0000-000099000000}"/>
    <cellStyle name="Compressed" xfId="383" xr:uid="{00000000-0005-0000-0000-00009A000000}"/>
    <cellStyle name="Copied" xfId="384" xr:uid="{00000000-0005-0000-0000-00009B000000}"/>
    <cellStyle name="COST1" xfId="385" xr:uid="{00000000-0005-0000-0000-00009C000000}"/>
    <cellStyle name="curr" xfId="91" xr:uid="{00000000-0005-0000-0000-00009D000000}"/>
    <cellStyle name="Currency" xfId="519" builtinId="4"/>
    <cellStyle name="Currency (,0)" xfId="386" xr:uid="{00000000-0005-0000-0000-00009E000000}"/>
    <cellStyle name="currency (,1)" xfId="387" xr:uid="{00000000-0005-0000-0000-00009F000000}"/>
    <cellStyle name="currency (,2)" xfId="388" xr:uid="{00000000-0005-0000-0000-0000A0000000}"/>
    <cellStyle name="currency (K0)" xfId="389" xr:uid="{00000000-0005-0000-0000-0000A1000000}"/>
    <cellStyle name="currency (K1)" xfId="390" xr:uid="{00000000-0005-0000-0000-0000A2000000}"/>
    <cellStyle name="currency (K㰰)" xfId="391" xr:uid="{00000000-0005-0000-0000-0000A3000000}"/>
    <cellStyle name="currency (M0)" xfId="392" xr:uid="{00000000-0005-0000-0000-0000A4000000}"/>
    <cellStyle name="currency (M1)" xfId="393" xr:uid="{00000000-0005-0000-0000-0000A5000000}"/>
    <cellStyle name="Currency [00]" xfId="394" xr:uid="{00000000-0005-0000-0000-0000A6000000}"/>
    <cellStyle name="Currency 0" xfId="92" xr:uid="{00000000-0005-0000-0000-0000A7000000}"/>
    <cellStyle name="Currency 2" xfId="93" xr:uid="{00000000-0005-0000-0000-0000A8000000}"/>
    <cellStyle name="Currency 2 2" xfId="94" xr:uid="{00000000-0005-0000-0000-0000A9000000}"/>
    <cellStyle name="Currency 2 3" xfId="95" xr:uid="{00000000-0005-0000-0000-0000AA000000}"/>
    <cellStyle name="Currency 2_Blue Matrix Upload Template Modified" xfId="96" xr:uid="{00000000-0005-0000-0000-0000AB000000}"/>
    <cellStyle name="Currency 3" xfId="97" xr:uid="{00000000-0005-0000-0000-0000AC000000}"/>
    <cellStyle name="Currency 3 2" xfId="98" xr:uid="{00000000-0005-0000-0000-0000AD000000}"/>
    <cellStyle name="Currency 4" xfId="99" xr:uid="{00000000-0005-0000-0000-0000AE000000}"/>
    <cellStyle name="Currency 5" xfId="100" xr:uid="{00000000-0005-0000-0000-0000AF000000}"/>
    <cellStyle name="Currency 8" xfId="101" xr:uid="{00000000-0005-0000-0000-0000B0000000}"/>
    <cellStyle name="Currency- no decimal" xfId="395" xr:uid="{00000000-0005-0000-0000-0000B1000000}"/>
    <cellStyle name="Currency,0" xfId="396" xr:uid="{00000000-0005-0000-0000-0000B2000000}"/>
    <cellStyle name="Currency,2" xfId="397" xr:uid="{00000000-0005-0000-0000-0000B3000000}"/>
    <cellStyle name="Currency_Cognex 4.17.07" xfId="316" xr:uid="{00000000-0005-0000-0000-0000B4000000}"/>
    <cellStyle name="Currency0" xfId="102" xr:uid="{00000000-0005-0000-0000-0000B5000000}"/>
    <cellStyle name="Currency0 2" xfId="510" xr:uid="{00000000-0005-0000-0000-0000B6000000}"/>
    <cellStyle name="d_yield" xfId="103" xr:uid="{00000000-0005-0000-0000-0000B7000000}"/>
    <cellStyle name="Date" xfId="104" xr:uid="{00000000-0005-0000-0000-0000B8000000}"/>
    <cellStyle name="date (d/m/y)" xfId="398" xr:uid="{00000000-0005-0000-0000-0000B9000000}"/>
    <cellStyle name="date (m-y)" xfId="399" xr:uid="{00000000-0005-0000-0000-0000BA000000}"/>
    <cellStyle name="Date 2" xfId="511" xr:uid="{00000000-0005-0000-0000-0000BB000000}"/>
    <cellStyle name="Date 3" xfId="518" xr:uid="{00000000-0005-0000-0000-0000BC000000}"/>
    <cellStyle name="Date Aligned" xfId="105" xr:uid="{00000000-0005-0000-0000-0000BD000000}"/>
    <cellStyle name="Date Short" xfId="400" xr:uid="{00000000-0005-0000-0000-0000BE000000}"/>
    <cellStyle name="Dates" xfId="106" xr:uid="{00000000-0005-0000-0000-0000BF000000}"/>
    <cellStyle name="DblLineDollarAcct" xfId="401" xr:uid="{00000000-0005-0000-0000-0000C0000000}"/>
    <cellStyle name="DblLinePercent" xfId="402" xr:uid="{00000000-0005-0000-0000-0000C1000000}"/>
    <cellStyle name="DELTA" xfId="403" xr:uid="{00000000-0005-0000-0000-0000C2000000}"/>
    <cellStyle name="Detail GL" xfId="107" xr:uid="{00000000-0005-0000-0000-0000C3000000}"/>
    <cellStyle name="Detail GL 2" xfId="108" xr:uid="{00000000-0005-0000-0000-0000C4000000}"/>
    <cellStyle name="Dezimal [0]_pldt" xfId="404" xr:uid="{00000000-0005-0000-0000-0000C5000000}"/>
    <cellStyle name="Dezimal_pldt" xfId="405" xr:uid="{00000000-0005-0000-0000-0000C6000000}"/>
    <cellStyle name="Dollar" xfId="109" xr:uid="{00000000-0005-0000-0000-0000C7000000}"/>
    <cellStyle name="DollarAccounting" xfId="406" xr:uid="{00000000-0005-0000-0000-0000C8000000}"/>
    <cellStyle name="Dotted Line" xfId="110" xr:uid="{00000000-0005-0000-0000-0000C9000000}"/>
    <cellStyle name="Double Accounting" xfId="111" xr:uid="{00000000-0005-0000-0000-0000CA000000}"/>
    <cellStyle name="Enter Currency (0)" xfId="407" xr:uid="{00000000-0005-0000-0000-0000CB000000}"/>
    <cellStyle name="Enter Currency (2)" xfId="408" xr:uid="{00000000-0005-0000-0000-0000CC000000}"/>
    <cellStyle name="Enter Units (0)" xfId="409" xr:uid="{00000000-0005-0000-0000-0000CD000000}"/>
    <cellStyle name="Enter Units (1)" xfId="410" xr:uid="{00000000-0005-0000-0000-0000CE000000}"/>
    <cellStyle name="Enter Units (2)" xfId="411" xr:uid="{00000000-0005-0000-0000-0000CF000000}"/>
    <cellStyle name="Entered" xfId="412" xr:uid="{00000000-0005-0000-0000-0000D0000000}"/>
    <cellStyle name="eps" xfId="112" xr:uid="{00000000-0005-0000-0000-0000D1000000}"/>
    <cellStyle name="eps$" xfId="113" xr:uid="{00000000-0005-0000-0000-0000D2000000}"/>
    <cellStyle name="eps$A" xfId="114" xr:uid="{00000000-0005-0000-0000-0000D3000000}"/>
    <cellStyle name="eps$E" xfId="115" xr:uid="{00000000-0005-0000-0000-0000D4000000}"/>
    <cellStyle name="eps_Sheet1" xfId="116" xr:uid="{00000000-0005-0000-0000-0000D5000000}"/>
    <cellStyle name="epsA" xfId="117" xr:uid="{00000000-0005-0000-0000-0000D6000000}"/>
    <cellStyle name="epsE" xfId="118" xr:uid="{00000000-0005-0000-0000-0000D7000000}"/>
    <cellStyle name="Euro" xfId="413" xr:uid="{00000000-0005-0000-0000-0000D8000000}"/>
    <cellStyle name="Explanatory Text 2" xfId="119" xr:uid="{00000000-0005-0000-0000-0000D9000000}"/>
    <cellStyle name="Explanatory Text 3" xfId="120" xr:uid="{00000000-0005-0000-0000-0000DA000000}"/>
    <cellStyle name="Financials" xfId="121" xr:uid="{00000000-0005-0000-0000-0000DB000000}"/>
    <cellStyle name="Financials 2" xfId="122" xr:uid="{00000000-0005-0000-0000-0000DC000000}"/>
    <cellStyle name="Fixed" xfId="123" xr:uid="{00000000-0005-0000-0000-0000DD000000}"/>
    <cellStyle name="Fixed 2" xfId="512" xr:uid="{00000000-0005-0000-0000-0000DE000000}"/>
    <cellStyle name="Footnote" xfId="124" xr:uid="{00000000-0005-0000-0000-0000DF000000}"/>
    <cellStyle name="fy_eps$" xfId="125" xr:uid="{00000000-0005-0000-0000-0000E0000000}"/>
    <cellStyle name="g_rate" xfId="126" xr:uid="{00000000-0005-0000-0000-0000E1000000}"/>
    <cellStyle name="Good 2" xfId="127" xr:uid="{00000000-0005-0000-0000-0000E2000000}"/>
    <cellStyle name="Good 3" xfId="128" xr:uid="{00000000-0005-0000-0000-0000E3000000}"/>
    <cellStyle name="Grey" xfId="414" xr:uid="{00000000-0005-0000-0000-0000E4000000}"/>
    <cellStyle name="Hard Percent" xfId="129" xr:uid="{00000000-0005-0000-0000-0000E5000000}"/>
    <cellStyle name="Header" xfId="130" xr:uid="{00000000-0005-0000-0000-0000E6000000}"/>
    <cellStyle name="Header 2" xfId="131" xr:uid="{00000000-0005-0000-0000-0000E7000000}"/>
    <cellStyle name="Header_Blue Matrix Upload Template Modified" xfId="132" xr:uid="{00000000-0005-0000-0000-0000E8000000}"/>
    <cellStyle name="Header1" xfId="133" xr:uid="{00000000-0005-0000-0000-0000E9000000}"/>
    <cellStyle name="Header2" xfId="134" xr:uid="{00000000-0005-0000-0000-0000EA000000}"/>
    <cellStyle name="Heading 1 2" xfId="135" xr:uid="{00000000-0005-0000-0000-0000EB000000}"/>
    <cellStyle name="Heading 1 3" xfId="136" xr:uid="{00000000-0005-0000-0000-0000EC000000}"/>
    <cellStyle name="Heading 2 2" xfId="137" xr:uid="{00000000-0005-0000-0000-0000ED000000}"/>
    <cellStyle name="Heading 2 3" xfId="138" xr:uid="{00000000-0005-0000-0000-0000EE000000}"/>
    <cellStyle name="Heading 3 2" xfId="139" xr:uid="{00000000-0005-0000-0000-0000EF000000}"/>
    <cellStyle name="Heading 3 3" xfId="140" xr:uid="{00000000-0005-0000-0000-0000F0000000}"/>
    <cellStyle name="Heading 4 2" xfId="141" xr:uid="{00000000-0005-0000-0000-0000F1000000}"/>
    <cellStyle name="Heading 4 3" xfId="142" xr:uid="{00000000-0005-0000-0000-0000F2000000}"/>
    <cellStyle name="Heading1" xfId="415" xr:uid="{00000000-0005-0000-0000-0000F3000000}"/>
    <cellStyle name="Heading2" xfId="416" xr:uid="{00000000-0005-0000-0000-0000F4000000}"/>
    <cellStyle name="HEADINGS" xfId="417" xr:uid="{00000000-0005-0000-0000-0000F5000000}"/>
    <cellStyle name="Headings- Other" xfId="418" xr:uid="{00000000-0005-0000-0000-0000F6000000}"/>
    <cellStyle name="HEADINGS_09 Q303 Bookings by TG and PF" xfId="419" xr:uid="{00000000-0005-0000-0000-0000F7000000}"/>
    <cellStyle name="HEADINGSTOP" xfId="420" xr:uid="{00000000-0005-0000-0000-0000F8000000}"/>
    <cellStyle name="HeadlineStyle" xfId="143" xr:uid="{00000000-0005-0000-0000-0000F9000000}"/>
    <cellStyle name="HeadlineStyle 2" xfId="144" xr:uid="{00000000-0005-0000-0000-0000FA000000}"/>
    <cellStyle name="HeadlineStyleJustified" xfId="145" xr:uid="{00000000-0005-0000-0000-0000FB000000}"/>
    <cellStyle name="HeadlineStyleJustified 2" xfId="146" xr:uid="{00000000-0005-0000-0000-0000FC000000}"/>
    <cellStyle name="Heavy Top Line" xfId="147" xr:uid="{00000000-0005-0000-0000-0000FD000000}"/>
    <cellStyle name="HIGHLIGHT" xfId="421" xr:uid="{00000000-0005-0000-0000-0000FE000000}"/>
    <cellStyle name="Hyperlink" xfId="319" builtinId="8"/>
    <cellStyle name="Hyperlink 2" xfId="148" xr:uid="{00000000-0005-0000-0000-000000010000}"/>
    <cellStyle name="Hyperlink 2 2" xfId="149" xr:uid="{00000000-0005-0000-0000-000001010000}"/>
    <cellStyle name="Hyperlink 3" xfId="150" xr:uid="{00000000-0005-0000-0000-000002010000}"/>
    <cellStyle name="Hyperlink 3 2" xfId="151" xr:uid="{00000000-0005-0000-0000-000003010000}"/>
    <cellStyle name="Hyperlink_Blue Matrix Upload Template Modified" xfId="152" xr:uid="{00000000-0005-0000-0000-000004010000}"/>
    <cellStyle name="Input [yellow]" xfId="422" xr:uid="{00000000-0005-0000-0000-000005010000}"/>
    <cellStyle name="Input 2" xfId="153" xr:uid="{00000000-0005-0000-0000-000006010000}"/>
    <cellStyle name="Input 3" xfId="154" xr:uid="{00000000-0005-0000-0000-000007010000}"/>
    <cellStyle name="Input Cells" xfId="423" xr:uid="{00000000-0005-0000-0000-000008010000}"/>
    <cellStyle name="inverted heading" xfId="424" xr:uid="{00000000-0005-0000-0000-000009010000}"/>
    <cellStyle name="Jun" xfId="425" xr:uid="{00000000-0005-0000-0000-00000A010000}"/>
    <cellStyle name="LineItemPrompt" xfId="426" xr:uid="{00000000-0005-0000-0000-00000B010000}"/>
    <cellStyle name="LineItemValue" xfId="427" xr:uid="{00000000-0005-0000-0000-00000C010000}"/>
    <cellStyle name="Link Currency (0)" xfId="428" xr:uid="{00000000-0005-0000-0000-00000D010000}"/>
    <cellStyle name="Link Currency (2)" xfId="429" xr:uid="{00000000-0005-0000-0000-00000E010000}"/>
    <cellStyle name="Link Units (0)" xfId="430" xr:uid="{00000000-0005-0000-0000-00000F010000}"/>
    <cellStyle name="Link Units (1)" xfId="431" xr:uid="{00000000-0005-0000-0000-000010010000}"/>
    <cellStyle name="Link Units (2)" xfId="432" xr:uid="{00000000-0005-0000-0000-000011010000}"/>
    <cellStyle name="Linked Cell 2" xfId="155" xr:uid="{00000000-0005-0000-0000-000012010000}"/>
    <cellStyle name="Linked Cell 3" xfId="156" xr:uid="{00000000-0005-0000-0000-000013010000}"/>
    <cellStyle name="Linked Cells" xfId="433" xr:uid="{00000000-0005-0000-0000-000014010000}"/>
    <cellStyle name="m" xfId="157" xr:uid="{00000000-0005-0000-0000-000015010000}"/>
    <cellStyle name="m$" xfId="158" xr:uid="{00000000-0005-0000-0000-000016010000}"/>
    <cellStyle name="Margins" xfId="159" xr:uid="{00000000-0005-0000-0000-000017010000}"/>
    <cellStyle name="Milliers [0]_!!!GO" xfId="434" xr:uid="{00000000-0005-0000-0000-000018010000}"/>
    <cellStyle name="Milliers_!!!GO" xfId="435" xr:uid="{00000000-0005-0000-0000-000019010000}"/>
    <cellStyle name="mm" xfId="160" xr:uid="{00000000-0005-0000-0000-00001A010000}"/>
    <cellStyle name="Monétaire [0]_!!!GO" xfId="436" xr:uid="{00000000-0005-0000-0000-00001B010000}"/>
    <cellStyle name="Monétaire_!!!GO" xfId="437" xr:uid="{00000000-0005-0000-0000-00001C010000}"/>
    <cellStyle name="Multiple" xfId="161" xr:uid="{00000000-0005-0000-0000-00001D010000}"/>
    <cellStyle name="negativ" xfId="162" xr:uid="{00000000-0005-0000-0000-00001E010000}"/>
    <cellStyle name="Neutral 2" xfId="163" xr:uid="{00000000-0005-0000-0000-00001F010000}"/>
    <cellStyle name="Neutral 3" xfId="164" xr:uid="{00000000-0005-0000-0000-000020010000}"/>
    <cellStyle name="no dec" xfId="438" xr:uid="{00000000-0005-0000-0000-000021010000}"/>
    <cellStyle name="nodollars" xfId="165" xr:uid="{00000000-0005-0000-0000-000022010000}"/>
    <cellStyle name="Normal" xfId="0" builtinId="0"/>
    <cellStyle name="Normal - Style1" xfId="166" xr:uid="{00000000-0005-0000-0000-000024010000}"/>
    <cellStyle name="Normal 10" xfId="167" xr:uid="{00000000-0005-0000-0000-000025010000}"/>
    <cellStyle name="Normal 11" xfId="168" xr:uid="{00000000-0005-0000-0000-000026010000}"/>
    <cellStyle name="Normal 12" xfId="169" xr:uid="{00000000-0005-0000-0000-000027010000}"/>
    <cellStyle name="Normal 13" xfId="170" xr:uid="{00000000-0005-0000-0000-000028010000}"/>
    <cellStyle name="Normal 14" xfId="171" xr:uid="{00000000-0005-0000-0000-000029010000}"/>
    <cellStyle name="Normal 15" xfId="172" xr:uid="{00000000-0005-0000-0000-00002A010000}"/>
    <cellStyle name="Normal 16" xfId="173" xr:uid="{00000000-0005-0000-0000-00002B010000}"/>
    <cellStyle name="Normal 17" xfId="174" xr:uid="{00000000-0005-0000-0000-00002C010000}"/>
    <cellStyle name="Normal 18" xfId="175" xr:uid="{00000000-0005-0000-0000-00002D010000}"/>
    <cellStyle name="Normal 19" xfId="176" xr:uid="{00000000-0005-0000-0000-00002E010000}"/>
    <cellStyle name="Normal 2" xfId="1" xr:uid="{00000000-0005-0000-0000-00002F010000}"/>
    <cellStyle name="Normal 2 2" xfId="177" xr:uid="{00000000-0005-0000-0000-000030010000}"/>
    <cellStyle name="Normal 2 2 2" xfId="178" xr:uid="{00000000-0005-0000-0000-000031010000}"/>
    <cellStyle name="Normal 2 2 2 2" xfId="513" xr:uid="{00000000-0005-0000-0000-000032010000}"/>
    <cellStyle name="Normal 2 2 3" xfId="179" xr:uid="{00000000-0005-0000-0000-000033010000}"/>
    <cellStyle name="Normal 2 2 4" xfId="506" xr:uid="{00000000-0005-0000-0000-000034010000}"/>
    <cellStyle name="Normal 2 3" xfId="180" xr:uid="{00000000-0005-0000-0000-000035010000}"/>
    <cellStyle name="Normal 2 3 2" xfId="181" xr:uid="{00000000-0005-0000-0000-000036010000}"/>
    <cellStyle name="Normal 2 4" xfId="182" xr:uid="{00000000-0005-0000-0000-000037010000}"/>
    <cellStyle name="Normal 2_PKT_IS" xfId="439" xr:uid="{00000000-0005-0000-0000-000038010000}"/>
    <cellStyle name="Normal 20" xfId="183" xr:uid="{00000000-0005-0000-0000-000039010000}"/>
    <cellStyle name="Normal 21" xfId="320" xr:uid="{00000000-0005-0000-0000-00003A010000}"/>
    <cellStyle name="Normal 3" xfId="184" xr:uid="{00000000-0005-0000-0000-00003B010000}"/>
    <cellStyle name="Normal 3 2" xfId="185" xr:uid="{00000000-0005-0000-0000-00003C010000}"/>
    <cellStyle name="Normal 3 2 2" xfId="186" xr:uid="{00000000-0005-0000-0000-00003D010000}"/>
    <cellStyle name="Normal 32" xfId="440" xr:uid="{00000000-0005-0000-0000-00003E010000}"/>
    <cellStyle name="Normal 4" xfId="187" xr:uid="{00000000-0005-0000-0000-00003F010000}"/>
    <cellStyle name="Normal 4 2" xfId="188" xr:uid="{00000000-0005-0000-0000-000040010000}"/>
    <cellStyle name="Normal 4 3" xfId="514" xr:uid="{00000000-0005-0000-0000-000041010000}"/>
    <cellStyle name="Normal 5" xfId="189" xr:uid="{00000000-0005-0000-0000-000042010000}"/>
    <cellStyle name="Normal 6" xfId="190" xr:uid="{00000000-0005-0000-0000-000043010000}"/>
    <cellStyle name="Normal 7" xfId="191" xr:uid="{00000000-0005-0000-0000-000044010000}"/>
    <cellStyle name="Normal 8" xfId="192" xr:uid="{00000000-0005-0000-0000-000045010000}"/>
    <cellStyle name="Normal 9" xfId="193" xr:uid="{00000000-0005-0000-0000-000046010000}"/>
    <cellStyle name="Normal 9 10" xfId="194" xr:uid="{00000000-0005-0000-0000-000047010000}"/>
    <cellStyle name="Normal- no dec. only" xfId="441" xr:uid="{00000000-0005-0000-0000-000048010000}"/>
    <cellStyle name="Normal_Blue Matrix Upload Template Modified" xfId="313" xr:uid="{00000000-0005-0000-0000-000049010000}"/>
    <cellStyle name="Normal_Cognex 4.17.07" xfId="312" xr:uid="{00000000-0005-0000-0000-00004A010000}"/>
    <cellStyle name="Normal_EMC072000" xfId="315" xr:uid="{00000000-0005-0000-0000-00004B010000}"/>
    <cellStyle name="Normal_Income Stm" xfId="317" xr:uid="{00000000-0005-0000-0000-00004C010000}"/>
    <cellStyle name="Normal_rstn_is" xfId="321" xr:uid="{00000000-0005-0000-0000-00004D010000}"/>
    <cellStyle name="Normal-1 decimal" xfId="442" xr:uid="{00000000-0005-0000-0000-00004E010000}"/>
    <cellStyle name="NormalGB" xfId="195" xr:uid="{00000000-0005-0000-0000-00004F010000}"/>
    <cellStyle name="Note 2" xfId="196" xr:uid="{00000000-0005-0000-0000-000050010000}"/>
    <cellStyle name="Note 3" xfId="197" xr:uid="{00000000-0005-0000-0000-000051010000}"/>
    <cellStyle name="Number" xfId="198" xr:uid="{00000000-0005-0000-0000-000052010000}"/>
    <cellStyle name="number (0)" xfId="443" xr:uid="{00000000-0005-0000-0000-000053010000}"/>
    <cellStyle name="number (1)" xfId="444" xr:uid="{00000000-0005-0000-0000-000054010000}"/>
    <cellStyle name="number (2)" xfId="445" xr:uid="{00000000-0005-0000-0000-000055010000}"/>
    <cellStyle name="Œ…‹æØ‚è [0.00]_!!!GO" xfId="446" xr:uid="{00000000-0005-0000-0000-000056010000}"/>
    <cellStyle name="Œ…‹æØ‚è_!!!GO" xfId="447" xr:uid="{00000000-0005-0000-0000-000057010000}"/>
    <cellStyle name="Output 2" xfId="199" xr:uid="{00000000-0005-0000-0000-000058010000}"/>
    <cellStyle name="Output 3" xfId="200" xr:uid="{00000000-0005-0000-0000-000059010000}"/>
    <cellStyle name="Output Amounts" xfId="448" xr:uid="{00000000-0005-0000-0000-00005A010000}"/>
    <cellStyle name="Output Column Headings" xfId="449" xr:uid="{00000000-0005-0000-0000-00005B010000}"/>
    <cellStyle name="Output Line Items" xfId="450" xr:uid="{00000000-0005-0000-0000-00005C010000}"/>
    <cellStyle name="Output Report Heading" xfId="451" xr:uid="{00000000-0005-0000-0000-00005D010000}"/>
    <cellStyle name="Output Report Title" xfId="452" xr:uid="{00000000-0005-0000-0000-00005E010000}"/>
    <cellStyle name="over" xfId="201" xr:uid="{00000000-0005-0000-0000-00005F010000}"/>
    <cellStyle name="over 2" xfId="202" xr:uid="{00000000-0005-0000-0000-000060010000}"/>
    <cellStyle name="Page Number" xfId="203" xr:uid="{00000000-0005-0000-0000-000061010000}"/>
    <cellStyle name="pe" xfId="204" xr:uid="{00000000-0005-0000-0000-000062010000}"/>
    <cellStyle name="PEG" xfId="205" xr:uid="{00000000-0005-0000-0000-000063010000}"/>
    <cellStyle name="per.style" xfId="453" xr:uid="{00000000-0005-0000-0000-000064010000}"/>
    <cellStyle name="Percent" xfId="505" builtinId="5"/>
    <cellStyle name="percent (0)" xfId="206" xr:uid="{00000000-0005-0000-0000-000066010000}"/>
    <cellStyle name="percent (1)" xfId="454" xr:uid="{00000000-0005-0000-0000-000067010000}"/>
    <cellStyle name="percent (2)" xfId="455" xr:uid="{00000000-0005-0000-0000-000068010000}"/>
    <cellStyle name="percent (3)" xfId="456" xr:uid="{00000000-0005-0000-0000-000069010000}"/>
    <cellStyle name="Percent [0]" xfId="457" xr:uid="{00000000-0005-0000-0000-00006A010000}"/>
    <cellStyle name="Percent [00]" xfId="458" xr:uid="{00000000-0005-0000-0000-00006B010000}"/>
    <cellStyle name="Percent [2]" xfId="459" xr:uid="{00000000-0005-0000-0000-00006C010000}"/>
    <cellStyle name="Percent- 1 decimal" xfId="460" xr:uid="{00000000-0005-0000-0000-00006D010000}"/>
    <cellStyle name="Percent 10" xfId="207" xr:uid="{00000000-0005-0000-0000-00006E010000}"/>
    <cellStyle name="Percent 10 2" xfId="208" xr:uid="{00000000-0005-0000-0000-00006F010000}"/>
    <cellStyle name="Percent 11" xfId="209" xr:uid="{00000000-0005-0000-0000-000070010000}"/>
    <cellStyle name="Percent 12" xfId="210" xr:uid="{00000000-0005-0000-0000-000071010000}"/>
    <cellStyle name="Percent 2" xfId="3" xr:uid="{00000000-0005-0000-0000-000072010000}"/>
    <cellStyle name="Percent 2 2" xfId="211" xr:uid="{00000000-0005-0000-0000-000073010000}"/>
    <cellStyle name="Percent 2 2 2" xfId="212" xr:uid="{00000000-0005-0000-0000-000074010000}"/>
    <cellStyle name="Percent 2 2 3" xfId="213" xr:uid="{00000000-0005-0000-0000-000075010000}"/>
    <cellStyle name="Percent 2 2 3 2" xfId="516" xr:uid="{00000000-0005-0000-0000-000076010000}"/>
    <cellStyle name="Percent 2 2 4" xfId="515" xr:uid="{00000000-0005-0000-0000-000077010000}"/>
    <cellStyle name="Percent 2 3" xfId="214" xr:uid="{00000000-0005-0000-0000-000078010000}"/>
    <cellStyle name="Percent 3" xfId="215" xr:uid="{00000000-0005-0000-0000-000079010000}"/>
    <cellStyle name="Percent 3 2" xfId="216" xr:uid="{00000000-0005-0000-0000-00007A010000}"/>
    <cellStyle name="Percent 4" xfId="217" xr:uid="{00000000-0005-0000-0000-00007B010000}"/>
    <cellStyle name="Percent 4 2" xfId="218" xr:uid="{00000000-0005-0000-0000-00007C010000}"/>
    <cellStyle name="Percent 4 3" xfId="219" xr:uid="{00000000-0005-0000-0000-00007D010000}"/>
    <cellStyle name="Percent 5" xfId="220" xr:uid="{00000000-0005-0000-0000-00007E010000}"/>
    <cellStyle name="Percent 5 2" xfId="221" xr:uid="{00000000-0005-0000-0000-00007F010000}"/>
    <cellStyle name="Percent 6" xfId="222" xr:uid="{00000000-0005-0000-0000-000080010000}"/>
    <cellStyle name="Percent 7" xfId="223" xr:uid="{00000000-0005-0000-0000-000081010000}"/>
    <cellStyle name="Percent 8" xfId="224" xr:uid="{00000000-0005-0000-0000-000082010000}"/>
    <cellStyle name="Percent 8 2" xfId="225" xr:uid="{00000000-0005-0000-0000-000083010000}"/>
    <cellStyle name="Percent 9" xfId="226" xr:uid="{00000000-0005-0000-0000-000084010000}"/>
    <cellStyle name="posit" xfId="227" xr:uid="{00000000-0005-0000-0000-000085010000}"/>
    <cellStyle name="PrePop Currency (0)" xfId="461" xr:uid="{00000000-0005-0000-0000-000086010000}"/>
    <cellStyle name="PrePop Currency (2)" xfId="462" xr:uid="{00000000-0005-0000-0000-000087010000}"/>
    <cellStyle name="PrePop Units (0)" xfId="463" xr:uid="{00000000-0005-0000-0000-000088010000}"/>
    <cellStyle name="PrePop Units (1)" xfId="464" xr:uid="{00000000-0005-0000-0000-000089010000}"/>
    <cellStyle name="PrePop Units (2)" xfId="465" xr:uid="{00000000-0005-0000-0000-00008A010000}"/>
    <cellStyle name="price" xfId="228" xr:uid="{00000000-0005-0000-0000-00008B010000}"/>
    <cellStyle name="pricing" xfId="466" xr:uid="{00000000-0005-0000-0000-00008C010000}"/>
    <cellStyle name="PSChar" xfId="229" xr:uid="{00000000-0005-0000-0000-00008D010000}"/>
    <cellStyle name="PSDate" xfId="230" xr:uid="{00000000-0005-0000-0000-00008E010000}"/>
    <cellStyle name="PSDec" xfId="231" xr:uid="{00000000-0005-0000-0000-00008F010000}"/>
    <cellStyle name="PSHeading" xfId="232" xr:uid="{00000000-0005-0000-0000-000090010000}"/>
    <cellStyle name="PSInt" xfId="233" xr:uid="{00000000-0005-0000-0000-000091010000}"/>
    <cellStyle name="PSSpacer" xfId="234" xr:uid="{00000000-0005-0000-0000-000092010000}"/>
    <cellStyle name="q" xfId="235" xr:uid="{00000000-0005-0000-0000-000093010000}"/>
    <cellStyle name="QEPS-h" xfId="236" xr:uid="{00000000-0005-0000-0000-000094010000}"/>
    <cellStyle name="QEPS-H1" xfId="237" xr:uid="{00000000-0005-0000-0000-000095010000}"/>
    <cellStyle name="range" xfId="238" xr:uid="{00000000-0005-0000-0000-000096010000}"/>
    <cellStyle name="RangeBelow" xfId="239" xr:uid="{00000000-0005-0000-0000-000097010000}"/>
    <cellStyle name="Ref Numbers" xfId="467" xr:uid="{00000000-0005-0000-0000-000098010000}"/>
    <cellStyle name="regstoresfromspecstores" xfId="468" xr:uid="{00000000-0005-0000-0000-000099010000}"/>
    <cellStyle name="ReportTitlePrompt" xfId="469" xr:uid="{00000000-0005-0000-0000-00009A010000}"/>
    <cellStyle name="ReportTitleValue" xfId="470" xr:uid="{00000000-0005-0000-0000-00009B010000}"/>
    <cellStyle name="RevList" xfId="471" xr:uid="{00000000-0005-0000-0000-00009C010000}"/>
    <cellStyle name="Right" xfId="240" xr:uid="{00000000-0005-0000-0000-00009D010000}"/>
    <cellStyle name="row1" xfId="472" xr:uid="{00000000-0005-0000-0000-00009E010000}"/>
    <cellStyle name="RowAcctAbovePrompt" xfId="473" xr:uid="{00000000-0005-0000-0000-00009F010000}"/>
    <cellStyle name="RowAcctSOBAbovePrompt" xfId="474" xr:uid="{00000000-0005-0000-0000-0000A0010000}"/>
    <cellStyle name="RowAcctSOBValue" xfId="475" xr:uid="{00000000-0005-0000-0000-0000A1010000}"/>
    <cellStyle name="RowAcctValue" xfId="476" xr:uid="{00000000-0005-0000-0000-0000A2010000}"/>
    <cellStyle name="RowAttrAbovePrompt" xfId="477" xr:uid="{00000000-0005-0000-0000-0000A3010000}"/>
    <cellStyle name="RowAttrValue" xfId="478" xr:uid="{00000000-0005-0000-0000-0000A4010000}"/>
    <cellStyle name="RowColSetAbovePrompt" xfId="479" xr:uid="{00000000-0005-0000-0000-0000A5010000}"/>
    <cellStyle name="RowColSetLeftPrompt" xfId="480" xr:uid="{00000000-0005-0000-0000-0000A6010000}"/>
    <cellStyle name="RowColSetValue" xfId="481" xr:uid="{00000000-0005-0000-0000-0000A7010000}"/>
    <cellStyle name="RowLeftPrompt" xfId="482" xr:uid="{00000000-0005-0000-0000-0000A8010000}"/>
    <cellStyle name="Salomon Logo" xfId="241" xr:uid="{00000000-0005-0000-0000-0000A9010000}"/>
    <cellStyle name="Salomon Logo 2" xfId="517" xr:uid="{00000000-0005-0000-0000-0000AA010000}"/>
    <cellStyle name="SampleUsingFormatMask" xfId="483" xr:uid="{00000000-0005-0000-0000-0000AB010000}"/>
    <cellStyle name="SampleWithNoFormatMask" xfId="484" xr:uid="{00000000-0005-0000-0000-0000AC010000}"/>
    <cellStyle name="SHADEDSTORES" xfId="485" xr:uid="{00000000-0005-0000-0000-0000AD010000}"/>
    <cellStyle name="Single Accounting" xfId="242" xr:uid="{00000000-0005-0000-0000-0000AE010000}"/>
    <cellStyle name="SingleLineAcctgn" xfId="486" xr:uid="{00000000-0005-0000-0000-0000AF010000}"/>
    <cellStyle name="SingleLinePercent" xfId="487" xr:uid="{00000000-0005-0000-0000-0000B0010000}"/>
    <cellStyle name="SingleTopDoubleBott" xfId="243" xr:uid="{00000000-0005-0000-0000-0000B1010000}"/>
    <cellStyle name="SingleTopDoubleBott 2" xfId="244" xr:uid="{00000000-0005-0000-0000-0000B2010000}"/>
    <cellStyle name="Source Line" xfId="488" xr:uid="{00000000-0005-0000-0000-0000B3010000}"/>
    <cellStyle name="specstores" xfId="489" xr:uid="{00000000-0005-0000-0000-0000B4010000}"/>
    <cellStyle name="Style 1" xfId="245" xr:uid="{00000000-0005-0000-0000-0000B5010000}"/>
    <cellStyle name="Style 2" xfId="490" xr:uid="{00000000-0005-0000-0000-0000B6010000}"/>
    <cellStyle name="Style 21" xfId="246" xr:uid="{00000000-0005-0000-0000-0000B7010000}"/>
    <cellStyle name="Style 22" xfId="247" xr:uid="{00000000-0005-0000-0000-0000B8010000}"/>
    <cellStyle name="Style 22 2" xfId="248" xr:uid="{00000000-0005-0000-0000-0000B9010000}"/>
    <cellStyle name="Style 22 3" xfId="249" xr:uid="{00000000-0005-0000-0000-0000BA010000}"/>
    <cellStyle name="Style 23" xfId="250" xr:uid="{00000000-0005-0000-0000-0000BB010000}"/>
    <cellStyle name="Style 24" xfId="251" xr:uid="{00000000-0005-0000-0000-0000BC010000}"/>
    <cellStyle name="Style 24 2" xfId="252" xr:uid="{00000000-0005-0000-0000-0000BD010000}"/>
    <cellStyle name="Style 24 3" xfId="253" xr:uid="{00000000-0005-0000-0000-0000BE010000}"/>
    <cellStyle name="Style 25" xfId="254" xr:uid="{00000000-0005-0000-0000-0000BF010000}"/>
    <cellStyle name="Style 26" xfId="255" xr:uid="{00000000-0005-0000-0000-0000C0010000}"/>
    <cellStyle name="Style 26 2" xfId="256" xr:uid="{00000000-0005-0000-0000-0000C1010000}"/>
    <cellStyle name="Style 26 3" xfId="257" xr:uid="{00000000-0005-0000-0000-0000C2010000}"/>
    <cellStyle name="Style 27" xfId="258" xr:uid="{00000000-0005-0000-0000-0000C3010000}"/>
    <cellStyle name="Style 28" xfId="259" xr:uid="{00000000-0005-0000-0000-0000C4010000}"/>
    <cellStyle name="Style 29" xfId="260" xr:uid="{00000000-0005-0000-0000-0000C5010000}"/>
    <cellStyle name="Style 29 2" xfId="261" xr:uid="{00000000-0005-0000-0000-0000C6010000}"/>
    <cellStyle name="Style 30" xfId="262" xr:uid="{00000000-0005-0000-0000-0000C7010000}"/>
    <cellStyle name="Style 30 2" xfId="263" xr:uid="{00000000-0005-0000-0000-0000C8010000}"/>
    <cellStyle name="Style 31" xfId="264" xr:uid="{00000000-0005-0000-0000-0000C9010000}"/>
    <cellStyle name="Style 31 2" xfId="265" xr:uid="{00000000-0005-0000-0000-0000CA010000}"/>
    <cellStyle name="Style 32" xfId="266" xr:uid="{00000000-0005-0000-0000-0000CB010000}"/>
    <cellStyle name="Style 33" xfId="267" xr:uid="{00000000-0005-0000-0000-0000CC010000}"/>
    <cellStyle name="Style 33 2" xfId="268" xr:uid="{00000000-0005-0000-0000-0000CD010000}"/>
    <cellStyle name="Style 34" xfId="269" xr:uid="{00000000-0005-0000-0000-0000CE010000}"/>
    <cellStyle name="Style 34 2" xfId="270" xr:uid="{00000000-0005-0000-0000-0000CF010000}"/>
    <cellStyle name="Style 35" xfId="271" xr:uid="{00000000-0005-0000-0000-0000D0010000}"/>
    <cellStyle name="Style 35 2" xfId="272" xr:uid="{00000000-0005-0000-0000-0000D1010000}"/>
    <cellStyle name="Style 36" xfId="273" xr:uid="{00000000-0005-0000-0000-0000D2010000}"/>
    <cellStyle name="Style 36 2" xfId="274" xr:uid="{00000000-0005-0000-0000-0000D3010000}"/>
    <cellStyle name="Style 39" xfId="275" xr:uid="{00000000-0005-0000-0000-0000D4010000}"/>
    <cellStyle name="Style 39 2" xfId="276" xr:uid="{00000000-0005-0000-0000-0000D5010000}"/>
    <cellStyle name="style1" xfId="491" xr:uid="{00000000-0005-0000-0000-0000D6010000}"/>
    <cellStyle name="SubRoutine" xfId="277" xr:uid="{00000000-0005-0000-0000-0000D7010000}"/>
    <cellStyle name="Subtotal" xfId="492" xr:uid="{00000000-0005-0000-0000-0000D8010000}"/>
    <cellStyle name="Table Head" xfId="278" xr:uid="{00000000-0005-0000-0000-0000D9010000}"/>
    <cellStyle name="Table Head Aligned" xfId="279" xr:uid="{00000000-0005-0000-0000-0000DA010000}"/>
    <cellStyle name="Table Head Blue" xfId="280" xr:uid="{00000000-0005-0000-0000-0000DB010000}"/>
    <cellStyle name="Table Head Green" xfId="281" xr:uid="{00000000-0005-0000-0000-0000DC010000}"/>
    <cellStyle name="Table Head_Val_Sum_Graph" xfId="282" xr:uid="{00000000-0005-0000-0000-0000DD010000}"/>
    <cellStyle name="Table Heading" xfId="493" xr:uid="{00000000-0005-0000-0000-0000DE010000}"/>
    <cellStyle name="Table Text" xfId="283" xr:uid="{00000000-0005-0000-0000-0000DF010000}"/>
    <cellStyle name="Table Title" xfId="284" xr:uid="{00000000-0005-0000-0000-0000E0010000}"/>
    <cellStyle name="Table Units" xfId="285" xr:uid="{00000000-0005-0000-0000-0000E1010000}"/>
    <cellStyle name="Table_Header" xfId="286" xr:uid="{00000000-0005-0000-0000-0000E2010000}"/>
    <cellStyle name="TableBody" xfId="287" xr:uid="{00000000-0005-0000-0000-0000E3010000}"/>
    <cellStyle name="TableColHeads" xfId="288" xr:uid="{00000000-0005-0000-0000-0000E4010000}"/>
    <cellStyle name="tcn" xfId="289" xr:uid="{00000000-0005-0000-0000-0000E5010000}"/>
    <cellStyle name="Text 1" xfId="290" xr:uid="{00000000-0005-0000-0000-0000E6010000}"/>
    <cellStyle name="Text Head 1" xfId="291" xr:uid="{00000000-0005-0000-0000-0000E7010000}"/>
    <cellStyle name="Text Indent A" xfId="494" xr:uid="{00000000-0005-0000-0000-0000E8010000}"/>
    <cellStyle name="Text Indent B" xfId="495" xr:uid="{00000000-0005-0000-0000-0000E9010000}"/>
    <cellStyle name="Text Indent C" xfId="496" xr:uid="{00000000-0005-0000-0000-0000EA010000}"/>
    <cellStyle name="Times 10" xfId="292" xr:uid="{00000000-0005-0000-0000-0000EB010000}"/>
    <cellStyle name="Times 12" xfId="293" xr:uid="{00000000-0005-0000-0000-0000EC010000}"/>
    <cellStyle name="Title 2" xfId="294" xr:uid="{00000000-0005-0000-0000-0000ED010000}"/>
    <cellStyle name="Title 3" xfId="295" xr:uid="{00000000-0005-0000-0000-0000EE010000}"/>
    <cellStyle name="Title Line" xfId="497" xr:uid="{00000000-0005-0000-0000-0000EF010000}"/>
    <cellStyle name="title2" xfId="296" xr:uid="{00000000-0005-0000-0000-0000F0010000}"/>
    <cellStyle name="tn" xfId="297" xr:uid="{00000000-0005-0000-0000-0000F1010000}"/>
    <cellStyle name="Top Line Light" xfId="298" xr:uid="{00000000-0005-0000-0000-0000F2010000}"/>
    <cellStyle name="Top Line Light 2" xfId="299" xr:uid="{00000000-0005-0000-0000-0000F3010000}"/>
    <cellStyle name="Top Row" xfId="498" xr:uid="{00000000-0005-0000-0000-0000F4010000}"/>
    <cellStyle name="Total 2" xfId="300" xr:uid="{00000000-0005-0000-0000-0000F5010000}"/>
    <cellStyle name="Total 3" xfId="301" xr:uid="{00000000-0005-0000-0000-0000F6010000}"/>
    <cellStyle name="Total Row" xfId="499" xr:uid="{00000000-0005-0000-0000-0000F7010000}"/>
    <cellStyle name="Underline" xfId="302" xr:uid="{00000000-0005-0000-0000-0000F8010000}"/>
    <cellStyle name="Underline 2" xfId="303" xr:uid="{00000000-0005-0000-0000-0000F9010000}"/>
    <cellStyle name="Underline_Single" xfId="304" xr:uid="{00000000-0005-0000-0000-0000FA010000}"/>
    <cellStyle name="UnderlineDouble" xfId="305" xr:uid="{00000000-0005-0000-0000-0000FB010000}"/>
    <cellStyle name="UnderlineDouble 2" xfId="306" xr:uid="{00000000-0005-0000-0000-0000FC010000}"/>
    <cellStyle name="UploadThisRowValue" xfId="500" xr:uid="{00000000-0005-0000-0000-0000FD010000}"/>
    <cellStyle name="Währung [0]_pldt" xfId="501" xr:uid="{00000000-0005-0000-0000-0000FE010000}"/>
    <cellStyle name="Währung_pldt" xfId="502" xr:uid="{00000000-0005-0000-0000-0000FF010000}"/>
    <cellStyle name="Warning Text 2" xfId="307" xr:uid="{00000000-0005-0000-0000-000000020000}"/>
    <cellStyle name="Warning Text 3" xfId="308" xr:uid="{00000000-0005-0000-0000-000001020000}"/>
    <cellStyle name="year" xfId="309" xr:uid="{00000000-0005-0000-0000-000002020000}"/>
    <cellStyle name="Yen" xfId="310" xr:uid="{00000000-0005-0000-0000-000003020000}"/>
    <cellStyle name="桁区切り [0.0]" xfId="311" xr:uid="{00000000-0005-0000-0000-000004020000}"/>
    <cellStyle name="標準_AR aging and Bad Debt reserve 10-13-03" xfId="503" xr:uid="{00000000-0005-0000-0000-000005020000}"/>
    <cellStyle name="通貨 [0.00]_Sheet1" xfId="504" xr:uid="{00000000-0005-0000-0000-000006020000}"/>
  </cellStyles>
  <dxfs count="0"/>
  <tableStyles count="0" defaultTableStyle="TableStyleMedium2" defaultPivotStyle="PivotStyleLight16"/>
  <colors>
    <mruColors>
      <color rgb="FF0070C0"/>
      <color rgb="FF003366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ARPU Growth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ARPU!$C$5</c:f>
              <c:strCache>
                <c:ptCount val="1"/>
                <c:pt idx="0">
                  <c:v>ARR Per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ARPU!$D$4:$S$4</c:f>
              <c:strCache>
                <c:ptCount val="16"/>
                <c:pt idx="0">
                  <c:v>1Q-Mar 22A</c:v>
                </c:pt>
                <c:pt idx="1">
                  <c:v>2Q-Jun 22A</c:v>
                </c:pt>
                <c:pt idx="2">
                  <c:v>3Q-Sep 22A</c:v>
                </c:pt>
                <c:pt idx="3">
                  <c:v>4Q-Dec 22A</c:v>
                </c:pt>
                <c:pt idx="4">
                  <c:v>1Q-Mar 23A</c:v>
                </c:pt>
                <c:pt idx="5">
                  <c:v>2Q-Jun 23A</c:v>
                </c:pt>
                <c:pt idx="6">
                  <c:v>3Q-Sep 23A</c:v>
                </c:pt>
                <c:pt idx="7">
                  <c:v>4Q-Dec 23A</c:v>
                </c:pt>
                <c:pt idx="8">
                  <c:v>1Q-Mar 24A</c:v>
                </c:pt>
                <c:pt idx="9">
                  <c:v>2Q-Jun 24A</c:v>
                </c:pt>
                <c:pt idx="10">
                  <c:v>3Q-Sep 24E</c:v>
                </c:pt>
                <c:pt idx="11">
                  <c:v>4Q-Dec 24E</c:v>
                </c:pt>
                <c:pt idx="12">
                  <c:v>1Q-Mar 25A</c:v>
                </c:pt>
                <c:pt idx="13">
                  <c:v>2Q-Jun 25A</c:v>
                </c:pt>
                <c:pt idx="14">
                  <c:v>3Q-Sep 25A</c:v>
                </c:pt>
                <c:pt idx="15">
                  <c:v>4Q-Dec 25A</c:v>
                </c:pt>
              </c:strCache>
            </c:strRef>
          </c:cat>
          <c:val>
            <c:numRef>
              <c:f>ARPU!$D$5:$S$5</c:f>
              <c:numCache>
                <c:formatCode>_([$$-409]* #,##0_);_([$$-409]* \(#,##0\);_([$$-409]* "-"??_);_(@_)</c:formatCode>
                <c:ptCount val="16"/>
                <c:pt idx="0">
                  <c:v>60300</c:v>
                </c:pt>
                <c:pt idx="1">
                  <c:v>62000</c:v>
                </c:pt>
                <c:pt idx="2">
                  <c:v>63400</c:v>
                </c:pt>
                <c:pt idx="3">
                  <c:v>65400</c:v>
                </c:pt>
                <c:pt idx="4">
                  <c:v>66000</c:v>
                </c:pt>
                <c:pt idx="5">
                  <c:v>66500</c:v>
                </c:pt>
                <c:pt idx="6">
                  <c:v>68100</c:v>
                </c:pt>
                <c:pt idx="7">
                  <c:v>69900</c:v>
                </c:pt>
                <c:pt idx="8">
                  <c:v>70423.660792182869</c:v>
                </c:pt>
                <c:pt idx="9">
                  <c:v>70608.364607077543</c:v>
                </c:pt>
                <c:pt idx="10">
                  <c:v>71240.090342986208</c:v>
                </c:pt>
                <c:pt idx="11">
                  <c:v>72475.088046845165</c:v>
                </c:pt>
                <c:pt idx="12">
                  <c:v>71649.122807017542</c:v>
                </c:pt>
                <c:pt idx="13">
                  <c:v>72198.746027656103</c:v>
                </c:pt>
                <c:pt idx="14">
                  <c:v>72106.214494749525</c:v>
                </c:pt>
                <c:pt idx="15">
                  <c:v>71946.205242419048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9-41AC-AF4E-2B785755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023871"/>
        <c:axId val="2070020575"/>
      </c:barChart>
      <c:lineChart>
        <c:grouping val="standard"/>
        <c:varyColors val="0"/>
        <c:ser>
          <c:idx val="1"/>
          <c:order val="1"/>
          <c:tx>
            <c:strRef>
              <c:f>ARPU!$C$6</c:f>
              <c:strCache>
                <c:ptCount val="1"/>
                <c:pt idx="0">
                  <c:v>  Yr-Yr 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947001394700267E-3"/>
                  <c:y val="-3.69003690036900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49-41AC-AF4E-2B78575516E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23C-4B79-972D-9C2EF2EFD2E5}"/>
                </c:ext>
              </c:extLst>
            </c:dLbl>
            <c:dLbl>
              <c:idx val="2"/>
              <c:layout>
                <c:manualLayout>
                  <c:x val="1.094331363536879E-3"/>
                  <c:y val="5.3672316384180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3C-4B79-972D-9C2EF2EFD2E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23C-4B79-972D-9C2EF2EFD2E5}"/>
                </c:ext>
              </c:extLst>
            </c:dLbl>
            <c:dLbl>
              <c:idx val="4"/>
              <c:layout>
                <c:manualLayout>
                  <c:x val="6.9735006973499674E-3"/>
                  <c:y val="-9.22509225092262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49-41AC-AF4E-2B78575516E1}"/>
                </c:ext>
              </c:extLst>
            </c:dLbl>
            <c:dLbl>
              <c:idx val="5"/>
              <c:layout>
                <c:manualLayout>
                  <c:x val="4.1841004184100415E-3"/>
                  <c:y val="-3.69003690036900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49-41AC-AF4E-2B78575516E1}"/>
                </c:ext>
              </c:extLst>
            </c:dLbl>
            <c:dLbl>
              <c:idx val="6"/>
              <c:layout>
                <c:manualLayout>
                  <c:x val="6.9735006973500697E-3"/>
                  <c:y val="-2.15252152521526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49-41AC-AF4E-2B78575516E1}"/>
                </c:ext>
              </c:extLst>
            </c:dLbl>
            <c:dLbl>
              <c:idx val="7"/>
              <c:layout>
                <c:manualLayout>
                  <c:x val="4.1841004184100415E-3"/>
                  <c:y val="-3.07503075030750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49-41AC-AF4E-2B78575516E1}"/>
                </c:ext>
              </c:extLst>
            </c:dLbl>
            <c:dLbl>
              <c:idx val="8"/>
              <c:layout>
                <c:manualLayout>
                  <c:x val="4.1841004184100415E-3"/>
                  <c:y val="-2.76752767527676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49-41AC-AF4E-2B78575516E1}"/>
                </c:ext>
              </c:extLst>
            </c:dLbl>
            <c:dLbl>
              <c:idx val="9"/>
              <c:layout>
                <c:manualLayout>
                  <c:x val="8.368200836820083E-3"/>
                  <c:y val="-1.84501845018450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49-41AC-AF4E-2B78575516E1}"/>
                </c:ext>
              </c:extLst>
            </c:dLbl>
            <c:dLbl>
              <c:idx val="10"/>
              <c:layout>
                <c:manualLayout>
                  <c:x val="5.5788005578799532E-3"/>
                  <c:y val="-2.15252152521525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F49-41AC-AF4E-2B78575516E1}"/>
                </c:ext>
              </c:extLst>
            </c:dLbl>
            <c:dLbl>
              <c:idx val="11"/>
              <c:layout>
                <c:manualLayout>
                  <c:x val="5.5788005578798509E-3"/>
                  <c:y val="-2.76752767527675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F49-41AC-AF4E-2B78575516E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B39-4C80-95C9-29553A0D3950}"/>
                </c:ext>
              </c:extLst>
            </c:dLbl>
            <c:dLbl>
              <c:idx val="13"/>
              <c:layout>
                <c:manualLayout>
                  <c:x val="3.2829940906106371E-3"/>
                  <c:y val="-4.80225988700564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9-4C80-95C9-29553A0D3950}"/>
                </c:ext>
              </c:extLst>
            </c:dLbl>
            <c:dLbl>
              <c:idx val="14"/>
              <c:layout>
                <c:manualLayout>
                  <c:x val="4.3773254541475161E-3"/>
                  <c:y val="-6.21468926553672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39-4C80-95C9-29553A0D395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B39-4C80-95C9-29553A0D395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B39-4C80-95C9-29553A0D395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B39-4C80-95C9-29553A0D395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B39-4C80-95C9-29553A0D3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ARPU!$D$4:$S$4</c:f>
              <c:strCache>
                <c:ptCount val="16"/>
                <c:pt idx="0">
                  <c:v>1Q-Mar 22A</c:v>
                </c:pt>
                <c:pt idx="1">
                  <c:v>2Q-Jun 22A</c:v>
                </c:pt>
                <c:pt idx="2">
                  <c:v>3Q-Sep 22A</c:v>
                </c:pt>
                <c:pt idx="3">
                  <c:v>4Q-Dec 22A</c:v>
                </c:pt>
                <c:pt idx="4">
                  <c:v>1Q-Mar 23A</c:v>
                </c:pt>
                <c:pt idx="5">
                  <c:v>2Q-Jun 23A</c:v>
                </c:pt>
                <c:pt idx="6">
                  <c:v>3Q-Sep 23A</c:v>
                </c:pt>
                <c:pt idx="7">
                  <c:v>4Q-Dec 23A</c:v>
                </c:pt>
                <c:pt idx="8">
                  <c:v>1Q-Mar 24A</c:v>
                </c:pt>
                <c:pt idx="9">
                  <c:v>2Q-Jun 24A</c:v>
                </c:pt>
                <c:pt idx="10">
                  <c:v>3Q-Sep 24E</c:v>
                </c:pt>
                <c:pt idx="11">
                  <c:v>4Q-Dec 24E</c:v>
                </c:pt>
                <c:pt idx="12">
                  <c:v>1Q-Mar 25A</c:v>
                </c:pt>
                <c:pt idx="13">
                  <c:v>2Q-Jun 25A</c:v>
                </c:pt>
                <c:pt idx="14">
                  <c:v>3Q-Sep 25A</c:v>
                </c:pt>
                <c:pt idx="15">
                  <c:v>4Q-Dec 25A</c:v>
                </c:pt>
              </c:strCache>
            </c:strRef>
          </c:cat>
          <c:val>
            <c:numRef>
              <c:f>ARPU!$D$6:$S$6</c:f>
              <c:numCache>
                <c:formatCode>0%</c:formatCode>
                <c:ptCount val="16"/>
                <c:pt idx="0">
                  <c:v>0.18235294117647061</c:v>
                </c:pt>
                <c:pt idx="1">
                  <c:v>0.18095238095238098</c:v>
                </c:pt>
                <c:pt idx="2">
                  <c:v>0.14234234234234244</c:v>
                </c:pt>
                <c:pt idx="3">
                  <c:v>0.12178387650085765</c:v>
                </c:pt>
                <c:pt idx="4">
                  <c:v>9.4527363184079505E-2</c:v>
                </c:pt>
                <c:pt idx="5">
                  <c:v>7.2580645161290258E-2</c:v>
                </c:pt>
                <c:pt idx="6">
                  <c:v>7.4132492113564652E-2</c:v>
                </c:pt>
                <c:pt idx="7">
                  <c:v>6.8807339449541205E-2</c:v>
                </c:pt>
                <c:pt idx="8">
                  <c:v>6.7025163517922204E-2</c:v>
                </c:pt>
                <c:pt idx="9">
                  <c:v>6.1779918903421605E-2</c:v>
                </c:pt>
                <c:pt idx="10">
                  <c:v>4.6109990352220409E-2</c:v>
                </c:pt>
                <c:pt idx="11">
                  <c:v>3.683960009792786E-2</c:v>
                </c:pt>
                <c:pt idx="12">
                  <c:v>1.7401282481621649E-2</c:v>
                </c:pt>
                <c:pt idx="13">
                  <c:v>2.2523980401312871E-2</c:v>
                </c:pt>
                <c:pt idx="14">
                  <c:v>1.2157819390645752E-2</c:v>
                </c:pt>
                <c:pt idx="15">
                  <c:v>-7.2974427307251899E-3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9-41AC-AF4E-2B785755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988271"/>
        <c:axId val="2006736383"/>
      </c:lineChart>
      <c:catAx>
        <c:axId val="200402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20575"/>
        <c:crosses val="autoZero"/>
        <c:auto val="1"/>
        <c:lblAlgn val="ctr"/>
        <c:lblOffset val="100"/>
        <c:noMultiLvlLbl val="0"/>
      </c:catAx>
      <c:valAx>
        <c:axId val="2070020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ARPU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(in $thous.)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023871"/>
        <c:crosses val="autoZero"/>
        <c:crossBetween val="between"/>
      </c:valAx>
      <c:valAx>
        <c:axId val="20067363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ARPU Growth Yr-Yr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88271"/>
        <c:crosses val="max"/>
        <c:crossBetween val="between"/>
      </c:valAx>
      <c:catAx>
        <c:axId val="2003988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6736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19050</xdr:colOff>
      <xdr:row>72</xdr:row>
      <xdr:rowOff>19050</xdr:rowOff>
    </xdr:to>
    <xdr:pic>
      <xdr:nvPicPr>
        <xdr:cNvPr id="2" name="Picture 9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2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19050</xdr:colOff>
      <xdr:row>72</xdr:row>
      <xdr:rowOff>19050</xdr:rowOff>
    </xdr:to>
    <xdr:pic>
      <xdr:nvPicPr>
        <xdr:cNvPr id="3" name="Picture 10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2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12</xdr:row>
      <xdr:rowOff>137160</xdr:rowOff>
    </xdr:from>
    <xdr:to>
      <xdr:col>22</xdr:col>
      <xdr:colOff>15240</xdr:colOff>
      <xdr:row>37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783AD-26BB-4ACC-8FF5-529D02DBF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9525</xdr:colOff>
      <xdr:row>61</xdr:row>
      <xdr:rowOff>9525</xdr:rowOff>
    </xdr:to>
    <xdr:pic>
      <xdr:nvPicPr>
        <xdr:cNvPr id="2" name="Picture 9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146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9525</xdr:colOff>
      <xdr:row>61</xdr:row>
      <xdr:rowOff>9525</xdr:rowOff>
    </xdr:to>
    <xdr:pic>
      <xdr:nvPicPr>
        <xdr:cNvPr id="3" name="Picture 10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146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122819</xdr:colOff>
      <xdr:row>38</xdr:row>
      <xdr:rowOff>189571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47619" cy="74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11</xdr:col>
      <xdr:colOff>389638</xdr:colOff>
      <xdr:row>74</xdr:row>
      <xdr:rowOff>84952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1000"/>
          <a:ext cx="7095238" cy="61809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ata_network\Optical\Excel\glw\OLD\Lissa\glwLiss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tuff\standalon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y%20Documents\S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onndist\amp\AMP_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CF"/>
      <sheetName val="Seg"/>
      <sheetName val="telecomm"/>
      <sheetName val="infodisplay"/>
      <sheetName val="AM"/>
      <sheetName val="IS"/>
      <sheetName val="New Template"/>
    </sheetNames>
    <sheetDataSet>
      <sheetData sheetId="0" refreshError="1">
        <row r="7">
          <cell r="BB7">
            <v>101.5</v>
          </cell>
        </row>
        <row r="12">
          <cell r="BB12">
            <v>1632</v>
          </cell>
        </row>
        <row r="16">
          <cell r="BB16">
            <v>2909.9</v>
          </cell>
        </row>
        <row r="21">
          <cell r="BB21">
            <v>5673.8</v>
          </cell>
        </row>
        <row r="29">
          <cell r="BB29">
            <v>1218.7</v>
          </cell>
        </row>
        <row r="31">
          <cell r="BB31">
            <v>1287.5999999999999</v>
          </cell>
        </row>
        <row r="37">
          <cell r="BB37">
            <v>2116</v>
          </cell>
        </row>
        <row r="39">
          <cell r="BB39">
            <v>5673.8</v>
          </cell>
        </row>
        <row r="42">
          <cell r="BB42">
            <v>9.0311566367904383</v>
          </cell>
        </row>
        <row r="43">
          <cell r="BB43">
            <v>0.43320529236022193</v>
          </cell>
        </row>
        <row r="44">
          <cell r="BB44">
            <v>1483.8999999999999</v>
          </cell>
        </row>
        <row r="46">
          <cell r="BB46">
            <v>0.41220589460818358</v>
          </cell>
        </row>
        <row r="50">
          <cell r="BB50">
            <v>61.964804693758602</v>
          </cell>
        </row>
        <row r="52">
          <cell r="BB52">
            <v>4.6739108421355198</v>
          </cell>
        </row>
        <row r="53">
          <cell r="BB53">
            <v>8.477754669784647E-2</v>
          </cell>
        </row>
        <row r="54">
          <cell r="BB54">
            <v>0.76203985010686115</v>
          </cell>
        </row>
        <row r="55">
          <cell r="BB55">
            <v>1.4814704402750087</v>
          </cell>
        </row>
        <row r="56">
          <cell r="BB56">
            <v>4.2624638147314249</v>
          </cell>
        </row>
        <row r="57">
          <cell r="BB57">
            <v>0.18057290061102449</v>
          </cell>
        </row>
      </sheetData>
      <sheetData sheetId="1" refreshError="1">
        <row r="16">
          <cell r="AO16">
            <v>849.69999999999993</v>
          </cell>
          <cell r="AT16">
            <v>979.89999999999986</v>
          </cell>
          <cell r="AY16">
            <v>846.50000000000045</v>
          </cell>
          <cell r="BD16">
            <v>1040.4312399999999</v>
          </cell>
          <cell r="BI16">
            <v>1234.6855966167495</v>
          </cell>
        </row>
        <row r="17">
          <cell r="AY17">
            <v>3.6868466898954724</v>
          </cell>
          <cell r="BD17">
            <v>4.4429646204761388</v>
          </cell>
          <cell r="BI17">
            <v>5.2500716343860931</v>
          </cell>
        </row>
        <row r="31">
          <cell r="AO31">
            <v>8.2342580361073614E-2</v>
          </cell>
          <cell r="AT31">
            <v>0.12992727405620727</v>
          </cell>
          <cell r="AY31">
            <v>-4.1464285714283435E-2</v>
          </cell>
          <cell r="BD31">
            <v>-0.17980128929490755</v>
          </cell>
          <cell r="BI31">
            <v>3.1898042734717555</v>
          </cell>
        </row>
        <row r="68">
          <cell r="BB68">
            <v>984.19999999999993</v>
          </cell>
        </row>
        <row r="69">
          <cell r="BB69">
            <v>0.14004401714351933</v>
          </cell>
        </row>
        <row r="70">
          <cell r="BB70">
            <v>4.2005975245411857</v>
          </cell>
        </row>
        <row r="72">
          <cell r="BC72">
            <v>1192.127614175</v>
          </cell>
        </row>
        <row r="73">
          <cell r="BC73">
            <v>5.0826161337667868</v>
          </cell>
        </row>
        <row r="74">
          <cell r="BC74">
            <v>0.21126561082605155</v>
          </cell>
        </row>
        <row r="76">
          <cell r="BB76">
            <v>0.17484153335345609</v>
          </cell>
        </row>
        <row r="77">
          <cell r="BB77">
            <v>1.1586840376479799</v>
          </cell>
        </row>
        <row r="78">
          <cell r="BB78">
            <v>1.9871355060034308</v>
          </cell>
        </row>
        <row r="79">
          <cell r="BB79">
            <v>1.3563645193738838</v>
          </cell>
        </row>
        <row r="80">
          <cell r="BB80">
            <v>-95.195300000000131</v>
          </cell>
        </row>
        <row r="81">
          <cell r="BB81">
            <v>-0.40629662825437529</v>
          </cell>
        </row>
        <row r="82">
          <cell r="BB82" t="str">
            <v>NM</v>
          </cell>
        </row>
        <row r="84">
          <cell r="AX84">
            <v>-95.195300000000131</v>
          </cell>
          <cell r="BC84">
            <v>161.37016958153967</v>
          </cell>
        </row>
        <row r="85">
          <cell r="BC85">
            <v>0.68799901761475024</v>
          </cell>
        </row>
        <row r="86">
          <cell r="BC86">
            <v>1.0617421165466007E-2</v>
          </cell>
        </row>
        <row r="87">
          <cell r="BC87">
            <v>4.3166725405007537E-2</v>
          </cell>
        </row>
        <row r="88">
          <cell r="BC88" t="str">
            <v>NM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© Salomon Smith Barney Inc. 1999.  All rights reserved.  Reproduction or quotation in whole or part without permission is forbidden.</v>
          </cell>
        </row>
        <row r="2">
          <cell r="A2" t="str">
            <v xml:space="preserve">Table 6A.  Corning Inc.— Restated Quarterly Income Statement  </v>
          </cell>
        </row>
        <row r="3">
          <cell r="A3" t="str">
            <v>(Millions Of Dollars, Except Per-Share Data; Restated for Spinoffs &amp; Accounting Calendar Change)</v>
          </cell>
          <cell r="AJ3" t="str">
            <v xml:space="preserve"> </v>
          </cell>
        </row>
        <row r="4">
          <cell r="P4" t="str">
            <v xml:space="preserve">   Year</v>
          </cell>
          <cell r="R4" t="str">
            <v>1992</v>
          </cell>
          <cell r="U4" t="str">
            <v xml:space="preserve">   Year</v>
          </cell>
          <cell r="W4" t="str">
            <v xml:space="preserve">1993 </v>
          </cell>
          <cell r="Z4" t="str">
            <v xml:space="preserve">   Year</v>
          </cell>
          <cell r="AB4" t="str">
            <v>1994</v>
          </cell>
          <cell r="AE4" t="str">
            <v xml:space="preserve">   Year</v>
          </cell>
          <cell r="AG4" t="str">
            <v xml:space="preserve"> 1995</v>
          </cell>
          <cell r="AJ4" t="str">
            <v xml:space="preserve">   Year</v>
          </cell>
          <cell r="AL4" t="str">
            <v xml:space="preserve"> 1996</v>
          </cell>
          <cell r="AO4" t="str">
            <v xml:space="preserve">   Year</v>
          </cell>
          <cell r="AQ4" t="str">
            <v>1997R</v>
          </cell>
          <cell r="AT4" t="str">
            <v xml:space="preserve">   Year</v>
          </cell>
          <cell r="AV4">
            <v>1998</v>
          </cell>
          <cell r="AY4" t="str">
            <v xml:space="preserve">   Year</v>
          </cell>
          <cell r="BA4" t="str">
            <v>Estimated 1999</v>
          </cell>
          <cell r="BD4" t="str">
            <v xml:space="preserve">   Year</v>
          </cell>
          <cell r="BF4" t="str">
            <v>Estimated 2000</v>
          </cell>
          <cell r="BI4" t="str">
            <v xml:space="preserve">   Year</v>
          </cell>
        </row>
        <row r="5">
          <cell r="P5" t="str">
            <v xml:space="preserve">   1991</v>
          </cell>
          <cell r="Q5" t="str">
            <v>1Q</v>
          </cell>
          <cell r="R5" t="str">
            <v>2Q</v>
          </cell>
          <cell r="S5" t="str">
            <v>3Q</v>
          </cell>
          <cell r="T5" t="str">
            <v>4Q</v>
          </cell>
          <cell r="U5" t="str">
            <v xml:space="preserve">   1992</v>
          </cell>
          <cell r="V5" t="str">
            <v>1Q</v>
          </cell>
          <cell r="W5" t="str">
            <v>2Q</v>
          </cell>
          <cell r="X5" t="str">
            <v>3Q</v>
          </cell>
          <cell r="Y5" t="str">
            <v>4Q</v>
          </cell>
          <cell r="Z5" t="str">
            <v xml:space="preserve">   1993</v>
          </cell>
          <cell r="AA5" t="str">
            <v>1Q</v>
          </cell>
          <cell r="AB5" t="str">
            <v>2Q</v>
          </cell>
          <cell r="AC5" t="str">
            <v>3Q</v>
          </cell>
          <cell r="AD5" t="str">
            <v>4Q</v>
          </cell>
          <cell r="AE5" t="str">
            <v xml:space="preserve">   1994</v>
          </cell>
          <cell r="AF5" t="str">
            <v>1Q</v>
          </cell>
          <cell r="AG5" t="str">
            <v>2Q</v>
          </cell>
          <cell r="AH5" t="str">
            <v>3Q</v>
          </cell>
          <cell r="AI5" t="str">
            <v>4Q</v>
          </cell>
          <cell r="AJ5" t="str">
            <v xml:space="preserve">   1995</v>
          </cell>
          <cell r="AK5" t="str">
            <v>1Q</v>
          </cell>
          <cell r="AL5" t="str">
            <v>2Q</v>
          </cell>
          <cell r="AM5" t="str">
            <v>3Q</v>
          </cell>
          <cell r="AN5" t="str">
            <v>4Q</v>
          </cell>
          <cell r="AO5" t="str">
            <v xml:space="preserve">   1996</v>
          </cell>
          <cell r="AP5" t="str">
            <v>1QR</v>
          </cell>
          <cell r="AQ5" t="str">
            <v>2QR</v>
          </cell>
          <cell r="AR5" t="str">
            <v>3QR</v>
          </cell>
          <cell r="AS5" t="str">
            <v>4QR</v>
          </cell>
          <cell r="AT5" t="str">
            <v xml:space="preserve">   1997R</v>
          </cell>
          <cell r="AU5" t="str">
            <v>1Q</v>
          </cell>
          <cell r="AV5" t="str">
            <v>2Q</v>
          </cell>
          <cell r="AW5" t="str">
            <v>3Q</v>
          </cell>
          <cell r="AX5" t="str">
            <v>4Q</v>
          </cell>
          <cell r="AY5">
            <v>1998</v>
          </cell>
          <cell r="AZ5" t="str">
            <v>1QA</v>
          </cell>
          <cell r="BA5" t="str">
            <v>2QA</v>
          </cell>
          <cell r="BB5" t="str">
            <v>3QA</v>
          </cell>
          <cell r="BC5" t="str">
            <v>4Q</v>
          </cell>
          <cell r="BD5" t="str">
            <v xml:space="preserve">   1999E</v>
          </cell>
          <cell r="BE5" t="str">
            <v>1Q</v>
          </cell>
          <cell r="BF5" t="str">
            <v>2Q</v>
          </cell>
          <cell r="BG5" t="str">
            <v>3Q</v>
          </cell>
          <cell r="BH5" t="str">
            <v>4Q</v>
          </cell>
          <cell r="BI5">
            <v>2000</v>
          </cell>
        </row>
        <row r="6">
          <cell r="P6" t="str">
            <v xml:space="preserve"> </v>
          </cell>
          <cell r="U6" t="str">
            <v>`</v>
          </cell>
          <cell r="Y6" t="str">
            <v>`</v>
          </cell>
        </row>
        <row r="7">
          <cell r="A7" t="str">
            <v>Net Sales</v>
          </cell>
          <cell r="P7">
            <v>3259.2</v>
          </cell>
          <cell r="Q7">
            <v>741.8</v>
          </cell>
          <cell r="R7">
            <v>871.5</v>
          </cell>
          <cell r="S7">
            <v>1099.2</v>
          </cell>
          <cell r="T7">
            <v>996.2</v>
          </cell>
          <cell r="U7">
            <v>3708.7</v>
          </cell>
          <cell r="V7">
            <v>817</v>
          </cell>
          <cell r="W7">
            <v>906.8</v>
          </cell>
          <cell r="X7">
            <v>1198</v>
          </cell>
          <cell r="Y7">
            <v>1083</v>
          </cell>
          <cell r="Z7">
            <v>4004.8</v>
          </cell>
          <cell r="AA7">
            <v>948.9</v>
          </cell>
          <cell r="AB7">
            <v>1105.7</v>
          </cell>
          <cell r="AC7">
            <v>1442.4</v>
          </cell>
          <cell r="AD7">
            <v>1273.5</v>
          </cell>
          <cell r="AE7">
            <v>4770.5</v>
          </cell>
          <cell r="AF7">
            <v>767.5</v>
          </cell>
          <cell r="AG7">
            <v>801.3</v>
          </cell>
          <cell r="AH7">
            <v>834.5</v>
          </cell>
          <cell r="AI7">
            <v>853.8</v>
          </cell>
          <cell r="AJ7">
            <v>3257.1000000000004</v>
          </cell>
          <cell r="AK7">
            <v>837.6</v>
          </cell>
          <cell r="AL7">
            <v>913.7</v>
          </cell>
          <cell r="AM7">
            <v>910.2</v>
          </cell>
          <cell r="AN7">
            <v>990.1</v>
          </cell>
          <cell r="AO7">
            <v>3651.6</v>
          </cell>
          <cell r="AP7">
            <v>817.1</v>
          </cell>
          <cell r="AQ7">
            <v>905.5</v>
          </cell>
          <cell r="AR7">
            <v>891.9</v>
          </cell>
          <cell r="AS7">
            <v>902.3</v>
          </cell>
          <cell r="AT7">
            <v>3516.8</v>
          </cell>
          <cell r="AU7">
            <v>794.8</v>
          </cell>
          <cell r="AV7">
            <v>855.9</v>
          </cell>
          <cell r="AW7">
            <v>906.5</v>
          </cell>
          <cell r="AX7">
            <v>926.8</v>
          </cell>
          <cell r="AY7">
            <v>3484</v>
          </cell>
          <cell r="AZ7">
            <v>892.2</v>
          </cell>
          <cell r="BA7">
            <v>1020</v>
          </cell>
          <cell r="BB7">
            <v>1136.5999999999999</v>
          </cell>
          <cell r="BC7">
            <v>1151.82</v>
          </cell>
          <cell r="BD7">
            <v>4200.62</v>
          </cell>
          <cell r="BE7">
            <v>1121.124</v>
          </cell>
          <cell r="BF7">
            <v>1260.4499999999998</v>
          </cell>
          <cell r="BG7">
            <v>1261.626</v>
          </cell>
          <cell r="BH7">
            <v>1267.002</v>
          </cell>
          <cell r="BI7">
            <v>4910.2019999999993</v>
          </cell>
        </row>
        <row r="9">
          <cell r="A9" t="str">
            <v>Cost Of Goods Sold</v>
          </cell>
          <cell r="P9">
            <v>2121.5</v>
          </cell>
          <cell r="Q9">
            <v>488.4</v>
          </cell>
          <cell r="R9">
            <v>575.6</v>
          </cell>
          <cell r="S9">
            <v>709.2</v>
          </cell>
          <cell r="T9">
            <v>638.1</v>
          </cell>
          <cell r="U9">
            <v>2411.3000000000002</v>
          </cell>
          <cell r="V9">
            <v>532.1</v>
          </cell>
          <cell r="W9">
            <v>568.4</v>
          </cell>
          <cell r="X9">
            <v>789</v>
          </cell>
          <cell r="Y9">
            <v>707.5</v>
          </cell>
          <cell r="Z9">
            <v>2597</v>
          </cell>
          <cell r="AA9">
            <v>622.1</v>
          </cell>
          <cell r="AB9">
            <v>696.1</v>
          </cell>
          <cell r="AC9">
            <v>917.9</v>
          </cell>
          <cell r="AD9">
            <v>824.8</v>
          </cell>
          <cell r="AE9">
            <v>3060.8999999999996</v>
          </cell>
          <cell r="AF9">
            <v>485.8</v>
          </cell>
          <cell r="AG9">
            <v>498.3</v>
          </cell>
          <cell r="AH9">
            <v>509.6</v>
          </cell>
          <cell r="AI9">
            <v>538.9</v>
          </cell>
          <cell r="AJ9">
            <v>2032.6</v>
          </cell>
          <cell r="AK9">
            <v>517</v>
          </cell>
          <cell r="AL9">
            <v>568.70000000000005</v>
          </cell>
          <cell r="AM9">
            <v>551.20000000000005</v>
          </cell>
          <cell r="AN9">
            <v>622</v>
          </cell>
          <cell r="AO9">
            <v>2258.9</v>
          </cell>
          <cell r="AP9">
            <v>475.7</v>
          </cell>
          <cell r="AQ9">
            <v>515.29999999999995</v>
          </cell>
          <cell r="AR9">
            <v>524.9</v>
          </cell>
          <cell r="AS9">
            <v>526.4</v>
          </cell>
          <cell r="AT9">
            <v>2042.3000000000002</v>
          </cell>
          <cell r="AU9">
            <v>514.70000000000005</v>
          </cell>
          <cell r="AV9">
            <v>530.4</v>
          </cell>
          <cell r="AW9">
            <v>550.1</v>
          </cell>
          <cell r="AX9">
            <v>558.70000000000005</v>
          </cell>
          <cell r="AY9">
            <v>2153.8999999999996</v>
          </cell>
          <cell r="AZ9">
            <v>548.29999999999995</v>
          </cell>
          <cell r="BA9">
            <v>621.70000000000005</v>
          </cell>
          <cell r="BB9">
            <v>696.7</v>
          </cell>
          <cell r="BC9">
            <v>711.82475999999997</v>
          </cell>
          <cell r="BD9">
            <v>2578.5247600000002</v>
          </cell>
          <cell r="BE9">
            <v>689.49126000000001</v>
          </cell>
          <cell r="BF9">
            <v>768.8744999999999</v>
          </cell>
          <cell r="BG9">
            <v>769.59186</v>
          </cell>
          <cell r="BH9">
            <v>779.20623000000001</v>
          </cell>
          <cell r="BI9">
            <v>3007.1638499999999</v>
          </cell>
        </row>
        <row r="10">
          <cell r="P10" t="str">
            <v>_______</v>
          </cell>
          <cell r="Q10" t="str">
            <v>_______</v>
          </cell>
          <cell r="R10" t="str">
            <v>_______</v>
          </cell>
          <cell r="S10" t="str">
            <v>_______</v>
          </cell>
          <cell r="T10" t="str">
            <v>_______</v>
          </cell>
          <cell r="U10" t="str">
            <v xml:space="preserve">              </v>
          </cell>
          <cell r="V10" t="str">
            <v xml:space="preserve">              </v>
          </cell>
          <cell r="W10" t="str">
            <v xml:space="preserve">              </v>
          </cell>
          <cell r="X10" t="str">
            <v xml:space="preserve">              </v>
          </cell>
          <cell r="Y10" t="str">
            <v xml:space="preserve">              </v>
          </cell>
          <cell r="Z10" t="str">
            <v xml:space="preserve">              </v>
          </cell>
          <cell r="AA10" t="str">
            <v xml:space="preserve">              </v>
          </cell>
          <cell r="AB10" t="str">
            <v xml:space="preserve">              </v>
          </cell>
          <cell r="AC10" t="str">
            <v xml:space="preserve">              </v>
          </cell>
          <cell r="AD10" t="str">
            <v xml:space="preserve">              </v>
          </cell>
          <cell r="AE10" t="str">
            <v xml:space="preserve">              </v>
          </cell>
          <cell r="AF10" t="str">
            <v xml:space="preserve">              </v>
          </cell>
          <cell r="AG10" t="str">
            <v xml:space="preserve">              </v>
          </cell>
          <cell r="AH10" t="str">
            <v xml:space="preserve">              </v>
          </cell>
          <cell r="AI10" t="str">
            <v xml:space="preserve">              </v>
          </cell>
          <cell r="AJ10" t="str">
            <v xml:space="preserve">              </v>
          </cell>
          <cell r="AK10" t="str">
            <v xml:space="preserve">              </v>
          </cell>
          <cell r="AL10" t="str">
            <v xml:space="preserve">              </v>
          </cell>
          <cell r="AM10" t="str">
            <v xml:space="preserve">              </v>
          </cell>
          <cell r="AN10" t="str">
            <v xml:space="preserve">              </v>
          </cell>
        </row>
        <row r="11">
          <cell r="A11" t="str">
            <v>Gross Income</v>
          </cell>
          <cell r="P11">
            <v>1137.7</v>
          </cell>
          <cell r="Q11">
            <v>253.39999999999998</v>
          </cell>
          <cell r="R11">
            <v>295.89999999999998</v>
          </cell>
          <cell r="S11">
            <v>390</v>
          </cell>
          <cell r="T11">
            <v>358.1</v>
          </cell>
          <cell r="U11">
            <v>1297.3999999999996</v>
          </cell>
          <cell r="V11">
            <v>284.89999999999998</v>
          </cell>
          <cell r="W11">
            <v>338.4</v>
          </cell>
          <cell r="X11">
            <v>409</v>
          </cell>
          <cell r="Y11">
            <v>375.5</v>
          </cell>
          <cell r="Z11">
            <v>1407.8000000000002</v>
          </cell>
          <cell r="AA11">
            <v>326.79999999999995</v>
          </cell>
          <cell r="AB11">
            <v>409.6</v>
          </cell>
          <cell r="AC11">
            <v>524.50000000000011</v>
          </cell>
          <cell r="AD11">
            <v>448.70000000000005</v>
          </cell>
          <cell r="AE11">
            <v>1709.6000000000004</v>
          </cell>
          <cell r="AF11">
            <v>281.7</v>
          </cell>
          <cell r="AG11">
            <v>302.99999999999994</v>
          </cell>
          <cell r="AH11">
            <v>324.89999999999998</v>
          </cell>
          <cell r="AI11">
            <v>314.89999999999998</v>
          </cell>
          <cell r="AJ11">
            <v>1224.5000000000005</v>
          </cell>
          <cell r="AK11">
            <v>320.60000000000002</v>
          </cell>
          <cell r="AL11">
            <v>345</v>
          </cell>
          <cell r="AM11">
            <v>359</v>
          </cell>
          <cell r="AN11">
            <v>368.1</v>
          </cell>
          <cell r="AO11">
            <v>1392.6999999999998</v>
          </cell>
          <cell r="AP11">
            <v>341.40000000000003</v>
          </cell>
          <cell r="AQ11">
            <v>390.20000000000005</v>
          </cell>
          <cell r="AR11">
            <v>367</v>
          </cell>
          <cell r="AS11">
            <v>375.9</v>
          </cell>
          <cell r="AT11">
            <v>1474.5</v>
          </cell>
          <cell r="AU11">
            <v>280.09999999999991</v>
          </cell>
          <cell r="AV11">
            <v>325.5</v>
          </cell>
          <cell r="AW11">
            <v>356.4</v>
          </cell>
          <cell r="AX11">
            <v>368.09999999999991</v>
          </cell>
          <cell r="AY11">
            <v>1330.1000000000004</v>
          </cell>
          <cell r="AZ11">
            <v>343.90000000000009</v>
          </cell>
          <cell r="BA11">
            <v>398.29999999999995</v>
          </cell>
          <cell r="BB11">
            <v>439.89999999999986</v>
          </cell>
          <cell r="BC11">
            <v>439.99523999999997</v>
          </cell>
          <cell r="BD11">
            <v>1622.0952399999996</v>
          </cell>
          <cell r="BE11">
            <v>431.63274000000001</v>
          </cell>
          <cell r="BF11">
            <v>491.57549999999992</v>
          </cell>
          <cell r="BG11">
            <v>492.03413999999998</v>
          </cell>
          <cell r="BH11">
            <v>487.79576999999995</v>
          </cell>
          <cell r="BI11">
            <v>1903.0381499999994</v>
          </cell>
        </row>
        <row r="12">
          <cell r="A12" t="str">
            <v>Gross Margin</v>
          </cell>
          <cell r="P12">
            <v>0.34907339224349532</v>
          </cell>
          <cell r="Q12">
            <v>0.34160150984092741</v>
          </cell>
          <cell r="R12">
            <v>0.33952954675846236</v>
          </cell>
          <cell r="S12">
            <v>0.35480349344978168</v>
          </cell>
          <cell r="T12">
            <v>0.35946597068861674</v>
          </cell>
          <cell r="U12">
            <v>0.34982608461185849</v>
          </cell>
          <cell r="V12">
            <v>0.34871481028151774</v>
          </cell>
          <cell r="W12">
            <v>0.37318041464490515</v>
          </cell>
          <cell r="X12">
            <v>0.34140233722871449</v>
          </cell>
          <cell r="Y12">
            <v>0.34672206832871655</v>
          </cell>
          <cell r="Z12">
            <v>0.35152816620055938</v>
          </cell>
          <cell r="AA12">
            <v>0.34439877753187897</v>
          </cell>
          <cell r="AB12">
            <v>0.3704440625847879</v>
          </cell>
          <cell r="AC12">
            <v>0.36363006100942874</v>
          </cell>
          <cell r="AD12">
            <v>0.35233608166470365</v>
          </cell>
          <cell r="AE12">
            <v>0.35836914369562944</v>
          </cell>
          <cell r="AF12">
            <v>0.36703583061889244</v>
          </cell>
          <cell r="AG12">
            <v>0.37813552976413323</v>
          </cell>
          <cell r="AH12">
            <v>0.38933493109646489</v>
          </cell>
          <cell r="AI12">
            <v>0.36882173811197005</v>
          </cell>
          <cell r="AJ12">
            <v>0.37594792913941855</v>
          </cell>
          <cell r="AK12">
            <v>0.38276026743075453</v>
          </cell>
          <cell r="AL12">
            <v>0.37758564080113821</v>
          </cell>
          <cell r="AM12">
            <v>0.39441880905295534</v>
          </cell>
          <cell r="AN12">
            <v>0.37178062821937174</v>
          </cell>
          <cell r="AO12">
            <v>0.38139445722423049</v>
          </cell>
          <cell r="AP12">
            <v>0.41781911638722313</v>
          </cell>
          <cell r="AQ12">
            <v>0.43092214246272786</v>
          </cell>
          <cell r="AR12">
            <v>0.41148110774750535</v>
          </cell>
          <cell r="AS12">
            <v>0.41660201706749422</v>
          </cell>
          <cell r="AT12">
            <v>0.41927320291173797</v>
          </cell>
          <cell r="AU12">
            <v>0.35241570206341211</v>
          </cell>
          <cell r="AV12">
            <v>0.38030143708377151</v>
          </cell>
          <cell r="AW12">
            <v>0.39316050744622166</v>
          </cell>
          <cell r="AX12">
            <v>0.39717306862321955</v>
          </cell>
          <cell r="AY12">
            <v>0.3817738231917337</v>
          </cell>
          <cell r="AZ12">
            <v>0.38545169244564004</v>
          </cell>
          <cell r="BA12">
            <v>0.39049019607843127</v>
          </cell>
          <cell r="BB12">
            <v>0.3870314974485306</v>
          </cell>
          <cell r="BC12">
            <v>0.38200000000000001</v>
          </cell>
          <cell r="BD12">
            <v>0.38615614837809653</v>
          </cell>
          <cell r="BE12">
            <v>0.38500000000000001</v>
          </cell>
          <cell r="BF12">
            <v>0.39</v>
          </cell>
          <cell r="BG12">
            <v>0.39</v>
          </cell>
          <cell r="BH12">
            <v>0.38500000000000001</v>
          </cell>
          <cell r="BI12">
            <v>0.38756819984188018</v>
          </cell>
        </row>
        <row r="14">
          <cell r="A14" t="str">
            <v>SG&amp;A</v>
          </cell>
          <cell r="P14">
            <v>622.5</v>
          </cell>
          <cell r="Q14">
            <v>149.9</v>
          </cell>
          <cell r="R14">
            <v>162.5</v>
          </cell>
          <cell r="S14">
            <v>194.6</v>
          </cell>
          <cell r="T14">
            <v>185.2</v>
          </cell>
          <cell r="U14">
            <v>692.19999999999993</v>
          </cell>
          <cell r="V14">
            <v>168.6</v>
          </cell>
          <cell r="W14">
            <v>176.7</v>
          </cell>
          <cell r="X14">
            <v>219.5</v>
          </cell>
          <cell r="Y14">
            <v>209.2</v>
          </cell>
          <cell r="Z14">
            <v>774</v>
          </cell>
          <cell r="AA14">
            <v>185.7</v>
          </cell>
          <cell r="AB14">
            <v>202.3</v>
          </cell>
          <cell r="AC14">
            <v>245.2</v>
          </cell>
          <cell r="AD14">
            <v>238.5</v>
          </cell>
          <cell r="AE14">
            <v>871.7</v>
          </cell>
          <cell r="AF14">
            <v>131.1</v>
          </cell>
          <cell r="AG14">
            <v>131.9</v>
          </cell>
          <cell r="AH14">
            <v>142.5</v>
          </cell>
          <cell r="AI14">
            <v>150.69999999999999</v>
          </cell>
          <cell r="AJ14">
            <v>556.20000000000005</v>
          </cell>
          <cell r="AK14">
            <v>158.4</v>
          </cell>
          <cell r="AL14">
            <v>148.4</v>
          </cell>
          <cell r="AM14">
            <v>163.30000000000001</v>
          </cell>
          <cell r="AN14">
            <v>169.7</v>
          </cell>
          <cell r="AO14">
            <v>639.79999999999995</v>
          </cell>
          <cell r="AP14">
            <v>128.80000000000001</v>
          </cell>
          <cell r="AQ14">
            <v>138.9</v>
          </cell>
          <cell r="AR14">
            <v>134</v>
          </cell>
          <cell r="AS14">
            <v>139.9</v>
          </cell>
          <cell r="AT14">
            <v>541.6</v>
          </cell>
          <cell r="AU14">
            <v>112.9</v>
          </cell>
          <cell r="AV14">
            <v>126.6</v>
          </cell>
          <cell r="AW14">
            <v>112.6</v>
          </cell>
          <cell r="AX14">
            <v>135.6</v>
          </cell>
          <cell r="AY14">
            <v>487.70000000000005</v>
          </cell>
          <cell r="AZ14">
            <v>136.80000000000001</v>
          </cell>
          <cell r="BA14">
            <v>141.29999999999998</v>
          </cell>
          <cell r="BB14">
            <v>161.1</v>
          </cell>
          <cell r="BC14">
            <v>163.51649999999998</v>
          </cell>
          <cell r="BD14">
            <v>602.7165</v>
          </cell>
          <cell r="BE14">
            <v>163.51649999999998</v>
          </cell>
          <cell r="BF14">
            <v>164.33408249999997</v>
          </cell>
          <cell r="BG14">
            <v>165.97742332499996</v>
          </cell>
          <cell r="BH14">
            <v>167.63719755824997</v>
          </cell>
          <cell r="BI14">
            <v>661.4652033832499</v>
          </cell>
        </row>
        <row r="15">
          <cell r="A15" t="str">
            <v>Research &amp; Development</v>
          </cell>
          <cell r="P15">
            <v>130.69999999999999</v>
          </cell>
          <cell r="Q15">
            <v>31.2</v>
          </cell>
          <cell r="R15">
            <v>33.299999999999997</v>
          </cell>
          <cell r="S15">
            <v>44.4</v>
          </cell>
          <cell r="T15">
            <v>42.2</v>
          </cell>
          <cell r="U15">
            <v>151.1</v>
          </cell>
          <cell r="V15">
            <v>37.700000000000003</v>
          </cell>
          <cell r="W15">
            <v>39.799999999999997</v>
          </cell>
          <cell r="X15">
            <v>51.4</v>
          </cell>
          <cell r="Y15">
            <v>44.2</v>
          </cell>
          <cell r="Z15">
            <v>173.09999999999997</v>
          </cell>
          <cell r="AA15">
            <v>38.200000000000003</v>
          </cell>
          <cell r="AB15">
            <v>41.1</v>
          </cell>
          <cell r="AC15">
            <v>53.5</v>
          </cell>
          <cell r="AD15">
            <v>44.1</v>
          </cell>
          <cell r="AE15">
            <v>176.89999999999998</v>
          </cell>
          <cell r="AF15">
            <v>43.9</v>
          </cell>
          <cell r="AG15">
            <v>43.2</v>
          </cell>
          <cell r="AH15">
            <v>42.3</v>
          </cell>
          <cell r="AI15">
            <v>46.3</v>
          </cell>
          <cell r="AJ15">
            <v>175.70000000000002</v>
          </cell>
          <cell r="AK15">
            <v>45.3</v>
          </cell>
          <cell r="AL15">
            <v>44.9</v>
          </cell>
          <cell r="AM15">
            <v>47.3</v>
          </cell>
          <cell r="AN15">
            <v>53.8</v>
          </cell>
          <cell r="AO15">
            <v>191.3</v>
          </cell>
          <cell r="AP15">
            <v>51</v>
          </cell>
          <cell r="AQ15">
            <v>53.4</v>
          </cell>
          <cell r="AR15">
            <v>70.7</v>
          </cell>
          <cell r="AS15">
            <v>75.2</v>
          </cell>
          <cell r="AT15">
            <v>250.3</v>
          </cell>
          <cell r="AU15">
            <v>67.099999999999994</v>
          </cell>
          <cell r="AV15">
            <v>75.099999999999994</v>
          </cell>
          <cell r="AW15">
            <v>71.599999999999994</v>
          </cell>
          <cell r="AX15">
            <v>80.099999999999994</v>
          </cell>
          <cell r="AY15">
            <v>293.89999999999998</v>
          </cell>
          <cell r="AZ15">
            <v>79.599999999999994</v>
          </cell>
          <cell r="BA15">
            <v>84.8</v>
          </cell>
          <cell r="BB15">
            <v>96.5</v>
          </cell>
          <cell r="BC15">
            <v>97.947499999999991</v>
          </cell>
          <cell r="BD15">
            <v>358.84749999999997</v>
          </cell>
          <cell r="BE15">
            <v>97.907999999999987</v>
          </cell>
          <cell r="BF15">
            <v>101.75999999999999</v>
          </cell>
          <cell r="BG15">
            <v>102.29</v>
          </cell>
          <cell r="BH15">
            <v>103.82435</v>
          </cell>
          <cell r="BI15">
            <v>405.78234999999995</v>
          </cell>
        </row>
        <row r="16">
          <cell r="A16" t="str">
            <v>SG&amp;A And R&amp;D As % Of Sales</v>
          </cell>
          <cell r="P16">
            <v>0.23109965635738836</v>
          </cell>
          <cell r="Q16">
            <v>0.24413588568347264</v>
          </cell>
          <cell r="R16">
            <v>0.22467010900745843</v>
          </cell>
          <cell r="S16">
            <v>0.21743085880640464</v>
          </cell>
          <cell r="T16">
            <v>0.22826741618148963</v>
          </cell>
          <cell r="U16">
            <v>0.22738425863510126</v>
          </cell>
          <cell r="V16">
            <v>0.25250917992656058</v>
          </cell>
          <cell r="W16">
            <v>0.23875165416850463</v>
          </cell>
          <cell r="X16">
            <v>0.22612687813021701</v>
          </cell>
          <cell r="Y16">
            <v>0.23397968605724836</v>
          </cell>
          <cell r="Z16">
            <v>0.23649121054734315</v>
          </cell>
          <cell r="AA16">
            <v>0.23595742438613129</v>
          </cell>
          <cell r="AB16">
            <v>0.22013204304965181</v>
          </cell>
          <cell r="AC16">
            <v>0.20708541320022184</v>
          </cell>
          <cell r="AD16">
            <v>0.22190812720848058</v>
          </cell>
          <cell r="AE16">
            <v>0.21980924431401319</v>
          </cell>
          <cell r="AF16">
            <v>0.2280130293159609</v>
          </cell>
          <cell r="AG16">
            <v>0.21851990515412459</v>
          </cell>
          <cell r="AH16">
            <v>0.22144997004194131</v>
          </cell>
          <cell r="AI16">
            <v>0.23073319278519561</v>
          </cell>
          <cell r="AJ16">
            <v>0.22470909704952258</v>
          </cell>
          <cell r="AK16">
            <v>0.24319484240687678</v>
          </cell>
          <cell r="AL16">
            <v>0.21155740396191311</v>
          </cell>
          <cell r="AM16">
            <v>0.23137771918259725</v>
          </cell>
          <cell r="AN16">
            <v>0.22573477426522573</v>
          </cell>
          <cell r="AO16">
            <v>0.22759886077335961</v>
          </cell>
          <cell r="AP16">
            <v>0.220046505935626</v>
          </cell>
          <cell r="AQ16">
            <v>0.21236885698509111</v>
          </cell>
          <cell r="AR16">
            <v>0.22951003475725978</v>
          </cell>
          <cell r="AS16">
            <v>0.23839077912002662</v>
          </cell>
          <cell r="AT16">
            <v>0.22517629663330302</v>
          </cell>
          <cell r="AU16">
            <v>0.22647206844489182</v>
          </cell>
          <cell r="AV16">
            <v>0.23565837130505898</v>
          </cell>
          <cell r="AW16">
            <v>0.20319911748483177</v>
          </cell>
          <cell r="AX16">
            <v>0.2327362969356927</v>
          </cell>
          <cell r="AY16">
            <v>0.22433983926521239</v>
          </cell>
          <cell r="AZ16">
            <v>0.24254651423447657</v>
          </cell>
          <cell r="BA16">
            <v>0.22166666666666662</v>
          </cell>
          <cell r="BB16">
            <v>0.22664085870139014</v>
          </cell>
          <cell r="BC16">
            <v>0.22700074664444092</v>
          </cell>
          <cell r="BD16">
            <v>0.22891001804495525</v>
          </cell>
          <cell r="BE16">
            <v>0.23318071863594034</v>
          </cell>
          <cell r="BF16">
            <v>0.21111038319647746</v>
          </cell>
          <cell r="BG16">
            <v>0.21263625141285927</v>
          </cell>
          <cell r="BH16">
            <v>0.21425502687308304</v>
          </cell>
          <cell r="BI16">
            <v>0.21735308514461318</v>
          </cell>
        </row>
        <row r="17">
          <cell r="P17" t="str">
            <v>_______</v>
          </cell>
          <cell r="Q17" t="str">
            <v>_______</v>
          </cell>
          <cell r="R17" t="str">
            <v>_______</v>
          </cell>
          <cell r="S17" t="str">
            <v>_______</v>
          </cell>
          <cell r="T17" t="str">
            <v>_______</v>
          </cell>
          <cell r="U17" t="str">
            <v xml:space="preserve">              </v>
          </cell>
          <cell r="V17" t="str">
            <v xml:space="preserve">              </v>
          </cell>
          <cell r="W17" t="str">
            <v xml:space="preserve">              </v>
          </cell>
          <cell r="X17" t="str">
            <v xml:space="preserve">              </v>
          </cell>
          <cell r="Y17" t="str">
            <v xml:space="preserve">              </v>
          </cell>
          <cell r="Z17" t="str">
            <v xml:space="preserve">              </v>
          </cell>
          <cell r="AA17" t="str">
            <v xml:space="preserve">              </v>
          </cell>
          <cell r="AB17" t="str">
            <v xml:space="preserve">              </v>
          </cell>
          <cell r="AC17" t="str">
            <v xml:space="preserve">              </v>
          </cell>
          <cell r="AD17" t="str">
            <v xml:space="preserve">              </v>
          </cell>
          <cell r="AE17" t="str">
            <v xml:space="preserve">              </v>
          </cell>
          <cell r="AF17" t="str">
            <v xml:space="preserve">              </v>
          </cell>
          <cell r="AG17" t="str">
            <v xml:space="preserve">              </v>
          </cell>
          <cell r="AH17" t="str">
            <v xml:space="preserve">              </v>
          </cell>
          <cell r="AI17" t="str">
            <v xml:space="preserve">              </v>
          </cell>
          <cell r="AJ17" t="str">
            <v xml:space="preserve">              </v>
          </cell>
          <cell r="AK17" t="str">
            <v xml:space="preserve">              </v>
          </cell>
          <cell r="AL17" t="str">
            <v xml:space="preserve">              </v>
          </cell>
          <cell r="AM17" t="str">
            <v xml:space="preserve">              </v>
          </cell>
          <cell r="AN17" t="str">
            <v xml:space="preserve">              </v>
          </cell>
        </row>
        <row r="18">
          <cell r="A18" t="str">
            <v>Total Operating Costs</v>
          </cell>
          <cell r="P18">
            <v>2874.7</v>
          </cell>
          <cell r="Q18">
            <v>669.5</v>
          </cell>
          <cell r="R18">
            <v>771.4</v>
          </cell>
          <cell r="S18">
            <v>948.2</v>
          </cell>
          <cell r="T18">
            <v>865.5</v>
          </cell>
          <cell r="U18">
            <v>3254.6</v>
          </cell>
          <cell r="V18">
            <v>738.40000000000009</v>
          </cell>
          <cell r="W18">
            <v>784.89999999999986</v>
          </cell>
          <cell r="X18">
            <v>1059.9000000000001</v>
          </cell>
          <cell r="Y18">
            <v>960.90000000000009</v>
          </cell>
          <cell r="Z18">
            <v>3544.1</v>
          </cell>
          <cell r="AA18">
            <v>846</v>
          </cell>
          <cell r="AB18">
            <v>939.50000000000011</v>
          </cell>
          <cell r="AC18">
            <v>1216.5999999999999</v>
          </cell>
          <cell r="AD18">
            <v>1107.3999999999999</v>
          </cell>
          <cell r="AE18">
            <v>4109.4999999999991</v>
          </cell>
          <cell r="AF18">
            <v>660.8</v>
          </cell>
          <cell r="AG18">
            <v>673.40000000000009</v>
          </cell>
          <cell r="AH18">
            <v>694.4</v>
          </cell>
          <cell r="AI18">
            <v>735.89999999999986</v>
          </cell>
          <cell r="AJ18">
            <v>2764.5</v>
          </cell>
          <cell r="AK18">
            <v>720.69999999999993</v>
          </cell>
          <cell r="AL18">
            <v>762</v>
          </cell>
          <cell r="AM18">
            <v>761.8</v>
          </cell>
          <cell r="AN18">
            <v>845.5</v>
          </cell>
          <cell r="AO18">
            <v>3090</v>
          </cell>
          <cell r="AP18">
            <v>655.5</v>
          </cell>
          <cell r="AQ18">
            <v>707.59999999999991</v>
          </cell>
          <cell r="AR18">
            <v>729.6</v>
          </cell>
          <cell r="AS18">
            <v>741.5</v>
          </cell>
          <cell r="AT18">
            <v>2834.2000000000003</v>
          </cell>
          <cell r="AU18">
            <v>694.7</v>
          </cell>
          <cell r="AV18">
            <v>732.1</v>
          </cell>
          <cell r="AW18">
            <v>734.30000000000007</v>
          </cell>
          <cell r="AX18">
            <v>774.40000000000009</v>
          </cell>
          <cell r="AY18">
            <v>2935.4999999999995</v>
          </cell>
          <cell r="AZ18">
            <v>764.69999999999993</v>
          </cell>
          <cell r="BA18">
            <v>847.8</v>
          </cell>
          <cell r="BB18">
            <v>954.30000000000007</v>
          </cell>
          <cell r="BC18">
            <v>973.28875999999991</v>
          </cell>
          <cell r="BD18">
            <v>3540.0887600000001</v>
          </cell>
          <cell r="BE18">
            <v>950.91575999999998</v>
          </cell>
          <cell r="BF18">
            <v>1034.9685824999999</v>
          </cell>
          <cell r="BG18">
            <v>1037.859283325</v>
          </cell>
          <cell r="BH18">
            <v>1050.66777755825</v>
          </cell>
          <cell r="BI18">
            <v>4074.4114033832498</v>
          </cell>
        </row>
        <row r="20">
          <cell r="A20" t="str">
            <v>Operating Earnings</v>
          </cell>
          <cell r="P20">
            <v>384.5</v>
          </cell>
          <cell r="Q20">
            <v>72.299999999999955</v>
          </cell>
          <cell r="R20">
            <v>100.10000000000002</v>
          </cell>
          <cell r="S20">
            <v>151</v>
          </cell>
          <cell r="T20">
            <v>130.70000000000005</v>
          </cell>
          <cell r="U20">
            <v>454.09999999999991</v>
          </cell>
          <cell r="V20">
            <v>78.599999999999909</v>
          </cell>
          <cell r="W20">
            <v>121.90000000000009</v>
          </cell>
          <cell r="X20">
            <v>138.09999999999991</v>
          </cell>
          <cell r="Y20">
            <v>122.09999999999991</v>
          </cell>
          <cell r="Z20">
            <v>460.70000000000027</v>
          </cell>
          <cell r="AA20">
            <v>102.89999999999998</v>
          </cell>
          <cell r="AB20">
            <v>166.19999999999993</v>
          </cell>
          <cell r="AC20">
            <v>225.80000000000018</v>
          </cell>
          <cell r="AD20">
            <v>166.10000000000014</v>
          </cell>
          <cell r="AE20">
            <v>661.00000000000091</v>
          </cell>
          <cell r="AF20">
            <v>106.70000000000005</v>
          </cell>
          <cell r="AG20">
            <v>127.89999999999986</v>
          </cell>
          <cell r="AH20">
            <v>140.10000000000002</v>
          </cell>
          <cell r="AI20">
            <v>117.90000000000009</v>
          </cell>
          <cell r="AJ20">
            <v>492.60000000000036</v>
          </cell>
          <cell r="AK20">
            <v>116.90000000000009</v>
          </cell>
          <cell r="AL20">
            <v>151.70000000000005</v>
          </cell>
          <cell r="AM20">
            <v>148.40000000000009</v>
          </cell>
          <cell r="AN20">
            <v>144.60000000000002</v>
          </cell>
          <cell r="AO20">
            <v>561.59999999999991</v>
          </cell>
          <cell r="AP20">
            <v>161.60000000000002</v>
          </cell>
          <cell r="AQ20">
            <v>197.90000000000009</v>
          </cell>
          <cell r="AR20">
            <v>162.29999999999995</v>
          </cell>
          <cell r="AS20">
            <v>160.79999999999995</v>
          </cell>
          <cell r="AT20">
            <v>682.59999999999991</v>
          </cell>
          <cell r="AU20">
            <v>100.09999999999991</v>
          </cell>
          <cell r="AV20">
            <v>123.79999999999995</v>
          </cell>
          <cell r="AW20">
            <v>172.19999999999993</v>
          </cell>
          <cell r="AX20">
            <v>152.39999999999986</v>
          </cell>
          <cell r="AY20">
            <v>548.50000000000045</v>
          </cell>
          <cell r="AZ20">
            <v>127.50000000000011</v>
          </cell>
          <cell r="BA20">
            <v>172.20000000000005</v>
          </cell>
          <cell r="BB20">
            <v>182.29999999999984</v>
          </cell>
          <cell r="BC20">
            <v>178.53124000000003</v>
          </cell>
          <cell r="BD20">
            <v>660.5312399999998</v>
          </cell>
          <cell r="BE20">
            <v>170.20824000000005</v>
          </cell>
          <cell r="BF20">
            <v>225.48141749999991</v>
          </cell>
          <cell r="BG20">
            <v>223.766716675</v>
          </cell>
          <cell r="BH20">
            <v>216.33422244174994</v>
          </cell>
          <cell r="BI20">
            <v>835.79059661674955</v>
          </cell>
        </row>
        <row r="21">
          <cell r="A21" t="str">
            <v>Operating Margin</v>
          </cell>
          <cell r="P21">
            <v>0.11797373588610703</v>
          </cell>
          <cell r="Q21">
            <v>9.7465624157454786E-2</v>
          </cell>
          <cell r="R21">
            <v>0.11485943775100405</v>
          </cell>
          <cell r="S21">
            <v>0.13737263464337698</v>
          </cell>
          <cell r="T21">
            <v>0.13119855450712711</v>
          </cell>
          <cell r="U21">
            <v>0.12244182597675733</v>
          </cell>
          <cell r="V21">
            <v>9.620563035495705E-2</v>
          </cell>
          <cell r="W21">
            <v>0.13442876047640065</v>
          </cell>
          <cell r="X21">
            <v>0.11527545909849742</v>
          </cell>
          <cell r="Y21">
            <v>0.11274238227146806</v>
          </cell>
          <cell r="Z21">
            <v>0.1150369556532162</v>
          </cell>
          <cell r="AA21">
            <v>0.10844135314574768</v>
          </cell>
          <cell r="AB21">
            <v>0.15031201953513604</v>
          </cell>
          <cell r="AC21">
            <v>0.15654464780920699</v>
          </cell>
          <cell r="AD21">
            <v>0.13042795445622313</v>
          </cell>
          <cell r="AE21">
            <v>0.13855989938161636</v>
          </cell>
          <cell r="AF21">
            <v>0.13902280130293165</v>
          </cell>
          <cell r="AG21">
            <v>0.15961562461000858</v>
          </cell>
          <cell r="AH21">
            <v>0.16788496105452369</v>
          </cell>
          <cell r="AI21">
            <v>0.13808854532677453</v>
          </cell>
          <cell r="AJ21">
            <v>0.15123883208989602</v>
          </cell>
          <cell r="AK21">
            <v>0.13956542502387784</v>
          </cell>
          <cell r="AL21">
            <v>0.16602823683922516</v>
          </cell>
          <cell r="AM21">
            <v>0.16304108987035826</v>
          </cell>
          <cell r="AN21">
            <v>0.14604585395414607</v>
          </cell>
          <cell r="AO21">
            <v>0.15379559645087082</v>
          </cell>
          <cell r="AP21">
            <v>0.19777261045159714</v>
          </cell>
          <cell r="AQ21">
            <v>0.21855328547763678</v>
          </cell>
          <cell r="AR21">
            <v>0.18197107299024551</v>
          </cell>
          <cell r="AS21">
            <v>0.17821123794746754</v>
          </cell>
          <cell r="AT21">
            <v>0.1940969062784349</v>
          </cell>
          <cell r="AU21">
            <v>0.12594363361852026</v>
          </cell>
          <cell r="AV21">
            <v>0.14464306577871242</v>
          </cell>
          <cell r="AW21">
            <v>0.18996138996138989</v>
          </cell>
          <cell r="AX21">
            <v>0.16443677168752682</v>
          </cell>
          <cell r="AY21">
            <v>0.15743398392652136</v>
          </cell>
          <cell r="AZ21">
            <v>0.14290517821116352</v>
          </cell>
          <cell r="BA21">
            <v>0.16882352941176476</v>
          </cell>
          <cell r="BB21">
            <v>0.16039063874714046</v>
          </cell>
          <cell r="BC21">
            <v>0.15499925335555906</v>
          </cell>
          <cell r="BD21">
            <v>0.15724613033314125</v>
          </cell>
          <cell r="BE21">
            <v>0.15181928136405967</v>
          </cell>
          <cell r="BF21">
            <v>0.1788896168035225</v>
          </cell>
          <cell r="BG21">
            <v>0.17736374858714071</v>
          </cell>
          <cell r="BH21">
            <v>0.17074497312691689</v>
          </cell>
          <cell r="BI21">
            <v>0.17021511469726697</v>
          </cell>
        </row>
        <row r="23">
          <cell r="A23" t="str">
            <v>Royalty, Interest &amp; Dividend Inc.</v>
          </cell>
          <cell r="P23">
            <v>27.6</v>
          </cell>
          <cell r="Q23">
            <v>11.4</v>
          </cell>
          <cell r="R23">
            <v>8</v>
          </cell>
          <cell r="S23">
            <v>9</v>
          </cell>
          <cell r="T23">
            <v>6.9</v>
          </cell>
          <cell r="U23">
            <v>35.299999999999997</v>
          </cell>
          <cell r="V23">
            <v>6.4</v>
          </cell>
          <cell r="W23">
            <v>6</v>
          </cell>
          <cell r="X23">
            <v>9.4</v>
          </cell>
          <cell r="Y23">
            <v>8.1</v>
          </cell>
          <cell r="Z23">
            <v>29.9</v>
          </cell>
          <cell r="AA23">
            <v>7.7</v>
          </cell>
          <cell r="AB23">
            <v>3.5</v>
          </cell>
          <cell r="AC23">
            <v>10.3</v>
          </cell>
          <cell r="AD23">
            <v>7.2</v>
          </cell>
          <cell r="AE23">
            <v>28.7</v>
          </cell>
          <cell r="AF23">
            <v>6.7</v>
          </cell>
          <cell r="AG23">
            <v>8.8000000000000007</v>
          </cell>
          <cell r="AH23">
            <v>6.7</v>
          </cell>
          <cell r="AI23">
            <v>8.4</v>
          </cell>
          <cell r="AJ23">
            <v>30.6</v>
          </cell>
          <cell r="AK23">
            <v>8</v>
          </cell>
          <cell r="AL23">
            <v>7</v>
          </cell>
          <cell r="AM23">
            <v>9</v>
          </cell>
          <cell r="AN23">
            <v>8.9</v>
          </cell>
          <cell r="AO23">
            <v>32.9</v>
          </cell>
          <cell r="AP23">
            <v>9.9</v>
          </cell>
          <cell r="AQ23">
            <v>9.1</v>
          </cell>
          <cell r="AR23">
            <v>9.4</v>
          </cell>
          <cell r="AS23">
            <v>9.1</v>
          </cell>
          <cell r="AT23">
            <v>37.5</v>
          </cell>
          <cell r="AU23">
            <v>9.1</v>
          </cell>
          <cell r="AV23">
            <v>12</v>
          </cell>
          <cell r="AW23">
            <v>11.8</v>
          </cell>
          <cell r="AX23">
            <v>15.5</v>
          </cell>
          <cell r="AY23">
            <v>48.400000000000006</v>
          </cell>
          <cell r="AZ23">
            <v>9.9</v>
          </cell>
          <cell r="BA23">
            <v>11.2</v>
          </cell>
          <cell r="BB23">
            <v>8.5</v>
          </cell>
          <cell r="BC23">
            <v>8.5</v>
          </cell>
          <cell r="BD23">
            <v>38.1</v>
          </cell>
          <cell r="BE23">
            <v>8.9250000000000007</v>
          </cell>
          <cell r="BF23">
            <v>8.9250000000000007</v>
          </cell>
          <cell r="BG23">
            <v>8.9250000000000007</v>
          </cell>
          <cell r="BH23">
            <v>8.9250000000000007</v>
          </cell>
          <cell r="BI23">
            <v>35.700000000000003</v>
          </cell>
        </row>
        <row r="24">
          <cell r="A24" t="str">
            <v>Interest Expense</v>
          </cell>
          <cell r="P24">
            <v>58.1</v>
          </cell>
          <cell r="Q24">
            <v>14</v>
          </cell>
          <cell r="R24">
            <v>14.1</v>
          </cell>
          <cell r="S24">
            <v>17.8</v>
          </cell>
          <cell r="T24">
            <v>16.7</v>
          </cell>
          <cell r="U24">
            <v>62.6</v>
          </cell>
          <cell r="V24">
            <v>16.5</v>
          </cell>
          <cell r="W24">
            <v>18.600000000000001</v>
          </cell>
          <cell r="X24">
            <v>28.8</v>
          </cell>
          <cell r="Y24">
            <v>24.3</v>
          </cell>
          <cell r="Z24">
            <v>88.2</v>
          </cell>
          <cell r="AA24">
            <v>25.8</v>
          </cell>
          <cell r="AB24">
            <v>25.9</v>
          </cell>
          <cell r="AC24">
            <v>33.9</v>
          </cell>
          <cell r="AD24">
            <v>24.8</v>
          </cell>
          <cell r="AE24">
            <v>110.39999999999999</v>
          </cell>
          <cell r="AF24">
            <v>16.2</v>
          </cell>
          <cell r="AG24">
            <v>18</v>
          </cell>
          <cell r="AH24">
            <v>17.3</v>
          </cell>
          <cell r="AI24">
            <v>17.8</v>
          </cell>
          <cell r="AJ24">
            <v>69.3</v>
          </cell>
          <cell r="AK24">
            <v>17.7</v>
          </cell>
          <cell r="AL24">
            <v>18.3</v>
          </cell>
          <cell r="AM24">
            <v>17.8</v>
          </cell>
          <cell r="AN24">
            <v>15.3</v>
          </cell>
          <cell r="AO24">
            <v>69.099999999999994</v>
          </cell>
          <cell r="AP24">
            <v>21.2</v>
          </cell>
          <cell r="AQ24">
            <v>19.5</v>
          </cell>
          <cell r="AR24">
            <v>16.2</v>
          </cell>
          <cell r="AS24">
            <v>15.1</v>
          </cell>
          <cell r="AT24">
            <v>72</v>
          </cell>
          <cell r="AU24">
            <v>17.600000000000001</v>
          </cell>
          <cell r="AV24">
            <v>14.9</v>
          </cell>
          <cell r="AW24">
            <v>11.3</v>
          </cell>
          <cell r="AX24">
            <v>12.9</v>
          </cell>
          <cell r="AY24">
            <v>56.699999999999996</v>
          </cell>
          <cell r="AZ24">
            <v>16.3</v>
          </cell>
          <cell r="BA24">
            <v>17.2</v>
          </cell>
          <cell r="BB24">
            <v>22.6</v>
          </cell>
          <cell r="BC24">
            <v>23.278000000000002</v>
          </cell>
          <cell r="BD24">
            <v>79.378</v>
          </cell>
          <cell r="BE24">
            <v>25.605800000000006</v>
          </cell>
          <cell r="BF24">
            <v>25.605800000000006</v>
          </cell>
          <cell r="BG24">
            <v>25.605800000000006</v>
          </cell>
          <cell r="BH24">
            <v>25.605800000000006</v>
          </cell>
          <cell r="BI24">
            <v>102.42320000000002</v>
          </cell>
        </row>
        <row r="25">
          <cell r="A25" t="str">
            <v>Net Other Expense (Income)</v>
          </cell>
          <cell r="P25">
            <v>34.700000000000003</v>
          </cell>
          <cell r="Q25">
            <v>10.3</v>
          </cell>
          <cell r="R25">
            <v>2.6</v>
          </cell>
          <cell r="S25">
            <v>3.8</v>
          </cell>
          <cell r="T25">
            <v>17.2</v>
          </cell>
          <cell r="U25">
            <v>33.900000000000006</v>
          </cell>
          <cell r="V25">
            <v>3.1</v>
          </cell>
          <cell r="W25">
            <v>8.4</v>
          </cell>
          <cell r="X25">
            <v>9.9</v>
          </cell>
          <cell r="Y25">
            <v>16.5</v>
          </cell>
          <cell r="Z25">
            <v>37.9</v>
          </cell>
          <cell r="AA25">
            <v>5.8</v>
          </cell>
          <cell r="AB25">
            <v>3</v>
          </cell>
          <cell r="AC25">
            <v>27.5</v>
          </cell>
          <cell r="AD25">
            <v>1.2</v>
          </cell>
          <cell r="AE25">
            <v>37.5</v>
          </cell>
          <cell r="AF25">
            <v>8.6999999999999993</v>
          </cell>
          <cell r="AG25">
            <v>1.5</v>
          </cell>
          <cell r="AH25">
            <v>4.9000000000000004</v>
          </cell>
          <cell r="AI25">
            <v>6.2</v>
          </cell>
          <cell r="AJ25">
            <v>21.3</v>
          </cell>
          <cell r="AK25">
            <v>7.1</v>
          </cell>
          <cell r="AL25">
            <v>4.0999999999999996</v>
          </cell>
          <cell r="AM25">
            <v>8.5</v>
          </cell>
          <cell r="AN25">
            <v>18.399999999999999</v>
          </cell>
          <cell r="AO25">
            <v>38.099999999999994</v>
          </cell>
          <cell r="AP25">
            <v>6.8</v>
          </cell>
          <cell r="AQ25">
            <v>-1.8</v>
          </cell>
          <cell r="AR25">
            <v>5.4</v>
          </cell>
          <cell r="AS25">
            <v>8.5</v>
          </cell>
          <cell r="AT25">
            <v>18.899999999999999</v>
          </cell>
          <cell r="AU25">
            <v>27.1</v>
          </cell>
          <cell r="AV25">
            <v>2.6</v>
          </cell>
          <cell r="AW25">
            <v>10.7</v>
          </cell>
          <cell r="AX25">
            <v>15.3</v>
          </cell>
          <cell r="AY25">
            <v>55.7</v>
          </cell>
          <cell r="AZ25">
            <v>9.9</v>
          </cell>
          <cell r="BA25">
            <v>10.7</v>
          </cell>
          <cell r="BB25">
            <v>11.9</v>
          </cell>
          <cell r="BC25">
            <v>11.9</v>
          </cell>
          <cell r="BD25">
            <v>44.4</v>
          </cell>
          <cell r="BE25">
            <v>11.385</v>
          </cell>
          <cell r="BF25">
            <v>12.304999999999998</v>
          </cell>
          <cell r="BG25">
            <v>13.684999999999999</v>
          </cell>
          <cell r="BH25">
            <v>13.684999999999999</v>
          </cell>
          <cell r="BI25">
            <v>51.06</v>
          </cell>
        </row>
        <row r="27">
          <cell r="A27" t="str">
            <v>Pretax Income</v>
          </cell>
          <cell r="P27">
            <v>319.3</v>
          </cell>
          <cell r="Q27">
            <v>59.399999999999963</v>
          </cell>
          <cell r="R27">
            <v>91.400000000000034</v>
          </cell>
          <cell r="S27">
            <v>138.39999999999998</v>
          </cell>
          <cell r="T27">
            <v>103.70000000000005</v>
          </cell>
          <cell r="U27">
            <v>392.89999999999986</v>
          </cell>
          <cell r="V27">
            <v>65.39999999999992</v>
          </cell>
          <cell r="W27">
            <v>100.90000000000009</v>
          </cell>
          <cell r="X27">
            <v>108.79999999999991</v>
          </cell>
          <cell r="Y27">
            <v>89.399999999999906</v>
          </cell>
          <cell r="Z27">
            <v>364.50000000000028</v>
          </cell>
          <cell r="AA27">
            <v>78.999999999999986</v>
          </cell>
          <cell r="AB27">
            <v>140.79999999999993</v>
          </cell>
          <cell r="AC27">
            <v>174.70000000000019</v>
          </cell>
          <cell r="AD27">
            <v>147.30000000000013</v>
          </cell>
          <cell r="AE27">
            <v>541.80000000000098</v>
          </cell>
          <cell r="AF27">
            <v>88.500000000000043</v>
          </cell>
          <cell r="AG27">
            <v>117.19999999999987</v>
          </cell>
          <cell r="AH27">
            <v>124.6</v>
          </cell>
          <cell r="AI27">
            <v>102.3000000000001</v>
          </cell>
          <cell r="AJ27">
            <v>432.60000000000036</v>
          </cell>
          <cell r="AK27">
            <v>100.10000000000009</v>
          </cell>
          <cell r="AL27">
            <v>136.30000000000004</v>
          </cell>
          <cell r="AM27">
            <v>131.10000000000008</v>
          </cell>
          <cell r="AN27">
            <v>119.80000000000001</v>
          </cell>
          <cell r="AO27">
            <v>487.29999999999984</v>
          </cell>
          <cell r="AP27">
            <v>143.50000000000003</v>
          </cell>
          <cell r="AQ27">
            <v>189.3000000000001</v>
          </cell>
          <cell r="AR27">
            <v>150.09999999999997</v>
          </cell>
          <cell r="AS27">
            <v>146.29999999999995</v>
          </cell>
          <cell r="AT27">
            <v>629.19999999999993</v>
          </cell>
          <cell r="AU27">
            <v>64.499999999999915</v>
          </cell>
          <cell r="AV27">
            <v>118.29999999999995</v>
          </cell>
          <cell r="AW27">
            <v>161.99999999999994</v>
          </cell>
          <cell r="AX27">
            <v>139.69999999999985</v>
          </cell>
          <cell r="AY27">
            <v>484.5000000000004</v>
          </cell>
          <cell r="AZ27">
            <v>111.20000000000012</v>
          </cell>
          <cell r="BA27">
            <v>155.50000000000006</v>
          </cell>
          <cell r="BB27">
            <v>156.29999999999984</v>
          </cell>
          <cell r="BC27">
            <v>151.85324000000003</v>
          </cell>
          <cell r="BD27">
            <v>574.8532399999998</v>
          </cell>
          <cell r="BE27">
            <v>142.14244000000005</v>
          </cell>
          <cell r="BF27">
            <v>196.4956174999999</v>
          </cell>
          <cell r="BG27">
            <v>193.40091667499999</v>
          </cell>
          <cell r="BH27">
            <v>185.96842244174994</v>
          </cell>
          <cell r="BI27">
            <v>718.00739661674947</v>
          </cell>
        </row>
        <row r="28">
          <cell r="A28" t="str">
            <v>Pretax Margin</v>
          </cell>
          <cell r="P28">
            <v>9.7968826705940121E-2</v>
          </cell>
          <cell r="Q28">
            <v>8.0075492046373639E-2</v>
          </cell>
          <cell r="R28">
            <v>0.10487664945496275</v>
          </cell>
          <cell r="S28">
            <v>0.1259097525473071</v>
          </cell>
          <cell r="T28">
            <v>0.10409556313993178</v>
          </cell>
          <cell r="U28">
            <v>0.10594008682287591</v>
          </cell>
          <cell r="V28">
            <v>8.0048959608323034E-2</v>
          </cell>
          <cell r="W28">
            <v>0.11127040141155722</v>
          </cell>
          <cell r="X28">
            <v>9.0818030050083404E-2</v>
          </cell>
          <cell r="Y28">
            <v>8.2548476454293543E-2</v>
          </cell>
          <cell r="Z28">
            <v>9.1015781062724802E-2</v>
          </cell>
          <cell r="AA28">
            <v>8.3254294446200847E-2</v>
          </cell>
          <cell r="AB28">
            <v>0.12734014651352077</v>
          </cell>
          <cell r="AC28">
            <v>0.12111758180809774</v>
          </cell>
          <cell r="AD28">
            <v>0.11566548881036523</v>
          </cell>
          <cell r="AE28">
            <v>0.11357300073367592</v>
          </cell>
          <cell r="AF28">
            <v>0.11530944625407172</v>
          </cell>
          <cell r="AG28">
            <v>0.14626232372394843</v>
          </cell>
          <cell r="AH28">
            <v>0.1493109646494907</v>
          </cell>
          <cell r="AI28">
            <v>0.11981728742094179</v>
          </cell>
          <cell r="AJ28">
            <v>0.13281753707285632</v>
          </cell>
          <cell r="AK28">
            <v>0.11950811843361997</v>
          </cell>
          <cell r="AL28">
            <v>0.14917368939476855</v>
          </cell>
          <cell r="AM28">
            <v>0.14403427818061973</v>
          </cell>
          <cell r="AN28">
            <v>0.120997879002121</v>
          </cell>
          <cell r="AO28">
            <v>0.13344835140760211</v>
          </cell>
          <cell r="AP28">
            <v>0.1756210990086893</v>
          </cell>
          <cell r="AQ28">
            <v>0.2090557702926561</v>
          </cell>
          <cell r="AR28">
            <v>0.16829240946294424</v>
          </cell>
          <cell r="AS28">
            <v>0.16214119472459265</v>
          </cell>
          <cell r="AT28">
            <v>0.17891264786169242</v>
          </cell>
          <cell r="AU28">
            <v>8.1152491192752793E-2</v>
          </cell>
          <cell r="AV28">
            <v>0.13821708143474701</v>
          </cell>
          <cell r="AW28">
            <v>0.17870932156646435</v>
          </cell>
          <cell r="AX28">
            <v>0.1507337073802329</v>
          </cell>
          <cell r="AY28">
            <v>0.1390642939150403</v>
          </cell>
          <cell r="AZ28">
            <v>0.12463573189867755</v>
          </cell>
          <cell r="BA28">
            <v>0.15245098039215693</v>
          </cell>
          <cell r="BB28">
            <v>0.13751539679746599</v>
          </cell>
          <cell r="BC28">
            <v>0.13183764824364921</v>
          </cell>
          <cell r="BD28">
            <v>0.13684961743742585</v>
          </cell>
          <cell r="BE28">
            <v>0.1267856543968375</v>
          </cell>
          <cell r="BF28">
            <v>0.1558932266254115</v>
          </cell>
          <cell r="BG28">
            <v>0.15329496750621815</v>
          </cell>
          <cell r="BH28">
            <v>0.14677831798351537</v>
          </cell>
          <cell r="BI28">
            <v>0.14622766978155879</v>
          </cell>
        </row>
        <row r="30">
          <cell r="A30" t="str">
            <v>Provision For Income Taxes</v>
          </cell>
          <cell r="P30">
            <v>117.5</v>
          </cell>
          <cell r="Q30">
            <v>19.3</v>
          </cell>
          <cell r="R30">
            <v>33.4</v>
          </cell>
          <cell r="S30">
            <v>48</v>
          </cell>
          <cell r="T30">
            <v>29.400000000000002</v>
          </cell>
          <cell r="U30">
            <v>130.10000000000002</v>
          </cell>
          <cell r="V30">
            <v>22.459400000000002</v>
          </cell>
          <cell r="W30">
            <v>34.700000000000003</v>
          </cell>
          <cell r="X30">
            <v>34.000000000000007</v>
          </cell>
          <cell r="Y30">
            <v>26.8</v>
          </cell>
          <cell r="Z30">
            <v>117.95940000000002</v>
          </cell>
          <cell r="AA30">
            <v>29.6</v>
          </cell>
          <cell r="AB30">
            <v>53.4</v>
          </cell>
          <cell r="AC30">
            <v>60.970300000000073</v>
          </cell>
          <cell r="AD30">
            <v>53</v>
          </cell>
          <cell r="AE30">
            <v>196.97030000000007</v>
          </cell>
          <cell r="AF30">
            <v>28.8</v>
          </cell>
          <cell r="AG30">
            <v>36.200000000000003</v>
          </cell>
          <cell r="AH30">
            <v>35.700000000000003</v>
          </cell>
          <cell r="AI30">
            <v>27.9</v>
          </cell>
          <cell r="AJ30">
            <v>128.60000000000002</v>
          </cell>
          <cell r="AK30">
            <v>33.5</v>
          </cell>
          <cell r="AL30">
            <v>45.7</v>
          </cell>
          <cell r="AM30">
            <v>43.9</v>
          </cell>
          <cell r="AN30">
            <v>40.1</v>
          </cell>
          <cell r="AO30">
            <v>163.19999999999999</v>
          </cell>
          <cell r="AP30">
            <v>49</v>
          </cell>
          <cell r="AQ30">
            <v>64.2</v>
          </cell>
          <cell r="AR30">
            <v>48</v>
          </cell>
          <cell r="AS30">
            <v>48.3</v>
          </cell>
          <cell r="AT30">
            <v>209.5</v>
          </cell>
          <cell r="AU30">
            <v>20.962499999999974</v>
          </cell>
          <cell r="AV30">
            <v>38.447499999999984</v>
          </cell>
          <cell r="AW30">
            <v>49.2</v>
          </cell>
          <cell r="AX30">
            <v>39.255699999999962</v>
          </cell>
          <cell r="AY30">
            <v>147.86569999999992</v>
          </cell>
          <cell r="AZ30">
            <v>33.916000000000032</v>
          </cell>
          <cell r="BA30">
            <v>47.4</v>
          </cell>
          <cell r="BB30">
            <v>45.639599999999952</v>
          </cell>
          <cell r="BC30">
            <v>45.555972000000004</v>
          </cell>
          <cell r="BD30">
            <v>172.51157199999997</v>
          </cell>
          <cell r="BE30">
            <v>43.353444200000013</v>
          </cell>
          <cell r="BF30">
            <v>59.931163337499967</v>
          </cell>
          <cell r="BG30">
            <v>58.987279585874994</v>
          </cell>
          <cell r="BH30">
            <v>56.720368844733727</v>
          </cell>
          <cell r="BI30">
            <v>218.99225596810868</v>
          </cell>
        </row>
        <row r="31">
          <cell r="A31" t="str">
            <v>Tax Rate</v>
          </cell>
          <cell r="P31">
            <v>0.36799248355778263</v>
          </cell>
          <cell r="Q31">
            <v>0.3249158249158251</v>
          </cell>
          <cell r="R31">
            <v>0.36542669584245063</v>
          </cell>
          <cell r="S31">
            <v>0.34682080924855496</v>
          </cell>
          <cell r="T31">
            <v>0.28351012536161996</v>
          </cell>
          <cell r="U31">
            <v>0.33112751336217883</v>
          </cell>
          <cell r="V31">
            <v>0.34341590214067325</v>
          </cell>
          <cell r="W31">
            <v>0.34390485629335948</v>
          </cell>
          <cell r="X31">
            <v>0.31250000000000033</v>
          </cell>
          <cell r="Y31">
            <v>0.29977628635346787</v>
          </cell>
          <cell r="Z31">
            <v>0.32361975308641955</v>
          </cell>
          <cell r="AA31">
            <v>0.37468354430379758</v>
          </cell>
          <cell r="AB31">
            <v>0.37926136363636381</v>
          </cell>
          <cell r="AC31">
            <v>0.34900000000000003</v>
          </cell>
          <cell r="AD31">
            <v>0.35980991174473831</v>
          </cell>
          <cell r="AE31">
            <v>0.36354798818752254</v>
          </cell>
          <cell r="AF31">
            <v>0.32542372881355919</v>
          </cell>
          <cell r="AG31">
            <v>0.30887372013651915</v>
          </cell>
          <cell r="AH31">
            <v>0.2865168539325843</v>
          </cell>
          <cell r="AI31">
            <v>0.27272727272727243</v>
          </cell>
          <cell r="AJ31">
            <v>0.29727230698104462</v>
          </cell>
          <cell r="AK31">
            <v>0.33466533466533432</v>
          </cell>
          <cell r="AL31">
            <v>0.33528980190755681</v>
          </cell>
          <cell r="AM31">
            <v>0.33485888634630034</v>
          </cell>
          <cell r="AN31">
            <v>0.3347245409015025</v>
          </cell>
          <cell r="AO31">
            <v>0.33490662836035306</v>
          </cell>
          <cell r="AP31">
            <v>0.34146341463414626</v>
          </cell>
          <cell r="AQ31">
            <v>0.33914421553090318</v>
          </cell>
          <cell r="AR31">
            <v>0.31978680879413729</v>
          </cell>
          <cell r="AS31">
            <v>0.33014354066985652</v>
          </cell>
          <cell r="AT31">
            <v>0.33296249205340117</v>
          </cell>
          <cell r="AU31">
            <v>0.32500000000000001</v>
          </cell>
          <cell r="AV31">
            <v>0.32500000000000001</v>
          </cell>
          <cell r="AW31">
            <v>0.30370370370370381</v>
          </cell>
          <cell r="AX31">
            <v>0.28100000000000003</v>
          </cell>
          <cell r="AY31">
            <v>0.3051923632610935</v>
          </cell>
          <cell r="AZ31">
            <v>0.30499999999999999</v>
          </cell>
          <cell r="BA31">
            <v>0.30482315112540181</v>
          </cell>
          <cell r="BB31">
            <v>0.29199999999999998</v>
          </cell>
          <cell r="BC31">
            <v>0.3</v>
          </cell>
          <cell r="BD31">
            <v>0.30009672033856855</v>
          </cell>
          <cell r="BE31">
            <v>0.30499999999999999</v>
          </cell>
          <cell r="BF31">
            <v>0.30499999999999999</v>
          </cell>
          <cell r="BG31">
            <v>0.30499999999999999</v>
          </cell>
          <cell r="BH31">
            <v>0.30499999999999999</v>
          </cell>
          <cell r="BI31">
            <v>0.3050000000000001</v>
          </cell>
        </row>
        <row r="33">
          <cell r="A33" t="str">
            <v>Income After Taxes</v>
          </cell>
          <cell r="P33">
            <v>201.8</v>
          </cell>
          <cell r="Q33">
            <v>40.099999999999966</v>
          </cell>
          <cell r="R33">
            <v>58.000000000000036</v>
          </cell>
          <cell r="S33">
            <v>90.399999999999977</v>
          </cell>
          <cell r="T33">
            <v>74.30000000000004</v>
          </cell>
          <cell r="U33">
            <v>262.79999999999984</v>
          </cell>
          <cell r="V33">
            <v>42.940599999999918</v>
          </cell>
          <cell r="W33">
            <v>66.200000000000088</v>
          </cell>
          <cell r="X33">
            <v>74.799999999999898</v>
          </cell>
          <cell r="Y33">
            <v>62.599999999999909</v>
          </cell>
          <cell r="Z33">
            <v>246.54060000000027</v>
          </cell>
          <cell r="AA33">
            <v>49.399999999999984</v>
          </cell>
          <cell r="AB33">
            <v>87.39999999999992</v>
          </cell>
          <cell r="AC33">
            <v>113.72970000000012</v>
          </cell>
          <cell r="AD33">
            <v>94.300000000000125</v>
          </cell>
          <cell r="AE33">
            <v>344.82970000000091</v>
          </cell>
          <cell r="AF33">
            <v>59.700000000000045</v>
          </cell>
          <cell r="AG33">
            <v>80.999999999999872</v>
          </cell>
          <cell r="AH33">
            <v>88.899999999999991</v>
          </cell>
          <cell r="AI33">
            <v>74.400000000000091</v>
          </cell>
          <cell r="AJ33">
            <v>304.00000000000034</v>
          </cell>
          <cell r="AK33">
            <v>66.600000000000094</v>
          </cell>
          <cell r="AL33">
            <v>90.600000000000037</v>
          </cell>
          <cell r="AM33">
            <v>87.200000000000074</v>
          </cell>
          <cell r="AN33">
            <v>79.700000000000017</v>
          </cell>
          <cell r="AO33">
            <v>324.09999999999985</v>
          </cell>
          <cell r="AP33">
            <v>94.500000000000028</v>
          </cell>
          <cell r="AQ33">
            <v>125.10000000000009</v>
          </cell>
          <cell r="AR33">
            <v>102.09999999999997</v>
          </cell>
          <cell r="AS33">
            <v>97.999999999999957</v>
          </cell>
          <cell r="AT33">
            <v>419.69999999999993</v>
          </cell>
          <cell r="AU33">
            <v>43.537499999999937</v>
          </cell>
          <cell r="AV33">
            <v>79.852499999999964</v>
          </cell>
          <cell r="AW33">
            <v>112.79999999999994</v>
          </cell>
          <cell r="AX33">
            <v>100.44429999999988</v>
          </cell>
          <cell r="AY33">
            <v>336.63430000000051</v>
          </cell>
          <cell r="AZ33">
            <v>77.284000000000077</v>
          </cell>
          <cell r="BA33">
            <v>108.10000000000005</v>
          </cell>
          <cell r="BB33">
            <v>110.6603999999999</v>
          </cell>
          <cell r="BC33">
            <v>106.29726800000003</v>
          </cell>
          <cell r="BD33">
            <v>402.3416679999998</v>
          </cell>
          <cell r="BE33">
            <v>98.788995800000038</v>
          </cell>
          <cell r="BF33">
            <v>136.56445416249994</v>
          </cell>
          <cell r="BG33">
            <v>134.41363708912499</v>
          </cell>
          <cell r="BH33">
            <v>129.24805359701622</v>
          </cell>
          <cell r="BI33">
            <v>499.0151406486408</v>
          </cell>
        </row>
        <row r="34">
          <cell r="A34" t="str">
            <v>Equity In Earnings Of Assoc. Cos.</v>
          </cell>
          <cell r="P34">
            <v>119.9</v>
          </cell>
          <cell r="Q34">
            <v>14.5</v>
          </cell>
          <cell r="R34">
            <v>26.1</v>
          </cell>
          <cell r="S34">
            <v>27.728999999999999</v>
          </cell>
          <cell r="T34">
            <v>18.8</v>
          </cell>
          <cell r="U34">
            <v>87.128999999999991</v>
          </cell>
          <cell r="V34">
            <v>7.2</v>
          </cell>
          <cell r="W34">
            <v>27.4</v>
          </cell>
          <cell r="X34">
            <v>31.3</v>
          </cell>
          <cell r="Y34">
            <v>26.699999999999989</v>
          </cell>
          <cell r="Z34">
            <v>92.59999999999998</v>
          </cell>
          <cell r="AA34">
            <v>4.1999999999999993</v>
          </cell>
          <cell r="AB34">
            <v>11.399999999999999</v>
          </cell>
          <cell r="AC34">
            <v>19.000000000000004</v>
          </cell>
          <cell r="AD34">
            <v>16.900000000000002</v>
          </cell>
          <cell r="AE34">
            <v>51.5</v>
          </cell>
          <cell r="AF34">
            <v>14.4</v>
          </cell>
          <cell r="AG34">
            <v>20.6</v>
          </cell>
          <cell r="AH34">
            <v>17</v>
          </cell>
          <cell r="AI34">
            <v>14.7</v>
          </cell>
          <cell r="AJ34">
            <v>66.7</v>
          </cell>
          <cell r="AK34">
            <v>11.6</v>
          </cell>
          <cell r="AL34">
            <v>22.5</v>
          </cell>
          <cell r="AM34">
            <v>24.4</v>
          </cell>
          <cell r="AN34">
            <v>26.6</v>
          </cell>
          <cell r="AO34">
            <v>85.1</v>
          </cell>
          <cell r="AP34">
            <v>6.8</v>
          </cell>
          <cell r="AQ34">
            <v>24.2</v>
          </cell>
          <cell r="AR34">
            <v>31</v>
          </cell>
          <cell r="AS34">
            <v>17.2</v>
          </cell>
          <cell r="AT34">
            <v>79.2</v>
          </cell>
          <cell r="AU34">
            <v>27.5</v>
          </cell>
          <cell r="AV34">
            <v>32.700000000000003</v>
          </cell>
          <cell r="AW34">
            <v>15.3</v>
          </cell>
          <cell r="AX34">
            <v>19.8</v>
          </cell>
          <cell r="AY34">
            <v>95.3</v>
          </cell>
          <cell r="AZ34">
            <v>21.6</v>
          </cell>
          <cell r="BA34">
            <v>31.1</v>
          </cell>
          <cell r="BB34">
            <v>32.200000000000003</v>
          </cell>
          <cell r="BC34">
            <v>28</v>
          </cell>
          <cell r="BD34">
            <v>112.9</v>
          </cell>
          <cell r="BE34">
            <v>23.760000000000005</v>
          </cell>
          <cell r="BF34">
            <v>34.21</v>
          </cell>
          <cell r="BG34">
            <v>35.420000000000009</v>
          </cell>
          <cell r="BH34">
            <v>30.800000000000004</v>
          </cell>
          <cell r="BI34">
            <v>124.19000000000003</v>
          </cell>
        </row>
        <row r="35">
          <cell r="A35" t="str">
            <v>Minority Int. In Earnings Of Subs.</v>
          </cell>
          <cell r="P35">
            <v>-17.3</v>
          </cell>
          <cell r="Q35">
            <v>-3.1</v>
          </cell>
          <cell r="R35">
            <v>-0.9</v>
          </cell>
          <cell r="S35">
            <v>-12.7</v>
          </cell>
          <cell r="T35">
            <v>-13.200000000000001</v>
          </cell>
          <cell r="U35">
            <v>-29.9</v>
          </cell>
          <cell r="V35">
            <v>-3.1</v>
          </cell>
          <cell r="W35">
            <v>-3.8</v>
          </cell>
          <cell r="X35">
            <v>-10</v>
          </cell>
          <cell r="Y35">
            <v>-7.1</v>
          </cell>
          <cell r="Z35">
            <v>-24.000000000000004</v>
          </cell>
          <cell r="AA35">
            <v>-7.9</v>
          </cell>
          <cell r="AB35">
            <v>-10</v>
          </cell>
          <cell r="AC35">
            <v>-21.1</v>
          </cell>
          <cell r="AD35">
            <v>-11.7</v>
          </cell>
          <cell r="AE35">
            <v>-50.699999999999996</v>
          </cell>
          <cell r="AF35">
            <v>-14.2</v>
          </cell>
          <cell r="AG35">
            <v>-17.899999999999999</v>
          </cell>
          <cell r="AH35">
            <v>-18.2</v>
          </cell>
          <cell r="AI35">
            <v>-14.1</v>
          </cell>
          <cell r="AJ35">
            <v>-64.399999999999991</v>
          </cell>
          <cell r="AK35">
            <v>-12.2</v>
          </cell>
          <cell r="AL35">
            <v>-15.8</v>
          </cell>
          <cell r="AM35">
            <v>-13</v>
          </cell>
          <cell r="AN35">
            <v>-11.6</v>
          </cell>
          <cell r="AO35">
            <v>-52.6</v>
          </cell>
          <cell r="AP35">
            <v>-12.5</v>
          </cell>
          <cell r="AQ35">
            <v>-20.8</v>
          </cell>
          <cell r="AR35">
            <v>-22.9</v>
          </cell>
          <cell r="AS35">
            <v>-20.100000000000001</v>
          </cell>
          <cell r="AT35">
            <v>-76.3</v>
          </cell>
          <cell r="AU35">
            <v>-5.5</v>
          </cell>
          <cell r="AV35">
            <v>-16.400000000000002</v>
          </cell>
          <cell r="AW35">
            <v>-20.3</v>
          </cell>
          <cell r="AX35">
            <v>-22.3</v>
          </cell>
          <cell r="AY35">
            <v>-64.5</v>
          </cell>
          <cell r="AZ35">
            <v>-10.1</v>
          </cell>
          <cell r="BA35">
            <v>-17.399999999999999</v>
          </cell>
          <cell r="BB35">
            <v>-9.1</v>
          </cell>
          <cell r="BC35">
            <v>-17.5</v>
          </cell>
          <cell r="BD35">
            <v>-54.1</v>
          </cell>
          <cell r="BE35">
            <v>-11.614999999999998</v>
          </cell>
          <cell r="BF35">
            <v>-20.009999999999998</v>
          </cell>
          <cell r="BG35">
            <v>-10.464999999999998</v>
          </cell>
          <cell r="BH35">
            <v>-20.125</v>
          </cell>
          <cell r="BI35">
            <v>-62.214999999999996</v>
          </cell>
        </row>
        <row r="36">
          <cell r="A36" t="str">
            <v>Income Before Unusual Items</v>
          </cell>
          <cell r="P36">
            <v>304.39999999999998</v>
          </cell>
          <cell r="Q36">
            <v>51.499999999999964</v>
          </cell>
          <cell r="R36">
            <v>83.200000000000031</v>
          </cell>
          <cell r="S36">
            <v>105.42899999999997</v>
          </cell>
          <cell r="T36">
            <v>79.900000000000034</v>
          </cell>
          <cell r="U36">
            <v>320.029</v>
          </cell>
          <cell r="V36">
            <v>47.04059999999992</v>
          </cell>
          <cell r="W36">
            <v>89.800000000000082</v>
          </cell>
          <cell r="X36">
            <v>96.099999999999895</v>
          </cell>
          <cell r="Y36">
            <v>82.199999999999903</v>
          </cell>
          <cell r="Z36">
            <v>315.14059999999978</v>
          </cell>
          <cell r="AA36">
            <v>45.699999999999982</v>
          </cell>
          <cell r="AB36">
            <v>88.799999999999926</v>
          </cell>
          <cell r="AC36">
            <v>111.62970000000013</v>
          </cell>
          <cell r="AD36">
            <v>99.500000000000128</v>
          </cell>
          <cell r="AE36">
            <v>345.62970000000092</v>
          </cell>
          <cell r="AF36">
            <v>59.900000000000048</v>
          </cell>
          <cell r="AG36">
            <v>83.699999999999875</v>
          </cell>
          <cell r="AH36">
            <v>87.699999999999989</v>
          </cell>
          <cell r="AI36">
            <v>75.000000000000099</v>
          </cell>
          <cell r="AJ36">
            <v>306.30000000000035</v>
          </cell>
          <cell r="AK36">
            <v>66.000000000000085</v>
          </cell>
          <cell r="AL36">
            <v>97.30000000000004</v>
          </cell>
          <cell r="AM36">
            <v>98.60000000000008</v>
          </cell>
          <cell r="AN36">
            <v>94.700000000000017</v>
          </cell>
          <cell r="AO36">
            <v>356.5999999999998</v>
          </cell>
          <cell r="AP36">
            <v>88.800000000000026</v>
          </cell>
          <cell r="AQ36">
            <v>128.50000000000009</v>
          </cell>
          <cell r="AR36">
            <v>110.19999999999996</v>
          </cell>
          <cell r="AS36">
            <v>95.099999999999966</v>
          </cell>
          <cell r="AT36">
            <v>422.59999999999991</v>
          </cell>
          <cell r="AU36">
            <v>65.537499999999937</v>
          </cell>
          <cell r="AV36">
            <v>96.152499999999961</v>
          </cell>
          <cell r="AW36">
            <v>107.79999999999994</v>
          </cell>
          <cell r="AX36">
            <v>97.944299999999885</v>
          </cell>
          <cell r="AY36">
            <v>367.43430000000052</v>
          </cell>
          <cell r="AZ36">
            <v>88.784000000000077</v>
          </cell>
          <cell r="BA36">
            <v>121.80000000000004</v>
          </cell>
          <cell r="BB36">
            <v>133.76039999999992</v>
          </cell>
          <cell r="BC36">
            <v>116.79726800000003</v>
          </cell>
          <cell r="BD36">
            <v>461.14166799999975</v>
          </cell>
          <cell r="BE36">
            <v>110.93399580000005</v>
          </cell>
          <cell r="BF36">
            <v>150.76445416249996</v>
          </cell>
          <cell r="BG36">
            <v>159.368637089125</v>
          </cell>
          <cell r="BH36">
            <v>139.92305359701624</v>
          </cell>
          <cell r="BI36">
            <v>560.99014064864082</v>
          </cell>
        </row>
        <row r="37">
          <cell r="A37" t="str">
            <v>Unusual Credits (Charges)</v>
          </cell>
          <cell r="P37">
            <v>12</v>
          </cell>
          <cell r="Q37">
            <v>22.000000000000004</v>
          </cell>
          <cell r="R37">
            <v>0.3</v>
          </cell>
          <cell r="S37">
            <v>-5.1289999999999996</v>
          </cell>
          <cell r="T37">
            <v>12.306000000000001</v>
          </cell>
          <cell r="U37">
            <v>29.477000000000004</v>
          </cell>
          <cell r="V37">
            <v>2.7594000000000003</v>
          </cell>
          <cell r="W37">
            <v>0</v>
          </cell>
          <cell r="X37">
            <v>-137.4</v>
          </cell>
          <cell r="Y37">
            <v>0</v>
          </cell>
          <cell r="Z37">
            <v>-134.64060000000001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</row>
        <row r="39">
          <cell r="A39" t="str">
            <v>Net Income</v>
          </cell>
          <cell r="P39">
            <v>316.39999999999998</v>
          </cell>
          <cell r="Q39">
            <v>73.499999999999972</v>
          </cell>
          <cell r="R39">
            <v>83.500000000000028</v>
          </cell>
          <cell r="S39">
            <v>100.29999999999997</v>
          </cell>
          <cell r="T39">
            <v>92.206000000000031</v>
          </cell>
          <cell r="U39">
            <v>349.50599999999997</v>
          </cell>
          <cell r="V39">
            <v>49.799999999999919</v>
          </cell>
          <cell r="W39">
            <v>89.800000000000082</v>
          </cell>
          <cell r="X39">
            <v>-41.300000000000111</v>
          </cell>
          <cell r="Y39">
            <v>82.199999999999903</v>
          </cell>
          <cell r="Z39">
            <v>180.49999999999977</v>
          </cell>
          <cell r="AA39">
            <v>45.699999999999982</v>
          </cell>
          <cell r="AB39">
            <v>88.799999999999926</v>
          </cell>
          <cell r="AC39">
            <v>111.62970000000013</v>
          </cell>
          <cell r="AD39">
            <v>99.500000000000128</v>
          </cell>
          <cell r="AE39">
            <v>345.62970000000092</v>
          </cell>
          <cell r="AF39">
            <v>59.900000000000048</v>
          </cell>
          <cell r="AG39">
            <v>83.699999999999875</v>
          </cell>
          <cell r="AH39">
            <v>87.699999999999989</v>
          </cell>
          <cell r="AI39">
            <v>75.000000000000099</v>
          </cell>
          <cell r="AJ39">
            <v>306.30000000000035</v>
          </cell>
          <cell r="AK39">
            <v>66.000000000000085</v>
          </cell>
          <cell r="AL39">
            <v>97.30000000000004</v>
          </cell>
          <cell r="AM39">
            <v>98.60000000000008</v>
          </cell>
          <cell r="AN39">
            <v>94.700000000000017</v>
          </cell>
          <cell r="AO39">
            <v>356.5999999999998</v>
          </cell>
          <cell r="AP39">
            <v>88.800000000000026</v>
          </cell>
          <cell r="AQ39">
            <v>128.50000000000009</v>
          </cell>
          <cell r="AR39">
            <v>110.19999999999996</v>
          </cell>
          <cell r="AS39">
            <v>95.099999999999966</v>
          </cell>
          <cell r="AT39">
            <v>422.59999999999991</v>
          </cell>
          <cell r="AU39">
            <v>65.537499999999937</v>
          </cell>
          <cell r="AV39">
            <v>96.152499999999961</v>
          </cell>
          <cell r="AW39">
            <v>107.79999999999994</v>
          </cell>
          <cell r="AX39">
            <v>97.944299999999885</v>
          </cell>
          <cell r="AY39">
            <v>367.43430000000052</v>
          </cell>
          <cell r="AZ39">
            <v>88.784000000000077</v>
          </cell>
          <cell r="BA39">
            <v>121.80000000000004</v>
          </cell>
          <cell r="BB39">
            <v>133.76039999999992</v>
          </cell>
          <cell r="BC39">
            <v>116.79726800000003</v>
          </cell>
          <cell r="BD39">
            <v>461.14166799999975</v>
          </cell>
          <cell r="BE39">
            <v>110.93399580000005</v>
          </cell>
          <cell r="BF39">
            <v>150.76445416249996</v>
          </cell>
          <cell r="BG39">
            <v>159.368637089125</v>
          </cell>
          <cell r="BH39">
            <v>139.92305359701624</v>
          </cell>
          <cell r="BI39">
            <v>560.99014064864082</v>
          </cell>
        </row>
        <row r="40">
          <cell r="A40" t="str">
            <v>Preferred Dividends</v>
          </cell>
          <cell r="P40">
            <v>2.4</v>
          </cell>
          <cell r="Q40">
            <v>0.6</v>
          </cell>
          <cell r="R40">
            <v>0.5</v>
          </cell>
          <cell r="S40">
            <v>0.5</v>
          </cell>
          <cell r="T40">
            <v>0.5</v>
          </cell>
          <cell r="U40">
            <v>2.1</v>
          </cell>
          <cell r="V40">
            <v>0.5</v>
          </cell>
          <cell r="W40">
            <v>0.5</v>
          </cell>
          <cell r="X40">
            <v>0.5</v>
          </cell>
          <cell r="Y40">
            <v>0.5</v>
          </cell>
          <cell r="Z40">
            <v>2</v>
          </cell>
          <cell r="AA40">
            <v>0.5</v>
          </cell>
          <cell r="AB40">
            <v>0.5</v>
          </cell>
          <cell r="AC40">
            <v>3.2</v>
          </cell>
          <cell r="AD40">
            <v>3.4</v>
          </cell>
          <cell r="AE40">
            <v>7.6</v>
          </cell>
          <cell r="AF40">
            <v>3.4</v>
          </cell>
          <cell r="AG40">
            <v>3.35</v>
          </cell>
          <cell r="AH40">
            <v>3.4</v>
          </cell>
          <cell r="AI40">
            <v>3.5</v>
          </cell>
          <cell r="AJ40">
            <v>13.65</v>
          </cell>
          <cell r="AK40">
            <v>3.9000000000000004</v>
          </cell>
          <cell r="AL40">
            <v>4</v>
          </cell>
          <cell r="AM40">
            <v>3.9</v>
          </cell>
          <cell r="AN40">
            <v>3.9000000000000004</v>
          </cell>
          <cell r="AO40">
            <v>15.700000000000001</v>
          </cell>
          <cell r="AP40">
            <v>3.4</v>
          </cell>
          <cell r="AQ40">
            <v>3.5</v>
          </cell>
          <cell r="AR40">
            <v>3.4</v>
          </cell>
          <cell r="AS40">
            <v>3.4</v>
          </cell>
          <cell r="AT40">
            <v>13.700000000000001</v>
          </cell>
          <cell r="AU40">
            <v>3.4</v>
          </cell>
          <cell r="AV40">
            <v>3.5</v>
          </cell>
          <cell r="AW40">
            <v>3.4</v>
          </cell>
          <cell r="AX40">
            <v>3.4</v>
          </cell>
          <cell r="AY40">
            <v>13.700000000000001</v>
          </cell>
          <cell r="AZ40">
            <v>2.2999999999999998</v>
          </cell>
          <cell r="BA40">
            <v>0</v>
          </cell>
          <cell r="BB40">
            <v>0</v>
          </cell>
          <cell r="BC40">
            <v>0</v>
          </cell>
          <cell r="BD40">
            <v>2.2999999999999998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</row>
        <row r="41">
          <cell r="A41" t="str">
            <v>Net Avail. For Common</v>
          </cell>
          <cell r="P41">
            <v>314</v>
          </cell>
          <cell r="Q41">
            <v>72.899999999999977</v>
          </cell>
          <cell r="R41">
            <v>83.000000000000028</v>
          </cell>
          <cell r="S41">
            <v>99.799999999999969</v>
          </cell>
          <cell r="T41">
            <v>91.706000000000031</v>
          </cell>
          <cell r="U41">
            <v>347.40599999999995</v>
          </cell>
          <cell r="V41">
            <v>49.299999999999919</v>
          </cell>
          <cell r="W41">
            <v>89.300000000000082</v>
          </cell>
          <cell r="X41">
            <v>-41.800000000000111</v>
          </cell>
          <cell r="Y41">
            <v>81.699999999999903</v>
          </cell>
          <cell r="Z41">
            <v>178.49999999999977</v>
          </cell>
          <cell r="AA41">
            <v>45.199999999999982</v>
          </cell>
          <cell r="AB41">
            <v>88.299999999999926</v>
          </cell>
          <cell r="AC41">
            <v>108.42970000000012</v>
          </cell>
          <cell r="AD41">
            <v>96.100000000000122</v>
          </cell>
          <cell r="AE41">
            <v>338.0297000000009</v>
          </cell>
          <cell r="AF41">
            <v>56.50000000000005</v>
          </cell>
          <cell r="AG41">
            <v>80.349999999999881</v>
          </cell>
          <cell r="AH41">
            <v>84.299999999999983</v>
          </cell>
          <cell r="AI41">
            <v>71.500000000000099</v>
          </cell>
          <cell r="AJ41">
            <v>292.65000000000038</v>
          </cell>
          <cell r="AK41">
            <v>62.100000000000087</v>
          </cell>
          <cell r="AL41">
            <v>93.30000000000004</v>
          </cell>
          <cell r="AM41">
            <v>94.700000000000074</v>
          </cell>
          <cell r="AN41">
            <v>90.800000000000011</v>
          </cell>
          <cell r="AO41">
            <v>340.89999999999981</v>
          </cell>
          <cell r="AP41">
            <v>85.40000000000002</v>
          </cell>
          <cell r="AQ41">
            <v>125.00000000000009</v>
          </cell>
          <cell r="AR41">
            <v>106.79999999999995</v>
          </cell>
          <cell r="AS41">
            <v>91.69999999999996</v>
          </cell>
          <cell r="AT41">
            <v>408.89999999999992</v>
          </cell>
          <cell r="AU41">
            <v>62.137499999999939</v>
          </cell>
          <cell r="AV41">
            <v>92.652499999999961</v>
          </cell>
          <cell r="AW41">
            <v>104.39999999999993</v>
          </cell>
          <cell r="AX41">
            <v>94.544299999999879</v>
          </cell>
          <cell r="AY41">
            <v>353.73430000000053</v>
          </cell>
          <cell r="AZ41">
            <v>86.48400000000008</v>
          </cell>
          <cell r="BA41">
            <v>121.80000000000004</v>
          </cell>
          <cell r="BB41">
            <v>133.76039999999992</v>
          </cell>
          <cell r="BC41">
            <v>116.79726800000003</v>
          </cell>
          <cell r="BD41">
            <v>458.84166799999974</v>
          </cell>
          <cell r="BE41">
            <v>110.93399580000005</v>
          </cell>
          <cell r="BF41">
            <v>150.76445416249996</v>
          </cell>
          <cell r="BG41">
            <v>159.368637089125</v>
          </cell>
          <cell r="BH41">
            <v>139.92305359701624</v>
          </cell>
          <cell r="BI41">
            <v>560.99014064864082</v>
          </cell>
        </row>
        <row r="43">
          <cell r="A43" t="str">
            <v>Avg. Shares Outstanding (Mil.)</v>
          </cell>
          <cell r="P43">
            <v>186.41</v>
          </cell>
          <cell r="Q43">
            <v>188.68199999999999</v>
          </cell>
          <cell r="R43">
            <v>187.834</v>
          </cell>
          <cell r="S43">
            <v>187.63399999999999</v>
          </cell>
          <cell r="T43">
            <v>190.2</v>
          </cell>
          <cell r="U43">
            <v>188.58749999999998</v>
          </cell>
          <cell r="V43">
            <v>189.63200000000001</v>
          </cell>
          <cell r="W43">
            <v>189.77600000000001</v>
          </cell>
          <cell r="X43">
            <v>192.13200000000001</v>
          </cell>
          <cell r="Y43">
            <v>196.655</v>
          </cell>
          <cell r="Z43">
            <v>192.04875000000004</v>
          </cell>
          <cell r="AA43">
            <v>202.32499999999999</v>
          </cell>
          <cell r="AB43">
            <v>206.268</v>
          </cell>
          <cell r="AC43">
            <v>213.35300000000001</v>
          </cell>
          <cell r="AD43">
            <v>224.90799999999999</v>
          </cell>
          <cell r="AE43">
            <v>211.71350000000001</v>
          </cell>
          <cell r="AF43">
            <v>225.6</v>
          </cell>
          <cell r="AG43">
            <v>226.4</v>
          </cell>
          <cell r="AH43">
            <v>227.1</v>
          </cell>
          <cell r="AI43">
            <v>227.2</v>
          </cell>
          <cell r="AJ43">
            <v>226.57499999999999</v>
          </cell>
          <cell r="AK43">
            <v>227.2</v>
          </cell>
          <cell r="AL43">
            <v>227.3</v>
          </cell>
          <cell r="AM43">
            <v>227.4</v>
          </cell>
          <cell r="AN43">
            <v>225.9</v>
          </cell>
          <cell r="AO43">
            <v>227.1</v>
          </cell>
          <cell r="AP43">
            <v>226.5</v>
          </cell>
          <cell r="AQ43">
            <v>227.8</v>
          </cell>
          <cell r="AR43">
            <v>228.7</v>
          </cell>
          <cell r="AS43">
            <v>229.1</v>
          </cell>
          <cell r="AT43">
            <v>228.02500000000001</v>
          </cell>
          <cell r="AU43">
            <v>229.6</v>
          </cell>
          <cell r="AV43">
            <v>229.9</v>
          </cell>
          <cell r="AW43">
            <v>229.5</v>
          </cell>
          <cell r="AX43">
            <v>229.4</v>
          </cell>
          <cell r="AY43">
            <v>229.6</v>
          </cell>
          <cell r="AZ43">
            <v>233.8</v>
          </cell>
          <cell r="BA43">
            <v>234.05</v>
          </cell>
          <cell r="BB43">
            <v>234.3</v>
          </cell>
          <cell r="BC43">
            <v>234.55</v>
          </cell>
          <cell r="BD43">
            <v>234.17500000000001</v>
          </cell>
          <cell r="BE43">
            <v>234.8</v>
          </cell>
          <cell r="BF43">
            <v>235.05</v>
          </cell>
          <cell r="BG43">
            <v>235.3</v>
          </cell>
          <cell r="BH43">
            <v>235.55</v>
          </cell>
          <cell r="BI43">
            <v>235.17500000000001</v>
          </cell>
        </row>
        <row r="45">
          <cell r="A45" t="str">
            <v>EPS Before Extraordinary Items</v>
          </cell>
          <cell r="P45">
            <v>1.6200847594013197</v>
          </cell>
          <cell r="Q45">
            <v>0.26976606141550313</v>
          </cell>
          <cell r="R45">
            <v>0.44028237699245093</v>
          </cell>
          <cell r="S45">
            <v>0.55922167624204555</v>
          </cell>
          <cell r="T45">
            <v>0.41745531019978988</v>
          </cell>
          <cell r="U45">
            <v>1.6858434413733678</v>
          </cell>
          <cell r="V45">
            <v>0.24542587748903097</v>
          </cell>
          <cell r="W45">
            <v>0.47055475929516943</v>
          </cell>
          <cell r="X45">
            <v>0.49757458414006983</v>
          </cell>
          <cell r="Y45">
            <v>0.41544837405608759</v>
          </cell>
          <cell r="Z45">
            <v>1.6305266240993483</v>
          </cell>
          <cell r="AA45">
            <v>0.22340294081304823</v>
          </cell>
          <cell r="AB45">
            <v>0.42808385207593969</v>
          </cell>
          <cell r="AC45">
            <v>0.50821736746143775</v>
          </cell>
          <cell r="AD45">
            <v>0.42728582353673561</v>
          </cell>
          <cell r="AE45">
            <v>1.596637436913569</v>
          </cell>
          <cell r="AF45">
            <v>0.25044326241134773</v>
          </cell>
          <cell r="AG45">
            <v>0.35490282685512314</v>
          </cell>
          <cell r="AH45">
            <v>0.37533392698130003</v>
          </cell>
          <cell r="AI45">
            <v>0.31470070422535257</v>
          </cell>
          <cell r="AJ45">
            <v>1.291625289639194</v>
          </cell>
          <cell r="AK45">
            <v>0.27212971078001791</v>
          </cell>
          <cell r="AL45">
            <v>0.41047074351077883</v>
          </cell>
          <cell r="AM45">
            <v>0.4164467897977136</v>
          </cell>
          <cell r="AN45">
            <v>0.40194776449756531</v>
          </cell>
          <cell r="AO45">
            <v>1.5011008366358425</v>
          </cell>
          <cell r="AP45">
            <v>0.37704194260485657</v>
          </cell>
          <cell r="AQ45">
            <v>0.54872695346795475</v>
          </cell>
          <cell r="AR45">
            <v>0.46698731963270645</v>
          </cell>
          <cell r="AS45">
            <v>0.4002618943692709</v>
          </cell>
          <cell r="AT45">
            <v>1.7932244271461459</v>
          </cell>
          <cell r="AU45">
            <v>0.27063371080139348</v>
          </cell>
          <cell r="AV45">
            <v>0.40301217920835125</v>
          </cell>
          <cell r="AW45">
            <v>0.45490196078431344</v>
          </cell>
          <cell r="AX45">
            <v>0.41213731473408838</v>
          </cell>
          <cell r="AY45">
            <v>1.5406851655281464</v>
          </cell>
          <cell r="AZ45">
            <v>0.36990590248075311</v>
          </cell>
          <cell r="BA45">
            <v>0.52040162358470432</v>
          </cell>
          <cell r="BB45">
            <v>0.57089372599231714</v>
          </cell>
          <cell r="BC45">
            <v>0.4979631976124495</v>
          </cell>
          <cell r="BD45">
            <v>1.9591644496702241</v>
          </cell>
          <cell r="BE45">
            <v>0.47246165161839881</v>
          </cell>
          <cell r="BF45">
            <v>0.64141439762816399</v>
          </cell>
          <cell r="BG45">
            <v>0.67729977513440287</v>
          </cell>
          <cell r="BH45">
            <v>0.59402697345368805</v>
          </cell>
          <cell r="BI45">
            <v>2.3852027978346539</v>
          </cell>
        </row>
        <row r="46">
          <cell r="A46" t="str">
            <v>Dil. Avg. Shares Outstanding (Mil.)</v>
          </cell>
          <cell r="P46">
            <v>186.41</v>
          </cell>
          <cell r="Q46">
            <v>188.68199999999999</v>
          </cell>
          <cell r="R46">
            <v>187.834</v>
          </cell>
          <cell r="S46">
            <v>187.63399999999999</v>
          </cell>
          <cell r="T46">
            <v>190.2</v>
          </cell>
          <cell r="U46">
            <v>188.58749999999998</v>
          </cell>
          <cell r="V46">
            <v>189.63200000000001</v>
          </cell>
          <cell r="W46">
            <v>189.77600000000001</v>
          </cell>
          <cell r="X46">
            <v>192.13200000000001</v>
          </cell>
          <cell r="Y46">
            <v>196.655</v>
          </cell>
          <cell r="Z46">
            <v>192.04875000000004</v>
          </cell>
          <cell r="AA46">
            <v>202.32499999999999</v>
          </cell>
          <cell r="AB46">
            <v>206.268</v>
          </cell>
          <cell r="AC46">
            <v>213.35300000000001</v>
          </cell>
          <cell r="AD46">
            <v>224.90799999999999</v>
          </cell>
          <cell r="AE46">
            <v>211.71350000000001</v>
          </cell>
          <cell r="AF46">
            <v>225.6</v>
          </cell>
          <cell r="AG46">
            <v>226.4</v>
          </cell>
          <cell r="AH46">
            <v>227.1</v>
          </cell>
          <cell r="AI46">
            <v>227.2</v>
          </cell>
          <cell r="AJ46">
            <v>228.57499999999999</v>
          </cell>
          <cell r="AK46">
            <v>229.2</v>
          </cell>
          <cell r="AL46">
            <v>239.6</v>
          </cell>
          <cell r="AM46">
            <v>239.7</v>
          </cell>
          <cell r="AN46">
            <v>239.4</v>
          </cell>
          <cell r="AO46">
            <v>236.97499999999999</v>
          </cell>
          <cell r="AP46">
            <v>243.3</v>
          </cell>
          <cell r="AQ46">
            <v>245.8</v>
          </cell>
          <cell r="AR46">
            <v>246.79999999999998</v>
          </cell>
          <cell r="AS46">
            <v>245.5</v>
          </cell>
          <cell r="AT46">
            <v>245.35</v>
          </cell>
          <cell r="AU46">
            <v>232.6</v>
          </cell>
          <cell r="AV46">
            <v>233.9</v>
          </cell>
          <cell r="AW46">
            <v>242.2</v>
          </cell>
          <cell r="AX46">
            <v>243.8</v>
          </cell>
          <cell r="AY46">
            <v>238.125</v>
          </cell>
          <cell r="AZ46">
            <v>245.2</v>
          </cell>
          <cell r="BA46">
            <v>247.5</v>
          </cell>
          <cell r="BB46">
            <v>248.3</v>
          </cell>
          <cell r="BC46">
            <v>248.5</v>
          </cell>
          <cell r="BD46">
            <v>247.375</v>
          </cell>
          <cell r="BE46">
            <v>248.75</v>
          </cell>
          <cell r="BF46">
            <v>248.95</v>
          </cell>
          <cell r="BG46">
            <v>249.14999999999998</v>
          </cell>
          <cell r="BH46">
            <v>249.34999999999997</v>
          </cell>
          <cell r="BI46">
            <v>249.04999999999995</v>
          </cell>
        </row>
        <row r="47">
          <cell r="A47" t="str">
            <v>Fully Diluted EPS</v>
          </cell>
          <cell r="P47">
            <v>1.6844589882517034</v>
          </cell>
          <cell r="Q47">
            <v>0.38636435908035732</v>
          </cell>
          <cell r="R47">
            <v>0.44187953192712731</v>
          </cell>
          <cell r="S47">
            <v>0.53188654508244759</v>
          </cell>
          <cell r="T47">
            <v>0.48215562565720316</v>
          </cell>
          <cell r="U47">
            <v>1.8421475442433883</v>
          </cell>
          <cell r="V47">
            <v>0.25997721903476162</v>
          </cell>
          <cell r="W47">
            <v>0.47055475929516943</v>
          </cell>
          <cell r="X47">
            <v>-0.21755876168467569</v>
          </cell>
          <cell r="Y47">
            <v>0.41544837405608759</v>
          </cell>
          <cell r="Z47">
            <v>0.92945150645343821</v>
          </cell>
          <cell r="AA47">
            <v>0.22340294081304823</v>
          </cell>
          <cell r="AB47">
            <v>0.42808385207593969</v>
          </cell>
          <cell r="AC47">
            <v>0.50821736746143775</v>
          </cell>
          <cell r="AD47">
            <v>0.42728582353673561</v>
          </cell>
          <cell r="AE47">
            <v>1.596637436913569</v>
          </cell>
          <cell r="AF47">
            <v>0.25044326241134773</v>
          </cell>
          <cell r="AG47">
            <v>0.35490282685512314</v>
          </cell>
          <cell r="AH47">
            <v>0.37120211360634076</v>
          </cell>
          <cell r="AI47">
            <v>0.31470070422535257</v>
          </cell>
          <cell r="AJ47">
            <v>1.280323744941487</v>
          </cell>
          <cell r="AK47">
            <v>0.27094240837696376</v>
          </cell>
          <cell r="AL47">
            <v>0.40400667779632737</v>
          </cell>
          <cell r="AM47">
            <v>0.40926157697121435</v>
          </cell>
          <cell r="AN47">
            <v>0.39348370927318305</v>
          </cell>
          <cell r="AO47">
            <v>1.4776943724176888</v>
          </cell>
          <cell r="AP47">
            <v>0.36498150431565979</v>
          </cell>
          <cell r="AQ47">
            <v>0.52278275020341769</v>
          </cell>
          <cell r="AR47">
            <v>0.44651539708265792</v>
          </cell>
          <cell r="AS47">
            <v>0.38737270875763735</v>
          </cell>
          <cell r="AT47">
            <v>1.7224373344202157</v>
          </cell>
          <cell r="AU47">
            <v>0.27063371080139348</v>
          </cell>
          <cell r="AV47">
            <v>0.39441073510120095</v>
          </cell>
          <cell r="AW47">
            <v>0.44508670520231192</v>
          </cell>
          <cell r="AX47">
            <v>0.40174036095159921</v>
          </cell>
          <cell r="AY47">
            <v>1.5118715120565056</v>
          </cell>
          <cell r="AZ47">
            <v>0.36208809135399705</v>
          </cell>
          <cell r="BA47">
            <v>0.49212121212121229</v>
          </cell>
          <cell r="BB47">
            <v>0.53870479258960902</v>
          </cell>
          <cell r="BC47">
            <v>0.4700091267605635</v>
          </cell>
          <cell r="BD47">
            <v>1.8641401435068206</v>
          </cell>
          <cell r="BE47">
            <v>0.44596581226130672</v>
          </cell>
          <cell r="BF47">
            <v>0.60560134228760787</v>
          </cell>
          <cell r="BG47">
            <v>0.63964935616746943</v>
          </cell>
          <cell r="BH47">
            <v>0.56115120752763692</v>
          </cell>
          <cell r="BI47">
            <v>2.2525201391232321</v>
          </cell>
        </row>
        <row r="48">
          <cell r="A48" t="str">
            <v>Extraordinary Items Per Share</v>
          </cell>
          <cell r="P48">
            <v>6.4374228850383561E-2</v>
          </cell>
          <cell r="Q48">
            <v>0.11659829766485412</v>
          </cell>
          <cell r="R48">
            <v>1.5971549346763632E-3</v>
          </cell>
          <cell r="S48">
            <v>-2.7335131159597941E-2</v>
          </cell>
          <cell r="T48">
            <v>6.4700315457413254E-2</v>
          </cell>
          <cell r="U48">
            <v>0.15630410287002058</v>
          </cell>
          <cell r="V48">
            <v>1.455134154573068E-2</v>
          </cell>
          <cell r="W48">
            <v>0</v>
          </cell>
          <cell r="X48">
            <v>-0.71513334582474553</v>
          </cell>
          <cell r="Y48">
            <v>0</v>
          </cell>
          <cell r="Z48">
            <v>-0.70107511764591013</v>
          </cell>
          <cell r="AA48">
            <v>0</v>
          </cell>
          <cell r="AB48">
            <v>0</v>
          </cell>
          <cell r="AC48">
            <v>-0.25112044358410712</v>
          </cell>
          <cell r="AD48">
            <v>-0.36</v>
          </cell>
          <cell r="AE48">
            <v>-0.61112044358410711</v>
          </cell>
          <cell r="AF48">
            <v>0</v>
          </cell>
          <cell r="AG48">
            <v>-7.1113074204947002E-2</v>
          </cell>
          <cell r="AH48">
            <v>0</v>
          </cell>
          <cell r="AI48">
            <v>0</v>
          </cell>
          <cell r="AJ48">
            <v>-7.1113074204947002E-2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-0.17731081658828562</v>
          </cell>
          <cell r="AW48">
            <v>0</v>
          </cell>
          <cell r="AX48">
            <v>3.9770303527481538E-2</v>
          </cell>
          <cell r="AY48">
            <v>0</v>
          </cell>
          <cell r="AZ48">
            <v>0</v>
          </cell>
          <cell r="BA48">
            <v>0</v>
          </cell>
          <cell r="BB48">
            <v>-2.0136931131695527E-3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</row>
        <row r="49">
          <cell r="A49" t="str">
            <v>Dow Corning</v>
          </cell>
          <cell r="AA49">
            <v>0.06</v>
          </cell>
          <cell r="AB49">
            <v>0.11</v>
          </cell>
          <cell r="AC49">
            <v>0.11</v>
          </cell>
          <cell r="AD49">
            <v>0.06</v>
          </cell>
          <cell r="AE49">
            <v>0.33999999999999997</v>
          </cell>
          <cell r="AF49">
            <v>7.7570921985815611E-2</v>
          </cell>
          <cell r="AG49">
            <v>-1.614399293286219</v>
          </cell>
          <cell r="AH49">
            <v>0</v>
          </cell>
          <cell r="AI49">
            <v>0</v>
          </cell>
          <cell r="AJ49">
            <v>-1.5368283713004034</v>
          </cell>
        </row>
        <row r="50">
          <cell r="A50" t="str">
            <v>Discontinued Operations</v>
          </cell>
          <cell r="AF50">
            <v>0.1170212765957447</v>
          </cell>
          <cell r="AG50">
            <v>1.5019379844961241E-2</v>
          </cell>
          <cell r="AH50">
            <v>-9.5046854082998664E-2</v>
          </cell>
          <cell r="AI50">
            <v>5.501760563380282E-2</v>
          </cell>
          <cell r="AJ50">
            <v>9.2011407991510114E-2</v>
          </cell>
          <cell r="AK50">
            <v>4.0492957746478882E-2</v>
          </cell>
          <cell r="AL50">
            <v>7.4999999999999997E-2</v>
          </cell>
          <cell r="AM50">
            <v>-0.50571679859278806</v>
          </cell>
          <cell r="AN50">
            <v>7.0000000000000007E-2</v>
          </cell>
          <cell r="AO50">
            <v>-0.32022384084630917</v>
          </cell>
          <cell r="AP50">
            <v>2.7127003699136867E-2</v>
          </cell>
          <cell r="AQ50">
            <v>8.7796312554872698E-3</v>
          </cell>
          <cell r="AR50">
            <v>2.228525121555916E-2</v>
          </cell>
          <cell r="AS50">
            <v>6.843177189409369E-2</v>
          </cell>
          <cell r="AT50">
            <v>0.126623658064277</v>
          </cell>
          <cell r="AU50">
            <v>-0.01</v>
          </cell>
          <cell r="AV50">
            <v>0.3</v>
          </cell>
          <cell r="AW50">
            <v>0</v>
          </cell>
          <cell r="AY50">
            <v>0.28999999999999998</v>
          </cell>
          <cell r="BA50">
            <v>1.2091439125957761</v>
          </cell>
        </row>
        <row r="51">
          <cell r="A51" t="str">
            <v>Reported Earnings Per Share</v>
          </cell>
          <cell r="P51">
            <v>1.6844589882517034</v>
          </cell>
          <cell r="Q51">
            <v>0.38636435908035732</v>
          </cell>
          <cell r="R51">
            <v>0.44187953192712731</v>
          </cell>
          <cell r="S51">
            <v>0.53188654508244759</v>
          </cell>
          <cell r="T51">
            <v>0.48215562565720316</v>
          </cell>
          <cell r="U51">
            <v>1.8421475442433883</v>
          </cell>
          <cell r="V51">
            <v>0.25997721903476162</v>
          </cell>
          <cell r="W51">
            <v>0.47055475929516943</v>
          </cell>
          <cell r="X51">
            <v>-0.21755876168467569</v>
          </cell>
          <cell r="Y51">
            <v>0.41544837405608759</v>
          </cell>
          <cell r="Z51">
            <v>0.92945150645343821</v>
          </cell>
          <cell r="AA51">
            <v>0.28340294081304823</v>
          </cell>
          <cell r="AB51">
            <v>0.53808385207593967</v>
          </cell>
          <cell r="AC51">
            <v>0.36709692387733062</v>
          </cell>
          <cell r="AD51">
            <v>0.12728582353673562</v>
          </cell>
          <cell r="AE51">
            <v>1.3255169933294617</v>
          </cell>
          <cell r="AF51">
            <v>0.44503546099290803</v>
          </cell>
          <cell r="AG51">
            <v>-1.3155901607910818</v>
          </cell>
          <cell r="AH51">
            <v>0.28028707289830135</v>
          </cell>
          <cell r="AI51">
            <v>0.36971830985915538</v>
          </cell>
          <cell r="AJ51">
            <v>-0.22430474787464635</v>
          </cell>
          <cell r="AK51">
            <v>0.31262266852649678</v>
          </cell>
          <cell r="AL51">
            <v>0.48547074351077885</v>
          </cell>
          <cell r="AM51">
            <v>-8.9270008795074463E-2</v>
          </cell>
          <cell r="AN51">
            <v>0.47194776449756531</v>
          </cell>
          <cell r="AO51">
            <v>1.1808769957895333</v>
          </cell>
          <cell r="AP51">
            <v>0.39210850801479663</v>
          </cell>
          <cell r="AQ51">
            <v>0.531562381458905</v>
          </cell>
          <cell r="AR51">
            <v>0.4688006482982171</v>
          </cell>
          <cell r="AS51">
            <v>0.45580448065173107</v>
          </cell>
          <cell r="AT51">
            <v>1.8490609924844927</v>
          </cell>
          <cell r="AU51">
            <v>0.26063371080139347</v>
          </cell>
          <cell r="AV51">
            <v>0.51709991851291526</v>
          </cell>
          <cell r="AW51">
            <v>0.44508670520231192</v>
          </cell>
          <cell r="AX51">
            <v>0.44151066447908072</v>
          </cell>
          <cell r="AY51">
            <v>1.8018715120565056</v>
          </cell>
          <cell r="AZ51">
            <v>0.36208809135399705</v>
          </cell>
          <cell r="BA51">
            <v>1.7012651247169885</v>
          </cell>
          <cell r="BB51">
            <v>0.53669109947643945</v>
          </cell>
          <cell r="BC51">
            <v>0.4700091267605635</v>
          </cell>
          <cell r="BD51">
            <v>1.8641401435068206</v>
          </cell>
          <cell r="BE51">
            <v>0.44596581226130672</v>
          </cell>
          <cell r="BF51">
            <v>0.60560134228760787</v>
          </cell>
          <cell r="BG51">
            <v>0.63964935616746943</v>
          </cell>
          <cell r="BH51">
            <v>0.56115120752763692</v>
          </cell>
          <cell r="BI51">
            <v>2.2525201391232321</v>
          </cell>
        </row>
        <row r="53">
          <cell r="A53" t="str">
            <v>Dividends Per Share</v>
          </cell>
          <cell r="P53">
            <v>0.5</v>
          </cell>
          <cell r="Q53">
            <v>0.15</v>
          </cell>
          <cell r="R53">
            <v>0.15</v>
          </cell>
          <cell r="S53">
            <v>0.15</v>
          </cell>
          <cell r="T53">
            <v>0.15</v>
          </cell>
          <cell r="U53">
            <v>0.6</v>
          </cell>
          <cell r="V53">
            <v>0.1668</v>
          </cell>
          <cell r="W53">
            <v>0.1668</v>
          </cell>
          <cell r="X53">
            <v>0.1668</v>
          </cell>
          <cell r="Y53">
            <v>0.1668</v>
          </cell>
          <cell r="Z53">
            <v>0.66720000000000002</v>
          </cell>
          <cell r="AA53">
            <v>0.1668</v>
          </cell>
          <cell r="AB53">
            <v>0.17</v>
          </cell>
          <cell r="AC53">
            <v>0.17</v>
          </cell>
          <cell r="AD53">
            <v>0.18</v>
          </cell>
          <cell r="AE53">
            <v>0.68680000000000008</v>
          </cell>
          <cell r="AF53">
            <v>0.18</v>
          </cell>
          <cell r="AG53">
            <v>0.18</v>
          </cell>
          <cell r="AH53">
            <v>0.18</v>
          </cell>
          <cell r="AI53">
            <v>0.18</v>
          </cell>
          <cell r="AJ53">
            <v>0.72</v>
          </cell>
          <cell r="AK53">
            <v>0.18</v>
          </cell>
          <cell r="AL53">
            <v>0.18</v>
          </cell>
          <cell r="AM53">
            <v>0.18</v>
          </cell>
          <cell r="AN53">
            <v>0.18</v>
          </cell>
          <cell r="AO53">
            <v>0.72</v>
          </cell>
          <cell r="AP53">
            <v>0.18</v>
          </cell>
          <cell r="AQ53">
            <v>0.18</v>
          </cell>
          <cell r="AR53">
            <v>0.18</v>
          </cell>
          <cell r="AS53">
            <v>0.18</v>
          </cell>
          <cell r="AT53">
            <v>0.72</v>
          </cell>
          <cell r="AU53">
            <v>0.18</v>
          </cell>
          <cell r="AV53">
            <v>0.18</v>
          </cell>
          <cell r="AW53">
            <v>0.18</v>
          </cell>
          <cell r="AX53">
            <v>0.18</v>
          </cell>
          <cell r="AY53">
            <v>0.72</v>
          </cell>
          <cell r="AZ53">
            <v>0.18</v>
          </cell>
          <cell r="BA53">
            <v>0.18</v>
          </cell>
          <cell r="BB53">
            <v>0.18</v>
          </cell>
          <cell r="BC53">
            <v>0.18</v>
          </cell>
          <cell r="BD53">
            <v>0.72</v>
          </cell>
          <cell r="BE53">
            <v>0.18</v>
          </cell>
          <cell r="BF53">
            <v>0.18</v>
          </cell>
          <cell r="BG53">
            <v>0.18</v>
          </cell>
          <cell r="BH53">
            <v>0.18</v>
          </cell>
          <cell r="BI53">
            <v>0.72</v>
          </cell>
        </row>
        <row r="55">
          <cell r="A55" t="str">
            <v>Source:  Corning financial statements and Salomon Smith Barney estimates.</v>
          </cell>
        </row>
        <row r="56">
          <cell r="A56" t="str">
            <v>Table 6B.  Corning Inc.— Quarterly Income Statement—Operating Metrics</v>
          </cell>
        </row>
        <row r="57">
          <cell r="AJ57" t="str">
            <v xml:space="preserve"> </v>
          </cell>
        </row>
        <row r="58">
          <cell r="P58" t="str">
            <v xml:space="preserve">   Year</v>
          </cell>
          <cell r="R58" t="str">
            <v>1992</v>
          </cell>
          <cell r="U58" t="str">
            <v xml:space="preserve">   Year</v>
          </cell>
          <cell r="W58" t="str">
            <v xml:space="preserve">1993 </v>
          </cell>
          <cell r="Z58" t="str">
            <v xml:space="preserve">   Year</v>
          </cell>
          <cell r="AB58" t="str">
            <v>1994</v>
          </cell>
          <cell r="AE58" t="str">
            <v xml:space="preserve">   Year</v>
          </cell>
          <cell r="AG58" t="str">
            <v xml:space="preserve"> 1995</v>
          </cell>
          <cell r="AJ58" t="str">
            <v xml:space="preserve">   Year</v>
          </cell>
          <cell r="AL58" t="str">
            <v xml:space="preserve"> 1996</v>
          </cell>
          <cell r="AO58" t="str">
            <v xml:space="preserve">   Year</v>
          </cell>
          <cell r="AQ58" t="str">
            <v>1997</v>
          </cell>
          <cell r="AT58" t="str">
            <v xml:space="preserve">   Year</v>
          </cell>
          <cell r="AV58">
            <v>1998</v>
          </cell>
          <cell r="AY58" t="str">
            <v xml:space="preserve">   Year</v>
          </cell>
          <cell r="BA58" t="str">
            <v>Estimated 1999</v>
          </cell>
          <cell r="BD58" t="str">
            <v xml:space="preserve">   Year</v>
          </cell>
          <cell r="BF58" t="str">
            <v>Estimated 2000</v>
          </cell>
          <cell r="BI58" t="str">
            <v xml:space="preserve">   Year</v>
          </cell>
        </row>
        <row r="59">
          <cell r="P59" t="str">
            <v xml:space="preserve">   1991</v>
          </cell>
          <cell r="Q59" t="str">
            <v>1Q</v>
          </cell>
          <cell r="R59" t="str">
            <v>2Q</v>
          </cell>
          <cell r="S59" t="str">
            <v>3Q</v>
          </cell>
          <cell r="T59" t="str">
            <v>4Q</v>
          </cell>
          <cell r="U59" t="str">
            <v xml:space="preserve">   1992</v>
          </cell>
          <cell r="V59" t="str">
            <v>1Q</v>
          </cell>
          <cell r="W59" t="str">
            <v>2Q</v>
          </cell>
          <cell r="X59" t="str">
            <v>3Q</v>
          </cell>
          <cell r="Y59" t="str">
            <v>4Q</v>
          </cell>
          <cell r="Z59" t="str">
            <v xml:space="preserve">   1993</v>
          </cell>
          <cell r="AA59" t="str">
            <v>1Q</v>
          </cell>
          <cell r="AB59" t="str">
            <v>2Q</v>
          </cell>
          <cell r="AC59" t="str">
            <v>3Q</v>
          </cell>
          <cell r="AD59" t="str">
            <v>4Q</v>
          </cell>
          <cell r="AE59" t="str">
            <v xml:space="preserve">   1994</v>
          </cell>
          <cell r="AF59" t="str">
            <v>1Q</v>
          </cell>
          <cell r="AG59" t="str">
            <v>2Q</v>
          </cell>
          <cell r="AH59" t="str">
            <v>3Q</v>
          </cell>
          <cell r="AI59" t="str">
            <v>4Q</v>
          </cell>
          <cell r="AJ59" t="str">
            <v xml:space="preserve">   1995</v>
          </cell>
          <cell r="AK59" t="str">
            <v>1Q</v>
          </cell>
          <cell r="AL59" t="str">
            <v>2Q</v>
          </cell>
          <cell r="AM59" t="str">
            <v>3Q</v>
          </cell>
          <cell r="AN59" t="str">
            <v>4Q</v>
          </cell>
          <cell r="AO59" t="str">
            <v xml:space="preserve">   1996</v>
          </cell>
          <cell r="AP59" t="str">
            <v>1Q</v>
          </cell>
          <cell r="AQ59" t="str">
            <v>2Q</v>
          </cell>
          <cell r="AR59" t="str">
            <v>3Q</v>
          </cell>
          <cell r="AS59" t="str">
            <v>4Q</v>
          </cell>
          <cell r="AT59" t="str">
            <v xml:space="preserve">   1997</v>
          </cell>
          <cell r="AU59" t="str">
            <v>1Q</v>
          </cell>
          <cell r="AV59" t="str">
            <v>2Q</v>
          </cell>
          <cell r="AW59" t="str">
            <v>3Q</v>
          </cell>
          <cell r="AX59" t="str">
            <v>4Q</v>
          </cell>
          <cell r="AY59">
            <v>1998</v>
          </cell>
          <cell r="AZ59" t="str">
            <v>1QA</v>
          </cell>
          <cell r="BA59" t="str">
            <v>2QA</v>
          </cell>
          <cell r="BB59" t="str">
            <v>3QA</v>
          </cell>
          <cell r="BC59" t="str">
            <v>4Q</v>
          </cell>
          <cell r="BD59" t="str">
            <v xml:space="preserve">   1999E</v>
          </cell>
          <cell r="BE59" t="str">
            <v>1Q</v>
          </cell>
          <cell r="BF59" t="str">
            <v>2Q</v>
          </cell>
          <cell r="BG59" t="str">
            <v>3Q</v>
          </cell>
          <cell r="BH59" t="str">
            <v>4Q</v>
          </cell>
          <cell r="BI59" t="str">
            <v>2000E</v>
          </cell>
        </row>
        <row r="61">
          <cell r="A61" t="str">
            <v>End Of Quarter Employees</v>
          </cell>
          <cell r="P61" t="str">
            <v>NM</v>
          </cell>
          <cell r="Q61" t="str">
            <v>NM</v>
          </cell>
          <cell r="R61" t="str">
            <v>NM</v>
          </cell>
          <cell r="S61" t="str">
            <v>NM</v>
          </cell>
          <cell r="T61" t="str">
            <v>NM</v>
          </cell>
          <cell r="U61">
            <v>17800</v>
          </cell>
          <cell r="V61">
            <v>18800</v>
          </cell>
          <cell r="W61">
            <v>19800</v>
          </cell>
          <cell r="X61">
            <v>20800</v>
          </cell>
          <cell r="Y61">
            <v>21800</v>
          </cell>
          <cell r="Z61">
            <v>21800</v>
          </cell>
          <cell r="AA61">
            <v>21950</v>
          </cell>
          <cell r="AB61">
            <v>22100</v>
          </cell>
          <cell r="AC61">
            <v>22250</v>
          </cell>
          <cell r="AD61">
            <v>22400</v>
          </cell>
          <cell r="AE61">
            <v>22400</v>
          </cell>
          <cell r="AF61">
            <v>21350</v>
          </cell>
          <cell r="AG61">
            <v>20300</v>
          </cell>
          <cell r="AH61">
            <v>19250</v>
          </cell>
          <cell r="AI61">
            <v>18200</v>
          </cell>
          <cell r="AJ61">
            <v>18200</v>
          </cell>
          <cell r="AK61">
            <v>18650</v>
          </cell>
          <cell r="AL61">
            <v>19100</v>
          </cell>
          <cell r="AM61">
            <v>19550</v>
          </cell>
          <cell r="AN61">
            <v>20000</v>
          </cell>
          <cell r="AO61">
            <v>20000</v>
          </cell>
          <cell r="AP61" t="str">
            <v>NA</v>
          </cell>
          <cell r="AQ61" t="str">
            <v>NA</v>
          </cell>
          <cell r="AR61" t="str">
            <v>NA</v>
          </cell>
          <cell r="AS61" t="str">
            <v>NA</v>
          </cell>
          <cell r="AT61">
            <v>20500</v>
          </cell>
          <cell r="AU61" t="str">
            <v>NA</v>
          </cell>
          <cell r="AV61" t="str">
            <v>NA</v>
          </cell>
          <cell r="AW61" t="str">
            <v>NA</v>
          </cell>
          <cell r="AX61" t="str">
            <v>NA</v>
          </cell>
          <cell r="AY61">
            <v>15400</v>
          </cell>
          <cell r="AZ61" t="str">
            <v>NA</v>
          </cell>
          <cell r="BA61" t="str">
            <v>NA</v>
          </cell>
          <cell r="BB61" t="str">
            <v>NA</v>
          </cell>
          <cell r="BC61">
            <v>15400</v>
          </cell>
          <cell r="BD61">
            <v>15400</v>
          </cell>
          <cell r="BE61">
            <v>15400</v>
          </cell>
          <cell r="BF61">
            <v>15400</v>
          </cell>
          <cell r="BG61">
            <v>15400</v>
          </cell>
          <cell r="BH61">
            <v>15400</v>
          </cell>
          <cell r="BI61">
            <v>15400</v>
          </cell>
        </row>
        <row r="62">
          <cell r="A62" t="str">
            <v>LTM Sales/Current  Employees</v>
          </cell>
          <cell r="P62" t="str">
            <v>NM</v>
          </cell>
          <cell r="Q62" t="str">
            <v>NM</v>
          </cell>
          <cell r="R62" t="str">
            <v>NM</v>
          </cell>
          <cell r="S62" t="str">
            <v>NM</v>
          </cell>
          <cell r="T62" t="str">
            <v>NM</v>
          </cell>
          <cell r="U62" t="str">
            <v>NM</v>
          </cell>
          <cell r="V62">
            <v>201271.27659574465</v>
          </cell>
          <cell r="W62">
            <v>192888.88888888888</v>
          </cell>
          <cell r="X62">
            <v>188365.38461538462</v>
          </cell>
          <cell r="Y62">
            <v>183706.42201834862</v>
          </cell>
          <cell r="Z62">
            <v>183706.42201834862</v>
          </cell>
          <cell r="AA62">
            <v>188460.13667425967</v>
          </cell>
          <cell r="AB62">
            <v>196180.99547511313</v>
          </cell>
          <cell r="AC62">
            <v>205842.69662921349</v>
          </cell>
          <cell r="AD62">
            <v>212968.75</v>
          </cell>
          <cell r="AE62">
            <v>212968.75</v>
          </cell>
          <cell r="AF62">
            <v>214946.13583138175</v>
          </cell>
          <cell r="AG62">
            <v>211068.96551724139</v>
          </cell>
          <cell r="AH62">
            <v>191002.5974025974</v>
          </cell>
          <cell r="AI62">
            <v>178961.5384615385</v>
          </cell>
          <cell r="AJ62">
            <v>178961.5384615385</v>
          </cell>
          <cell r="AK62">
            <v>178402.14477211796</v>
          </cell>
          <cell r="AL62">
            <v>180083.76963350788</v>
          </cell>
          <cell r="AM62">
            <v>179810.74168797955</v>
          </cell>
          <cell r="AN62">
            <v>182580</v>
          </cell>
          <cell r="AO62">
            <v>182580</v>
          </cell>
          <cell r="AP62" t="str">
            <v>NA</v>
          </cell>
          <cell r="AQ62" t="str">
            <v>NA</v>
          </cell>
          <cell r="AR62" t="str">
            <v>NA</v>
          </cell>
          <cell r="AS62" t="str">
            <v>NA</v>
          </cell>
          <cell r="AT62">
            <v>171551.21951219512</v>
          </cell>
          <cell r="AU62" t="str">
            <v>NA</v>
          </cell>
          <cell r="AV62" t="str">
            <v>NA</v>
          </cell>
          <cell r="AW62" t="str">
            <v>NA</v>
          </cell>
          <cell r="AX62" t="str">
            <v>NA</v>
          </cell>
          <cell r="AY62">
            <v>226233.76623376625</v>
          </cell>
          <cell r="AZ62" t="str">
            <v>NA</v>
          </cell>
          <cell r="BA62" t="str">
            <v>NA</v>
          </cell>
          <cell r="BB62" t="str">
            <v>NA</v>
          </cell>
          <cell r="BC62">
            <v>272767.5324675325</v>
          </cell>
          <cell r="BD62">
            <v>272767.5324675325</v>
          </cell>
          <cell r="BE62">
            <v>287632.72727272729</v>
          </cell>
          <cell r="BF62">
            <v>303246.36363636365</v>
          </cell>
          <cell r="BG62">
            <v>311364.93506493507</v>
          </cell>
          <cell r="BH62">
            <v>318844.28571428568</v>
          </cell>
          <cell r="BI62">
            <v>318844.28571428568</v>
          </cell>
        </row>
        <row r="63">
          <cell r="A63" t="str">
            <v>Y-O-Y  Chg. LTM Sales/Employee</v>
          </cell>
          <cell r="P63" t="str">
            <v>NM</v>
          </cell>
          <cell r="Q63" t="str">
            <v>NM</v>
          </cell>
          <cell r="R63" t="str">
            <v>NM</v>
          </cell>
          <cell r="S63" t="str">
            <v>NM</v>
          </cell>
          <cell r="T63" t="str">
            <v>NM</v>
          </cell>
          <cell r="U63" t="str">
            <v>NM</v>
          </cell>
          <cell r="V63" t="str">
            <v>NM</v>
          </cell>
          <cell r="W63" t="str">
            <v>NM</v>
          </cell>
          <cell r="X63" t="str">
            <v>NM</v>
          </cell>
          <cell r="Y63" t="str">
            <v>NM</v>
          </cell>
          <cell r="Z63" t="str">
            <v>NM</v>
          </cell>
          <cell r="AA63">
            <v>-6.3651108782979859E-2</v>
          </cell>
          <cell r="AB63">
            <v>1.7067372854849161E-2</v>
          </cell>
          <cell r="AC63">
            <v>9.2784096449116893E-2</v>
          </cell>
          <cell r="AD63">
            <v>0.1592885412504994</v>
          </cell>
          <cell r="AE63">
            <v>0.1592885412504994</v>
          </cell>
          <cell r="AF63">
            <v>0.14053900004806485</v>
          </cell>
          <cell r="AG63">
            <v>7.5888951455631126E-2</v>
          </cell>
          <cell r="AH63">
            <v>-7.209436851358253E-2</v>
          </cell>
          <cell r="AI63">
            <v>-0.15968169761273188</v>
          </cell>
          <cell r="AJ63">
            <v>-0.15968169761273188</v>
          </cell>
          <cell r="AK63">
            <v>-0.17001464538041922</v>
          </cell>
          <cell r="AL63">
            <v>-0.14680128747398657</v>
          </cell>
          <cell r="AM63">
            <v>-5.859530638228716E-2</v>
          </cell>
          <cell r="AN63">
            <v>2.0219213410702652E-2</v>
          </cell>
          <cell r="AO63">
            <v>2.0219213410702652E-2</v>
          </cell>
          <cell r="AP63" t="str">
            <v>NA</v>
          </cell>
          <cell r="AQ63" t="str">
            <v>NA</v>
          </cell>
          <cell r="AR63" t="str">
            <v>NA</v>
          </cell>
          <cell r="AS63" t="str">
            <v>NA</v>
          </cell>
          <cell r="AT63">
            <v>-6.0405194916227867E-2</v>
          </cell>
          <cell r="AU63" t="str">
            <v>NA</v>
          </cell>
          <cell r="AV63" t="str">
            <v>NA</v>
          </cell>
          <cell r="AW63" t="str">
            <v>NA</v>
          </cell>
          <cell r="AX63" t="str">
            <v>NA</v>
          </cell>
          <cell r="AY63">
            <v>0.31875347127849407</v>
          </cell>
          <cell r="AZ63" t="str">
            <v>NA</v>
          </cell>
          <cell r="BA63" t="str">
            <v>NA</v>
          </cell>
          <cell r="BB63" t="str">
            <v>NA</v>
          </cell>
          <cell r="BC63" t="e">
            <v>#VALUE!</v>
          </cell>
          <cell r="BD63" t="e">
            <v>#VALUE!</v>
          </cell>
          <cell r="BE63" t="e">
            <v>#VALUE!</v>
          </cell>
          <cell r="BF63" t="e">
            <v>#VALUE!</v>
          </cell>
          <cell r="BG63" t="e">
            <v>#VALUE!</v>
          </cell>
          <cell r="BH63">
            <v>0.16892315896224819</v>
          </cell>
          <cell r="BI63">
            <v>0.16892315896224819</v>
          </cell>
        </row>
        <row r="64">
          <cell r="A64" t="str">
            <v>% Management Ownership</v>
          </cell>
          <cell r="P64" t="str">
            <v>NM</v>
          </cell>
          <cell r="Q64" t="str">
            <v>NM</v>
          </cell>
          <cell r="R64" t="str">
            <v>NM</v>
          </cell>
          <cell r="S64" t="str">
            <v>NM</v>
          </cell>
          <cell r="T64" t="str">
            <v>NM</v>
          </cell>
          <cell r="U64" t="str">
            <v>NM</v>
          </cell>
          <cell r="V64" t="str">
            <v>NM</v>
          </cell>
          <cell r="W64" t="str">
            <v>NM</v>
          </cell>
          <cell r="X64" t="str">
            <v>NM</v>
          </cell>
          <cell r="Y64" t="str">
            <v>NM</v>
          </cell>
          <cell r="Z64">
            <v>2.18E-2</v>
          </cell>
          <cell r="AA64" t="str">
            <v>NM</v>
          </cell>
          <cell r="AB64" t="str">
            <v>NM</v>
          </cell>
          <cell r="AC64" t="str">
            <v>NM</v>
          </cell>
          <cell r="AD64" t="str">
            <v>NM</v>
          </cell>
          <cell r="AE64">
            <v>2.6100000000000002E-2</v>
          </cell>
          <cell r="AF64" t="str">
            <v>NM</v>
          </cell>
          <cell r="AG64" t="str">
            <v>NM</v>
          </cell>
          <cell r="AH64" t="str">
            <v>NM</v>
          </cell>
          <cell r="AI64" t="str">
            <v>NM</v>
          </cell>
          <cell r="AJ64">
            <v>2.1999999999999999E-2</v>
          </cell>
          <cell r="AK64" t="str">
            <v>NM</v>
          </cell>
          <cell r="AL64" t="str">
            <v>NM</v>
          </cell>
          <cell r="AM64" t="str">
            <v>NM</v>
          </cell>
          <cell r="AN64" t="str">
            <v>NM</v>
          </cell>
          <cell r="AO64">
            <v>1.8499999999999999E-2</v>
          </cell>
          <cell r="AP64" t="str">
            <v>NA</v>
          </cell>
          <cell r="AQ64" t="str">
            <v>NA</v>
          </cell>
          <cell r="AR64" t="str">
            <v>NA</v>
          </cell>
          <cell r="AS64" t="str">
            <v>NA</v>
          </cell>
          <cell r="AT64">
            <v>2.3E-2</v>
          </cell>
          <cell r="AU64" t="str">
            <v>NA</v>
          </cell>
          <cell r="AV64" t="str">
            <v>NA</v>
          </cell>
          <cell r="AW64" t="str">
            <v>NA</v>
          </cell>
          <cell r="AX64" t="str">
            <v>NA</v>
          </cell>
          <cell r="AY64">
            <v>2.1600000000000001E-2</v>
          </cell>
          <cell r="AZ64" t="str">
            <v>NA</v>
          </cell>
          <cell r="BA64" t="str">
            <v>NA</v>
          </cell>
          <cell r="BB64" t="str">
            <v>NA</v>
          </cell>
          <cell r="BC64" t="str">
            <v>NM</v>
          </cell>
          <cell r="BE64" t="str">
            <v>NM</v>
          </cell>
          <cell r="BF64" t="str">
            <v>NM</v>
          </cell>
          <cell r="BG64" t="str">
            <v>NM</v>
          </cell>
          <cell r="BH64" t="str">
            <v>NM</v>
          </cell>
        </row>
        <row r="65">
          <cell r="A65" t="str">
            <v>Backlog</v>
          </cell>
          <cell r="P65" t="str">
            <v>NM</v>
          </cell>
          <cell r="Q65" t="str">
            <v>NM</v>
          </cell>
          <cell r="R65" t="str">
            <v>NM</v>
          </cell>
          <cell r="S65" t="str">
            <v>NM</v>
          </cell>
          <cell r="T65" t="str">
            <v>NM</v>
          </cell>
          <cell r="U65" t="str">
            <v>NM</v>
          </cell>
          <cell r="V65" t="str">
            <v>NM</v>
          </cell>
          <cell r="W65" t="str">
            <v>NM</v>
          </cell>
          <cell r="X65" t="str">
            <v>NM</v>
          </cell>
          <cell r="Y65" t="str">
            <v>NM</v>
          </cell>
          <cell r="Z65" t="str">
            <v>NM</v>
          </cell>
          <cell r="AA65" t="str">
            <v>NM</v>
          </cell>
          <cell r="AB65" t="str">
            <v>NM</v>
          </cell>
          <cell r="AC65" t="str">
            <v>NM</v>
          </cell>
          <cell r="AD65" t="str">
            <v>NM</v>
          </cell>
          <cell r="AE65" t="str">
            <v>NM</v>
          </cell>
          <cell r="AF65" t="str">
            <v>NM</v>
          </cell>
          <cell r="AG65" t="str">
            <v>NM</v>
          </cell>
          <cell r="AH65" t="str">
            <v>NM</v>
          </cell>
          <cell r="AI65" t="str">
            <v>NM</v>
          </cell>
          <cell r="AJ65" t="str">
            <v>NM</v>
          </cell>
          <cell r="AK65" t="str">
            <v>NM</v>
          </cell>
          <cell r="AL65" t="str">
            <v>NM</v>
          </cell>
          <cell r="AM65" t="str">
            <v>NM</v>
          </cell>
          <cell r="AN65" t="str">
            <v>NM</v>
          </cell>
          <cell r="AO65" t="str">
            <v>NM</v>
          </cell>
          <cell r="AP65" t="str">
            <v>NA</v>
          </cell>
          <cell r="AQ65" t="str">
            <v>NA</v>
          </cell>
          <cell r="AR65" t="str">
            <v>NA</v>
          </cell>
          <cell r="AS65" t="str">
            <v>NA</v>
          </cell>
          <cell r="AT65" t="str">
            <v>NA</v>
          </cell>
          <cell r="AU65" t="str">
            <v>NA</v>
          </cell>
          <cell r="AV65" t="str">
            <v>NA</v>
          </cell>
          <cell r="AW65" t="str">
            <v>NA</v>
          </cell>
          <cell r="AX65" t="str">
            <v>NA</v>
          </cell>
          <cell r="AY65" t="str">
            <v>NA</v>
          </cell>
          <cell r="AZ65" t="str">
            <v>NA</v>
          </cell>
          <cell r="BA65" t="str">
            <v>NA</v>
          </cell>
          <cell r="BB65" t="str">
            <v>NA</v>
          </cell>
          <cell r="BC65" t="str">
            <v>NM</v>
          </cell>
          <cell r="BD65" t="str">
            <v>NM</v>
          </cell>
          <cell r="BE65" t="str">
            <v>NM</v>
          </cell>
          <cell r="BF65" t="str">
            <v>NM</v>
          </cell>
          <cell r="BG65" t="str">
            <v>NM</v>
          </cell>
          <cell r="BH65" t="str">
            <v>NM</v>
          </cell>
          <cell r="BI65" t="str">
            <v>NM</v>
          </cell>
        </row>
        <row r="66">
          <cell r="A66" t="str">
            <v>Square Feet of Mfg. space</v>
          </cell>
          <cell r="P66" t="str">
            <v>NM</v>
          </cell>
          <cell r="Q66" t="str">
            <v>NM</v>
          </cell>
          <cell r="R66" t="str">
            <v>NM</v>
          </cell>
          <cell r="S66" t="str">
            <v>NM</v>
          </cell>
          <cell r="T66" t="str">
            <v>NM</v>
          </cell>
          <cell r="U66" t="str">
            <v>NM</v>
          </cell>
          <cell r="V66" t="str">
            <v>NM</v>
          </cell>
          <cell r="W66" t="str">
            <v>NM</v>
          </cell>
          <cell r="X66" t="str">
            <v>NM</v>
          </cell>
          <cell r="Y66" t="str">
            <v>NM</v>
          </cell>
          <cell r="Z66">
            <v>15.9</v>
          </cell>
          <cell r="AA66" t="str">
            <v>NM</v>
          </cell>
          <cell r="AB66" t="str">
            <v>NM</v>
          </cell>
          <cell r="AC66" t="str">
            <v>NM</v>
          </cell>
          <cell r="AD66" t="str">
            <v>NM</v>
          </cell>
          <cell r="AE66">
            <v>16</v>
          </cell>
          <cell r="AF66" t="str">
            <v>NM</v>
          </cell>
          <cell r="AG66" t="str">
            <v>NM</v>
          </cell>
          <cell r="AH66" t="str">
            <v>NM</v>
          </cell>
          <cell r="AI66" t="str">
            <v>NM</v>
          </cell>
          <cell r="AJ66">
            <v>17.8</v>
          </cell>
          <cell r="AK66" t="str">
            <v>NM</v>
          </cell>
          <cell r="AL66" t="str">
            <v>NM</v>
          </cell>
          <cell r="AM66" t="str">
            <v>NM</v>
          </cell>
          <cell r="AN66" t="str">
            <v>NM</v>
          </cell>
          <cell r="AO66">
            <v>14</v>
          </cell>
          <cell r="AP66" t="str">
            <v>NA</v>
          </cell>
          <cell r="AQ66" t="str">
            <v>NA</v>
          </cell>
          <cell r="AR66" t="str">
            <v>NA</v>
          </cell>
          <cell r="AS66" t="str">
            <v>NA</v>
          </cell>
          <cell r="AT66">
            <v>14.2</v>
          </cell>
          <cell r="AU66" t="str">
            <v>NA</v>
          </cell>
          <cell r="AV66" t="str">
            <v>NA</v>
          </cell>
          <cell r="AW66" t="str">
            <v>NA</v>
          </cell>
          <cell r="AX66" t="str">
            <v>NA</v>
          </cell>
          <cell r="AY66">
            <v>16.7</v>
          </cell>
          <cell r="AZ66" t="str">
            <v>NA</v>
          </cell>
          <cell r="BA66" t="str">
            <v>NA</v>
          </cell>
          <cell r="BB66" t="str">
            <v>NA</v>
          </cell>
          <cell r="BC66">
            <v>16.7</v>
          </cell>
          <cell r="BD66">
            <v>16.7</v>
          </cell>
          <cell r="BE66">
            <v>16.7</v>
          </cell>
          <cell r="BF66">
            <v>16.7</v>
          </cell>
          <cell r="BG66">
            <v>16.7</v>
          </cell>
          <cell r="BH66">
            <v>16.7</v>
          </cell>
          <cell r="BI66">
            <v>16.7</v>
          </cell>
        </row>
        <row r="67">
          <cell r="A67" t="str">
            <v>LTM Sales/s.f.</v>
          </cell>
          <cell r="P67" t="str">
            <v>NM</v>
          </cell>
          <cell r="Q67" t="str">
            <v>NM</v>
          </cell>
          <cell r="R67" t="str">
            <v>NM</v>
          </cell>
          <cell r="S67" t="str">
            <v>NM</v>
          </cell>
          <cell r="T67" t="str">
            <v>NM</v>
          </cell>
          <cell r="U67" t="str">
            <v>NM</v>
          </cell>
          <cell r="V67" t="str">
            <v>NM</v>
          </cell>
          <cell r="W67" t="str">
            <v>NM</v>
          </cell>
          <cell r="X67" t="str">
            <v>NM</v>
          </cell>
          <cell r="Y67" t="str">
            <v>NM</v>
          </cell>
          <cell r="Z67">
            <v>251.87421383647799</v>
          </cell>
          <cell r="AA67" t="str">
            <v>NM</v>
          </cell>
          <cell r="AB67" t="str">
            <v>NM</v>
          </cell>
          <cell r="AC67" t="str">
            <v>NM</v>
          </cell>
          <cell r="AD67" t="str">
            <v>NM</v>
          </cell>
          <cell r="AE67">
            <v>298.15625</v>
          </cell>
          <cell r="AF67" t="str">
            <v>NM</v>
          </cell>
          <cell r="AG67" t="str">
            <v>NM</v>
          </cell>
          <cell r="AH67" t="str">
            <v>NM</v>
          </cell>
          <cell r="AI67" t="str">
            <v>NM</v>
          </cell>
          <cell r="AJ67">
            <v>182.98314606741573</v>
          </cell>
          <cell r="AK67" t="str">
            <v>NM</v>
          </cell>
          <cell r="AL67" t="str">
            <v>NM</v>
          </cell>
          <cell r="AM67" t="str">
            <v>NM</v>
          </cell>
          <cell r="AN67" t="str">
            <v>NM</v>
          </cell>
          <cell r="AO67">
            <v>260.82857142857142</v>
          </cell>
          <cell r="AP67" t="str">
            <v>NA</v>
          </cell>
          <cell r="AQ67" t="str">
            <v>NA</v>
          </cell>
          <cell r="AR67" t="str">
            <v>NA</v>
          </cell>
          <cell r="AS67" t="str">
            <v>NA</v>
          </cell>
          <cell r="AT67">
            <v>247.66197183098595</v>
          </cell>
          <cell r="AU67" t="str">
            <v>NA</v>
          </cell>
          <cell r="AV67" t="str">
            <v>NA</v>
          </cell>
          <cell r="AW67" t="str">
            <v>NA</v>
          </cell>
          <cell r="AX67" t="str">
            <v>NA</v>
          </cell>
          <cell r="AY67">
            <v>208.62275449101799</v>
          </cell>
          <cell r="AZ67" t="str">
            <v>NA</v>
          </cell>
          <cell r="BA67" t="str">
            <v>NA</v>
          </cell>
          <cell r="BB67" t="str">
            <v>NA</v>
          </cell>
          <cell r="BC67" t="str">
            <v>NM</v>
          </cell>
          <cell r="BD67">
            <v>251.53413173652694</v>
          </cell>
          <cell r="BE67" t="str">
            <v>NM</v>
          </cell>
          <cell r="BF67" t="str">
            <v>NM</v>
          </cell>
          <cell r="BG67" t="str">
            <v>NM</v>
          </cell>
          <cell r="BH67" t="str">
            <v>NM</v>
          </cell>
          <cell r="BI67">
            <v>294.02407185628738</v>
          </cell>
        </row>
        <row r="68">
          <cell r="A68" t="str">
            <v>YOY Chg in LTM Sales/s.f.</v>
          </cell>
          <cell r="P68" t="str">
            <v>NM</v>
          </cell>
          <cell r="Q68" t="str">
            <v>NM</v>
          </cell>
          <cell r="R68" t="str">
            <v>NM</v>
          </cell>
          <cell r="S68" t="str">
            <v>NM</v>
          </cell>
          <cell r="T68" t="str">
            <v>NM</v>
          </cell>
          <cell r="U68" t="str">
            <v>NM</v>
          </cell>
          <cell r="V68" t="str">
            <v>NM</v>
          </cell>
          <cell r="W68" t="str">
            <v>NM</v>
          </cell>
          <cell r="X68" t="str">
            <v>NM</v>
          </cell>
          <cell r="Y68" t="str">
            <v>NM</v>
          </cell>
          <cell r="Z68" t="str">
            <v>NM</v>
          </cell>
          <cell r="AA68" t="str">
            <v>NM</v>
          </cell>
          <cell r="AB68" t="str">
            <v>NM</v>
          </cell>
          <cell r="AC68" t="str">
            <v>NM</v>
          </cell>
          <cell r="AD68" t="str">
            <v>NM</v>
          </cell>
          <cell r="AE68">
            <v>0.18375059303835406</v>
          </cell>
          <cell r="AF68" t="str">
            <v>NM</v>
          </cell>
          <cell r="AG68" t="str">
            <v>NM</v>
          </cell>
          <cell r="AH68" t="str">
            <v>NM</v>
          </cell>
          <cell r="AI68" t="str">
            <v>NM</v>
          </cell>
          <cell r="AJ68">
            <v>-0.38628438589693914</v>
          </cell>
          <cell r="AK68" t="str">
            <v>NM</v>
          </cell>
          <cell r="AL68" t="str">
            <v>NM</v>
          </cell>
          <cell r="AM68" t="str">
            <v>NM</v>
          </cell>
          <cell r="AN68" t="str">
            <v>NM</v>
          </cell>
          <cell r="AO68">
            <v>0.42542401873708857</v>
          </cell>
          <cell r="AP68" t="str">
            <v>NA</v>
          </cell>
          <cell r="AQ68" t="str">
            <v>NA</v>
          </cell>
          <cell r="AR68" t="str">
            <v>NA</v>
          </cell>
          <cell r="AS68" t="str">
            <v>NA</v>
          </cell>
          <cell r="AT68">
            <v>-5.0479897679427288E-2</v>
          </cell>
          <cell r="AU68" t="str">
            <v>NA</v>
          </cell>
          <cell r="AV68" t="str">
            <v>NA</v>
          </cell>
          <cell r="AW68" t="str">
            <v>NA</v>
          </cell>
          <cell r="AX68" t="str">
            <v>NA</v>
          </cell>
          <cell r="AY68">
            <v>-0.15763105272621269</v>
          </cell>
          <cell r="AZ68" t="str">
            <v>NA</v>
          </cell>
          <cell r="BA68" t="str">
            <v>NA</v>
          </cell>
          <cell r="BB68" t="str">
            <v>NA</v>
          </cell>
          <cell r="BC68" t="str">
            <v>NM</v>
          </cell>
          <cell r="BD68">
            <v>0.20568886337543035</v>
          </cell>
          <cell r="BE68" t="str">
            <v>NM</v>
          </cell>
          <cell r="BF68" t="str">
            <v>NM</v>
          </cell>
          <cell r="BG68" t="str">
            <v>NM</v>
          </cell>
          <cell r="BH68" t="str">
            <v>NM</v>
          </cell>
          <cell r="BI68">
            <v>0.16892315896224819</v>
          </cell>
        </row>
        <row r="69">
          <cell r="A69" t="str">
            <v>LTM Sales Per Plant (Millions)</v>
          </cell>
          <cell r="P69" t="str">
            <v>NM</v>
          </cell>
          <cell r="Q69" t="str">
            <v>NM</v>
          </cell>
          <cell r="R69" t="str">
            <v>NM</v>
          </cell>
          <cell r="S69" t="str">
            <v>NM</v>
          </cell>
          <cell r="T69" t="str">
            <v>NM</v>
          </cell>
          <cell r="U69" t="str">
            <v>NM</v>
          </cell>
          <cell r="V69" t="str">
            <v>NM</v>
          </cell>
          <cell r="W69" t="str">
            <v>NM</v>
          </cell>
          <cell r="X69" t="str">
            <v>NM</v>
          </cell>
          <cell r="Y69" t="str">
            <v>NM</v>
          </cell>
          <cell r="Z69" t="str">
            <v>NM</v>
          </cell>
          <cell r="AA69" t="str">
            <v>NM</v>
          </cell>
          <cell r="AB69" t="str">
            <v>NM</v>
          </cell>
          <cell r="AC69" t="str">
            <v>NM</v>
          </cell>
          <cell r="AD69" t="str">
            <v>NM</v>
          </cell>
          <cell r="AE69" t="str">
            <v>NM</v>
          </cell>
          <cell r="AF69" t="str">
            <v>NM</v>
          </cell>
          <cell r="AG69" t="str">
            <v>NM</v>
          </cell>
          <cell r="AH69" t="str">
            <v>NM</v>
          </cell>
          <cell r="AI69" t="str">
            <v>NM</v>
          </cell>
          <cell r="AJ69" t="str">
            <v>NM</v>
          </cell>
          <cell r="AK69" t="str">
            <v>NM</v>
          </cell>
          <cell r="AL69" t="str">
            <v>NM</v>
          </cell>
          <cell r="AM69" t="str">
            <v>NM</v>
          </cell>
          <cell r="AN69" t="str">
            <v>NM</v>
          </cell>
          <cell r="AO69" t="str">
            <v>NM</v>
          </cell>
          <cell r="AP69" t="str">
            <v>NA</v>
          </cell>
          <cell r="AQ69" t="str">
            <v>NA</v>
          </cell>
          <cell r="AR69" t="str">
            <v>NA</v>
          </cell>
          <cell r="AS69" t="str">
            <v>NA</v>
          </cell>
          <cell r="AT69">
            <v>78.151111111111121</v>
          </cell>
          <cell r="AU69" t="str">
            <v>NA</v>
          </cell>
          <cell r="AV69" t="str">
            <v>NA</v>
          </cell>
          <cell r="AW69" t="str">
            <v>NA</v>
          </cell>
          <cell r="AX69" t="str">
            <v>NA</v>
          </cell>
          <cell r="AY69">
            <v>87.1</v>
          </cell>
          <cell r="AZ69" t="str">
            <v>NA</v>
          </cell>
          <cell r="BA69" t="str">
            <v>NA</v>
          </cell>
          <cell r="BB69" t="str">
            <v>NA</v>
          </cell>
          <cell r="BC69" t="str">
            <v>NM</v>
          </cell>
          <cell r="BD69" t="str">
            <v>NM</v>
          </cell>
          <cell r="BE69" t="str">
            <v>NM</v>
          </cell>
          <cell r="BF69" t="str">
            <v>NM</v>
          </cell>
          <cell r="BG69" t="str">
            <v>NM</v>
          </cell>
          <cell r="BH69" t="str">
            <v>NM</v>
          </cell>
          <cell r="BI69" t="str">
            <v>NM</v>
          </cell>
        </row>
        <row r="70">
          <cell r="A70" t="str">
            <v>LTM Revenues</v>
          </cell>
          <cell r="P70" t="str">
            <v>NM</v>
          </cell>
          <cell r="Q70" t="str">
            <v>NM</v>
          </cell>
          <cell r="R70" t="str">
            <v>NM</v>
          </cell>
          <cell r="S70" t="str">
            <v>NM</v>
          </cell>
          <cell r="T70" t="str">
            <v>NM</v>
          </cell>
          <cell r="U70" t="str">
            <v>NM</v>
          </cell>
          <cell r="V70">
            <v>3783.8999999999996</v>
          </cell>
          <cell r="W70">
            <v>3819.2</v>
          </cell>
          <cell r="X70">
            <v>3918</v>
          </cell>
          <cell r="Y70">
            <v>4004.8</v>
          </cell>
          <cell r="Z70">
            <v>4004.8</v>
          </cell>
          <cell r="AA70">
            <v>4136.7</v>
          </cell>
          <cell r="AB70">
            <v>4335.6000000000004</v>
          </cell>
          <cell r="AC70">
            <v>4580</v>
          </cell>
          <cell r="AD70">
            <v>4770.5</v>
          </cell>
          <cell r="AE70">
            <v>4770.5</v>
          </cell>
          <cell r="AF70">
            <v>4589.1000000000004</v>
          </cell>
          <cell r="AG70">
            <v>4284.7</v>
          </cell>
          <cell r="AH70">
            <v>3676.8</v>
          </cell>
          <cell r="AI70">
            <v>3257.1000000000004</v>
          </cell>
          <cell r="AJ70">
            <v>3257.1000000000004</v>
          </cell>
          <cell r="AK70">
            <v>3327.2</v>
          </cell>
          <cell r="AL70">
            <v>3439.6000000000004</v>
          </cell>
          <cell r="AM70">
            <v>3515.3</v>
          </cell>
          <cell r="AN70">
            <v>3651.6</v>
          </cell>
          <cell r="AO70">
            <v>3651.6</v>
          </cell>
          <cell r="AP70">
            <v>3631.1</v>
          </cell>
          <cell r="AQ70">
            <v>3622.9</v>
          </cell>
          <cell r="AR70">
            <v>3604.6</v>
          </cell>
          <cell r="AS70">
            <v>3516.8</v>
          </cell>
          <cell r="AT70">
            <v>3516.8</v>
          </cell>
          <cell r="AU70">
            <v>3494.5</v>
          </cell>
          <cell r="AV70">
            <v>3444.8999999999996</v>
          </cell>
          <cell r="AW70">
            <v>3459.5</v>
          </cell>
          <cell r="AX70">
            <v>3484</v>
          </cell>
          <cell r="AY70">
            <v>3484</v>
          </cell>
          <cell r="AZ70">
            <v>3581.3999999999996</v>
          </cell>
          <cell r="BA70">
            <v>3745.5</v>
          </cell>
          <cell r="BB70">
            <v>3975.6</v>
          </cell>
          <cell r="BC70">
            <v>4200.62</v>
          </cell>
          <cell r="BD70">
            <v>4200.62</v>
          </cell>
          <cell r="BE70">
            <v>4429.5439999999999</v>
          </cell>
          <cell r="BF70">
            <v>4669.9939999999997</v>
          </cell>
          <cell r="BG70">
            <v>4795.0199999999995</v>
          </cell>
          <cell r="BH70">
            <v>4910.2019999999993</v>
          </cell>
          <cell r="BI70">
            <v>4910.2019999999993</v>
          </cell>
        </row>
        <row r="71">
          <cell r="A71" t="str">
            <v>LTM Revenue Growth</v>
          </cell>
          <cell r="P71" t="str">
            <v>NM</v>
          </cell>
          <cell r="Q71" t="str">
            <v>NM</v>
          </cell>
          <cell r="R71" t="str">
            <v>NM</v>
          </cell>
          <cell r="S71" t="str">
            <v>NM</v>
          </cell>
          <cell r="T71" t="str">
            <v>NM</v>
          </cell>
          <cell r="U71" t="str">
            <v>NM</v>
          </cell>
          <cell r="V71" t="str">
            <v>NM</v>
          </cell>
          <cell r="W71" t="str">
            <v>NM</v>
          </cell>
          <cell r="X71" t="str">
            <v>NM</v>
          </cell>
          <cell r="Y71" t="str">
            <v>NM</v>
          </cell>
          <cell r="Z71" t="str">
            <v>NM</v>
          </cell>
          <cell r="AA71">
            <v>9.3237136287956934E-2</v>
          </cell>
          <cell r="AB71">
            <v>0.1352115626309176</v>
          </cell>
          <cell r="AC71">
            <v>0.16896375701888711</v>
          </cell>
          <cell r="AD71">
            <v>0.19119556532161397</v>
          </cell>
          <cell r="AE71">
            <v>0.19119556532161397</v>
          </cell>
          <cell r="AF71">
            <v>0.10936253535426799</v>
          </cell>
          <cell r="AG71">
            <v>-1.1740012916320763E-2</v>
          </cell>
          <cell r="AH71">
            <v>-0.19720524017467245</v>
          </cell>
          <cell r="AI71">
            <v>-0.3172413793103448</v>
          </cell>
          <cell r="AJ71">
            <v>-0.3172413793103448</v>
          </cell>
          <cell r="AK71">
            <v>-0.27497766446579952</v>
          </cell>
          <cell r="AL71">
            <v>-0.19723667934744549</v>
          </cell>
          <cell r="AM71">
            <v>-4.3924064403829455E-2</v>
          </cell>
          <cell r="AN71">
            <v>0.12112001473703593</v>
          </cell>
          <cell r="AO71">
            <v>0.12112001473703593</v>
          </cell>
          <cell r="AP71">
            <v>9.1338062034142853E-2</v>
          </cell>
          <cell r="AQ71">
            <v>5.3291080358181198E-2</v>
          </cell>
          <cell r="AR71">
            <v>2.5403237277046076E-2</v>
          </cell>
          <cell r="AS71">
            <v>-3.6915324789133508E-2</v>
          </cell>
          <cell r="AT71">
            <v>-3.6915324789133508E-2</v>
          </cell>
          <cell r="AU71">
            <v>-3.7619454159896426E-2</v>
          </cell>
          <cell r="AV71">
            <v>-4.9131910900107822E-2</v>
          </cell>
          <cell r="AW71">
            <v>-4.025411973589299E-2</v>
          </cell>
          <cell r="AX71">
            <v>-9.3266606005459884E-3</v>
          </cell>
          <cell r="AY71">
            <v>-9.3266606005459884E-3</v>
          </cell>
          <cell r="AZ71">
            <v>2.486764916297024E-2</v>
          </cell>
          <cell r="BA71">
            <v>8.7259426979012567E-2</v>
          </cell>
          <cell r="BB71">
            <v>0.14918340800693741</v>
          </cell>
          <cell r="BC71">
            <v>0.20568886337543058</v>
          </cell>
          <cell r="BD71">
            <v>0.20568886337543058</v>
          </cell>
          <cell r="BE71">
            <v>0.23681912101412861</v>
          </cell>
          <cell r="BF71">
            <v>0.246827926845548</v>
          </cell>
          <cell r="BG71">
            <v>0.2061122849381225</v>
          </cell>
          <cell r="BH71">
            <v>0.16892315896224819</v>
          </cell>
          <cell r="BI71">
            <v>0.16892315896224819</v>
          </cell>
        </row>
        <row r="72">
          <cell r="A72" t="str">
            <v>LTM Gross Margin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  <cell r="T72" t="str">
            <v>NM</v>
          </cell>
          <cell r="U72" t="str">
            <v>NM</v>
          </cell>
          <cell r="V72">
            <v>0.351198498903248</v>
          </cell>
          <cell r="W72">
            <v>0.35908043569333897</v>
          </cell>
          <cell r="X72">
            <v>0.35487493619193466</v>
          </cell>
          <cell r="Y72">
            <v>0.35152816620055932</v>
          </cell>
          <cell r="Z72">
            <v>0.35152816620055932</v>
          </cell>
          <cell r="AA72">
            <v>0.35044842507312596</v>
          </cell>
          <cell r="AB72">
            <v>0.35079343112833289</v>
          </cell>
          <cell r="AC72">
            <v>0.35729257641921397</v>
          </cell>
          <cell r="AD72">
            <v>0.35836914369562944</v>
          </cell>
          <cell r="AE72">
            <v>0.35836914369562944</v>
          </cell>
          <cell r="AF72">
            <v>0.36270728465276419</v>
          </cell>
          <cell r="AG72">
            <v>0.36359605106541887</v>
          </cell>
          <cell r="AH72">
            <v>0.36942449956483897</v>
          </cell>
          <cell r="AI72">
            <v>0.37594792913941844</v>
          </cell>
          <cell r="AJ72">
            <v>0.37594792913941844</v>
          </cell>
          <cell r="AK72">
            <v>0.37971868237557105</v>
          </cell>
          <cell r="AL72">
            <v>0.37952087452029304</v>
          </cell>
          <cell r="AM72">
            <v>0.3810485591556908</v>
          </cell>
          <cell r="AN72">
            <v>0.38139445722423043</v>
          </cell>
          <cell r="AO72">
            <v>0.38139445722423043</v>
          </cell>
          <cell r="AP72">
            <v>0.38927597697667377</v>
          </cell>
          <cell r="AQ72">
            <v>0.40263324960666874</v>
          </cell>
          <cell r="AR72">
            <v>0.40689674305054663</v>
          </cell>
          <cell r="AS72">
            <v>0.41927320291173792</v>
          </cell>
          <cell r="AT72">
            <v>0.41927320291173792</v>
          </cell>
          <cell r="AU72">
            <v>0.40440692516812127</v>
          </cell>
          <cell r="AV72">
            <v>0.39144822781503097</v>
          </cell>
          <cell r="AW72">
            <v>0.38673218673218668</v>
          </cell>
          <cell r="AX72">
            <v>0.38177382319173364</v>
          </cell>
          <cell r="AY72">
            <v>0.38177382319173364</v>
          </cell>
          <cell r="AZ72">
            <v>0.38920533869436541</v>
          </cell>
          <cell r="BA72">
            <v>0.39158990788946729</v>
          </cell>
          <cell r="BB72">
            <v>0.38992856424187539</v>
          </cell>
          <cell r="BC72">
            <v>0.38615614837809653</v>
          </cell>
          <cell r="BD72">
            <v>0.38615614837809653</v>
          </cell>
          <cell r="BE72">
            <v>0.38600541726191223</v>
          </cell>
          <cell r="BF72">
            <v>0.38610402497305135</v>
          </cell>
          <cell r="BG72">
            <v>0.38690925585294744</v>
          </cell>
          <cell r="BH72">
            <v>0.38756819984188023</v>
          </cell>
          <cell r="BI72">
            <v>0.38756819984188023</v>
          </cell>
        </row>
        <row r="73">
          <cell r="A73" t="str">
            <v>LTM Operating Margin</v>
          </cell>
          <cell r="P73" t="str">
            <v>NM</v>
          </cell>
          <cell r="Q73" t="str">
            <v>NM</v>
          </cell>
          <cell r="R73" t="str">
            <v>NM</v>
          </cell>
          <cell r="S73" t="str">
            <v>NM</v>
          </cell>
          <cell r="T73" t="str">
            <v>NM</v>
          </cell>
          <cell r="U73" t="str">
            <v>NM</v>
          </cell>
          <cell r="V73">
            <v>0.12167340574539497</v>
          </cell>
          <cell r="W73">
            <v>0.12625680770842063</v>
          </cell>
          <cell r="X73">
            <v>0.11978050025523225</v>
          </cell>
          <cell r="Y73">
            <v>0.11503695565321609</v>
          </cell>
          <cell r="Z73">
            <v>0.11503695565321609</v>
          </cell>
          <cell r="AA73">
            <v>0.11724321318925711</v>
          </cell>
          <cell r="AB73">
            <v>0.12208229541470608</v>
          </cell>
          <cell r="AC73">
            <v>0.13471615720524016</v>
          </cell>
          <cell r="AD73">
            <v>0.13855989938161622</v>
          </cell>
          <cell r="AE73">
            <v>0.13855989938161622</v>
          </cell>
          <cell r="AF73">
            <v>0.1448650062103681</v>
          </cell>
          <cell r="AG73">
            <v>0.14621793824538479</v>
          </cell>
          <cell r="AH73">
            <v>0.14708442123585727</v>
          </cell>
          <cell r="AI73">
            <v>0.15123883208989591</v>
          </cell>
          <cell r="AJ73">
            <v>0.15123883208989591</v>
          </cell>
          <cell r="AK73">
            <v>0.15111805722529456</v>
          </cell>
          <cell r="AL73">
            <v>0.15309919758111415</v>
          </cell>
          <cell r="AM73">
            <v>0.15216339999431067</v>
          </cell>
          <cell r="AN73">
            <v>0.15379559645087093</v>
          </cell>
          <cell r="AO73">
            <v>0.15379559645087093</v>
          </cell>
          <cell r="AP73">
            <v>0.16697419514747602</v>
          </cell>
          <cell r="AQ73">
            <v>0.18010433630516995</v>
          </cell>
          <cell r="AR73">
            <v>0.18487488209510072</v>
          </cell>
          <cell r="AS73">
            <v>0.19409690627843493</v>
          </cell>
          <cell r="AT73">
            <v>0.19409690627843493</v>
          </cell>
          <cell r="AU73">
            <v>0.17773644298182856</v>
          </cell>
          <cell r="AV73">
            <v>0.15878545095648636</v>
          </cell>
          <cell r="AW73">
            <v>0.16097701980054915</v>
          </cell>
          <cell r="AX73">
            <v>0.15743398392652114</v>
          </cell>
          <cell r="AY73">
            <v>0.15743398392652114</v>
          </cell>
          <cell r="AZ73">
            <v>0.16080303791813255</v>
          </cell>
          <cell r="BA73">
            <v>0.16668001601922305</v>
          </cell>
          <cell r="BB73">
            <v>0.15957339772612936</v>
          </cell>
          <cell r="BC73">
            <v>0.1572461303331413</v>
          </cell>
          <cell r="BD73">
            <v>0.1572461303331413</v>
          </cell>
          <cell r="BE73">
            <v>0.15876114561679486</v>
          </cell>
          <cell r="BF73">
            <v>0.16199611766096483</v>
          </cell>
          <cell r="BG73">
            <v>0.16642008045326193</v>
          </cell>
          <cell r="BH73">
            <v>0.17021511469726705</v>
          </cell>
          <cell r="BI73">
            <v>0.17021511469726705</v>
          </cell>
        </row>
        <row r="74">
          <cell r="A74" t="str">
            <v>LTM Operating Margin Change</v>
          </cell>
          <cell r="P74" t="str">
            <v>NM</v>
          </cell>
          <cell r="Q74" t="str">
            <v>NM</v>
          </cell>
          <cell r="R74" t="str">
            <v>NM</v>
          </cell>
          <cell r="S74" t="str">
            <v>NM</v>
          </cell>
          <cell r="T74" t="str">
            <v>NM</v>
          </cell>
          <cell r="U74" t="str">
            <v>NM</v>
          </cell>
          <cell r="V74" t="str">
            <v>NM</v>
          </cell>
          <cell r="W74" t="str">
            <v>NM</v>
          </cell>
          <cell r="X74" t="str">
            <v>NM</v>
          </cell>
          <cell r="Y74" t="str">
            <v>NM</v>
          </cell>
          <cell r="Z74" t="str">
            <v>NM</v>
          </cell>
          <cell r="AA74">
            <v>-3.6410524789682985E-2</v>
          </cell>
          <cell r="AB74">
            <v>-3.3063661037234682E-2</v>
          </cell>
          <cell r="AC74">
            <v>0.12469188990012992</v>
          </cell>
          <cell r="AD74">
            <v>0.20448162588126095</v>
          </cell>
          <cell r="AE74">
            <v>0.20448162588126095</v>
          </cell>
          <cell r="AF74">
            <v>0.23559396121738119</v>
          </cell>
          <cell r="AG74">
            <v>0.19769977906043956</v>
          </cell>
          <cell r="AH74">
            <v>9.1809804311550058E-2</v>
          </cell>
          <cell r="AI74">
            <v>9.150506578645734E-2</v>
          </cell>
          <cell r="AJ74">
            <v>9.150506578645734E-2</v>
          </cell>
          <cell r="AK74">
            <v>4.3164675710889E-2</v>
          </cell>
          <cell r="AL74">
            <v>4.7061663010055099E-2</v>
          </cell>
          <cell r="AM74">
            <v>3.4531044931733534E-2</v>
          </cell>
          <cell r="AN74">
            <v>1.6905475436727047E-2</v>
          </cell>
          <cell r="AO74">
            <v>1.6905475436727047E-2</v>
          </cell>
          <cell r="AP74">
            <v>0.10492550138162726</v>
          </cell>
          <cell r="AQ74">
            <v>0.17638981229635831</v>
          </cell>
          <cell r="AR74">
            <v>0.21497601987083059</v>
          </cell>
          <cell r="AS74">
            <v>0.2620446277890538</v>
          </cell>
          <cell r="AT74">
            <v>0.2620446277890538</v>
          </cell>
          <cell r="AU74">
            <v>6.4454557333527118E-2</v>
          </cell>
          <cell r="AV74">
            <v>-0.11836963943256051</v>
          </cell>
          <cell r="AW74">
            <v>-0.12926505766347629</v>
          </cell>
          <cell r="AX74">
            <v>-0.18888978219632346</v>
          </cell>
          <cell r="AY74">
            <v>-0.18888978219632346</v>
          </cell>
          <cell r="AZ74">
            <v>-9.5272555136186932E-2</v>
          </cell>
          <cell r="BA74">
            <v>4.9718440922525975E-2</v>
          </cell>
          <cell r="BB74">
            <v>-8.7193940859315866E-3</v>
          </cell>
          <cell r="BC74">
            <v>-1.1932213661537405E-3</v>
          </cell>
          <cell r="BD74">
            <v>-1.1932213661537405E-3</v>
          </cell>
          <cell r="BE74">
            <v>-1.2698095308232071E-2</v>
          </cell>
          <cell r="BF74">
            <v>-2.8101139357450178E-2</v>
          </cell>
          <cell r="BG74">
            <v>4.2906166220031849E-2</v>
          </cell>
          <cell r="BH74">
            <v>8.2475698045158197E-2</v>
          </cell>
          <cell r="BI74">
            <v>8.2475698045158197E-2</v>
          </cell>
        </row>
        <row r="75">
          <cell r="A75" t="str">
            <v>LTM EBITDA Margin</v>
          </cell>
          <cell r="P75" t="str">
            <v>NM</v>
          </cell>
          <cell r="Q75" t="str">
            <v>NM</v>
          </cell>
          <cell r="R75" t="str">
            <v>NM</v>
          </cell>
          <cell r="S75" t="str">
            <v>NM</v>
          </cell>
          <cell r="T75" t="str">
            <v>NM</v>
          </cell>
          <cell r="U75" t="str">
            <v>NM</v>
          </cell>
          <cell r="V75" t="str">
            <v>NM</v>
          </cell>
          <cell r="W75" t="str">
            <v>NM</v>
          </cell>
          <cell r="X75" t="str">
            <v>NM</v>
          </cell>
          <cell r="Y75" t="str">
            <v>NM</v>
          </cell>
          <cell r="Z75" t="str">
            <v>NM</v>
          </cell>
          <cell r="AA75" t="str">
            <v>NM</v>
          </cell>
          <cell r="AB75" t="str">
            <v>NM</v>
          </cell>
          <cell r="AC75" t="str">
            <v>NM</v>
          </cell>
          <cell r="AD75" t="str">
            <v>NM</v>
          </cell>
          <cell r="AE75" t="str">
            <v>NM</v>
          </cell>
          <cell r="AF75" t="str">
            <v>NM</v>
          </cell>
          <cell r="AG75" t="str">
            <v>NM</v>
          </cell>
          <cell r="AH75" t="str">
            <v>NM</v>
          </cell>
          <cell r="AI75" t="str">
            <v>NM</v>
          </cell>
          <cell r="AJ75" t="str">
            <v>NM</v>
          </cell>
          <cell r="AK75" t="str">
            <v>NM</v>
          </cell>
          <cell r="AL75" t="str">
            <v>NM</v>
          </cell>
          <cell r="AM75" t="str">
            <v>NM</v>
          </cell>
          <cell r="AN75">
            <v>0.23269251834812146</v>
          </cell>
          <cell r="AO75">
            <v>0.23269251834812146</v>
          </cell>
          <cell r="AP75">
            <v>0.24774861612183643</v>
          </cell>
          <cell r="AQ75">
            <v>0.26202765740152922</v>
          </cell>
          <cell r="AR75">
            <v>0.26807412750374526</v>
          </cell>
          <cell r="AS75">
            <v>0.27863398544131024</v>
          </cell>
          <cell r="AT75">
            <v>0.27863398544131024</v>
          </cell>
          <cell r="AU75">
            <v>0.26332808699384741</v>
          </cell>
          <cell r="AV75">
            <v>0.24703184417544771</v>
          </cell>
          <cell r="AW75">
            <v>0.24954473189767298</v>
          </cell>
          <cell r="AX75">
            <v>0.24296785304247981</v>
          </cell>
          <cell r="AY75">
            <v>0.24296785304247981</v>
          </cell>
          <cell r="AZ75">
            <v>0.24839448260456803</v>
          </cell>
          <cell r="BA75">
            <v>0.25491923641703373</v>
          </cell>
          <cell r="BB75">
            <v>0.24756011671194283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</row>
        <row r="76">
          <cell r="A76" t="str">
            <v>LTM EPS</v>
          </cell>
          <cell r="P76" t="str">
            <v>NM</v>
          </cell>
          <cell r="Q76" t="str">
            <v>NM</v>
          </cell>
          <cell r="R76" t="str">
            <v>NM</v>
          </cell>
          <cell r="S76" t="str">
            <v>NM</v>
          </cell>
          <cell r="T76">
            <v>1.8422860617471355</v>
          </cell>
          <cell r="U76">
            <v>1.8422860617471355</v>
          </cell>
          <cell r="V76">
            <v>1.7158989217015397</v>
          </cell>
          <cell r="W76">
            <v>1.7445741490695816</v>
          </cell>
          <cell r="X76">
            <v>0.99512884230245857</v>
          </cell>
          <cell r="Y76">
            <v>0.928421590701343</v>
          </cell>
          <cell r="Z76">
            <v>0.928421590701343</v>
          </cell>
          <cell r="AA76">
            <v>0.89184731247962956</v>
          </cell>
          <cell r="AB76">
            <v>0.84937640526039981</v>
          </cell>
          <cell r="AC76">
            <v>1.5751525344065134</v>
          </cell>
          <cell r="AD76">
            <v>1.5869899838871613</v>
          </cell>
          <cell r="AE76">
            <v>1.5869899838871613</v>
          </cell>
          <cell r="AF76">
            <v>1.6140303054854608</v>
          </cell>
          <cell r="AG76">
            <v>1.5408492802646441</v>
          </cell>
          <cell r="AH76">
            <v>1.4038340264095472</v>
          </cell>
          <cell r="AI76">
            <v>1.2912489070981641</v>
          </cell>
          <cell r="AJ76">
            <v>1.2912489070981641</v>
          </cell>
          <cell r="AK76">
            <v>1.3117480530637802</v>
          </cell>
          <cell r="AL76">
            <v>1.3608519040049845</v>
          </cell>
          <cell r="AM76">
            <v>1.3989113673698581</v>
          </cell>
          <cell r="AN76">
            <v>1.4776943724176888</v>
          </cell>
          <cell r="AO76">
            <v>1.4776943724176888</v>
          </cell>
          <cell r="AP76">
            <v>1.5717334683563846</v>
          </cell>
          <cell r="AQ76">
            <v>1.6905095407634749</v>
          </cell>
          <cell r="AR76">
            <v>1.7277633608749186</v>
          </cell>
          <cell r="AS76">
            <v>1.7216523603593727</v>
          </cell>
          <cell r="AT76">
            <v>1.7216523603593727</v>
          </cell>
          <cell r="AU76">
            <v>1.6273045668451063</v>
          </cell>
          <cell r="AV76">
            <v>1.4989325517428895</v>
          </cell>
          <cell r="AW76">
            <v>1.4975038598625436</v>
          </cell>
          <cell r="AX76">
            <v>1.5118715120565056</v>
          </cell>
          <cell r="AY76">
            <v>1.5118715120565056</v>
          </cell>
          <cell r="AZ76">
            <v>1.6033258926091092</v>
          </cell>
          <cell r="BA76">
            <v>1.7010363696291206</v>
          </cell>
          <cell r="BB76">
            <v>1.7946544570164178</v>
          </cell>
          <cell r="BC76">
            <v>1.862923222825382</v>
          </cell>
          <cell r="BD76">
            <v>1.862923222825382</v>
          </cell>
          <cell r="BE76">
            <v>1.9468009437326916</v>
          </cell>
          <cell r="BF76">
            <v>2.0602810738990871</v>
          </cell>
          <cell r="BG76">
            <v>2.1612256374769476</v>
          </cell>
          <cell r="BH76">
            <v>2.2523677182440207</v>
          </cell>
          <cell r="BI76">
            <v>2.2523677182440207</v>
          </cell>
        </row>
        <row r="77">
          <cell r="A77" t="str">
            <v>LTM EPS Growth</v>
          </cell>
          <cell r="P77" t="str">
            <v>NM</v>
          </cell>
          <cell r="Q77" t="str">
            <v>NM</v>
          </cell>
          <cell r="R77" t="str">
            <v>NM</v>
          </cell>
          <cell r="S77" t="str">
            <v>NM</v>
          </cell>
          <cell r="T77" t="str">
            <v>NM</v>
          </cell>
          <cell r="U77">
            <v>9.3613769816592418E-2</v>
          </cell>
          <cell r="V77" t="str">
            <v>NM</v>
          </cell>
          <cell r="W77" t="str">
            <v>NM</v>
          </cell>
          <cell r="X77" t="str">
            <v>NM</v>
          </cell>
          <cell r="Y77">
            <v>-0.49604916957311584</v>
          </cell>
          <cell r="Z77">
            <v>-0.49604916957311584</v>
          </cell>
          <cell r="AA77">
            <v>-0.48024484356267005</v>
          </cell>
          <cell r="AB77">
            <v>-0.51313252823711153</v>
          </cell>
          <cell r="AC77">
            <v>0.58286290925106443</v>
          </cell>
          <cell r="AD77">
            <v>0.70934196251115433</v>
          </cell>
          <cell r="AE77">
            <v>0.70934196251115433</v>
          </cell>
          <cell r="AF77">
            <v>0.80976079974712767</v>
          </cell>
          <cell r="AG77">
            <v>0.81409475318808044</v>
          </cell>
          <cell r="AH77">
            <v>-0.10876312246262265</v>
          </cell>
          <cell r="AI77">
            <v>-0.18635346145324194</v>
          </cell>
          <cell r="AJ77">
            <v>-0.18635346145324194</v>
          </cell>
          <cell r="AK77">
            <v>-0.18728412434037989</v>
          </cell>
          <cell r="AL77">
            <v>-0.11681699084075547</v>
          </cell>
          <cell r="AM77">
            <v>-3.5065819370965201E-3</v>
          </cell>
          <cell r="AN77">
            <v>0.14439157647654888</v>
          </cell>
          <cell r="AO77">
            <v>0.14439157647654888</v>
          </cell>
          <cell r="AP77">
            <v>0.19819767575440261</v>
          </cell>
          <cell r="AQ77">
            <v>0.24224357976669508</v>
          </cell>
          <cell r="AR77">
            <v>0.23507707577167403</v>
          </cell>
          <cell r="AS77">
            <v>0.16509367058259738</v>
          </cell>
          <cell r="AT77">
            <v>0.16509367058259738</v>
          </cell>
          <cell r="AU77">
            <v>3.5356566242007004E-2</v>
          </cell>
          <cell r="AV77">
            <v>-0.11332499722779688</v>
          </cell>
          <cell r="AW77">
            <v>-0.1332702766053413</v>
          </cell>
          <cell r="AX77">
            <v>-0.12184855266546268</v>
          </cell>
          <cell r="AY77">
            <v>-0.12184855266546268</v>
          </cell>
          <cell r="AZ77">
            <v>-1.4735209821530315E-2</v>
          </cell>
          <cell r="BA77">
            <v>0.13483182925825021</v>
          </cell>
          <cell r="BB77">
            <v>0.19843060516795541</v>
          </cell>
          <cell r="BC77">
            <v>0.23219678919100906</v>
          </cell>
          <cell r="BD77">
            <v>0.23219678919100906</v>
          </cell>
          <cell r="BE77">
            <v>0.2142265977908222</v>
          </cell>
          <cell r="BF77">
            <v>0.21119166567161285</v>
          </cell>
          <cell r="BG77">
            <v>0.20425724797738964</v>
          </cell>
          <cell r="BH77">
            <v>0.20905021240112731</v>
          </cell>
          <cell r="BI77">
            <v>0.20905021240112731</v>
          </cell>
        </row>
        <row r="78">
          <cell r="A78" t="str">
            <v>Forward 2 year Op. Income CAGR</v>
          </cell>
          <cell r="AU78">
            <v>0.30398697001999841</v>
          </cell>
          <cell r="AV78">
            <v>0.34956888197831826</v>
          </cell>
          <cell r="AW78">
            <v>0.13993784259864209</v>
          </cell>
          <cell r="AX78">
            <v>0.19143438564071757</v>
          </cell>
          <cell r="AY78">
            <v>0.23441282260888613</v>
          </cell>
          <cell r="BA78">
            <v>-0.99999988072370694</v>
          </cell>
          <cell r="BB78">
            <v>-0.99999988072370694</v>
          </cell>
        </row>
        <row r="79">
          <cell r="A79" t="str">
            <v>Forward 4Q EPS</v>
          </cell>
          <cell r="AU79">
            <v>1.5118715120565056</v>
          </cell>
          <cell r="AV79">
            <v>1.6033258926091092</v>
          </cell>
          <cell r="AW79">
            <v>1.7010363696291204</v>
          </cell>
          <cell r="AX79">
            <v>1.7946544570164176</v>
          </cell>
          <cell r="AZ79">
            <v>1.862923222825382</v>
          </cell>
          <cell r="BA79">
            <v>1.9468009437326916</v>
          </cell>
          <cell r="BB79">
            <v>2.0602810738990875</v>
          </cell>
          <cell r="BC79">
            <v>2.1612256374769476</v>
          </cell>
        </row>
        <row r="80">
          <cell r="A80" t="str">
            <v>Forward 4Q EPS Growth</v>
          </cell>
          <cell r="AW80">
            <v>0.13483182925825044</v>
          </cell>
          <cell r="AX80">
            <v>0.19843060516795563</v>
          </cell>
          <cell r="AZ80">
            <v>0.23219678919100906</v>
          </cell>
          <cell r="BA80">
            <v>0.2142265977908222</v>
          </cell>
          <cell r="BB80">
            <v>0.21119166567161263</v>
          </cell>
          <cell r="BC80">
            <v>0.20425724797738964</v>
          </cell>
        </row>
        <row r="81">
          <cell r="A81" t="str">
            <v>LTM R&amp;D As A % Of Sales</v>
          </cell>
          <cell r="P81" t="str">
            <v>NM</v>
          </cell>
          <cell r="Q81" t="str">
            <v>NM</v>
          </cell>
          <cell r="R81" t="str">
            <v>NM</v>
          </cell>
          <cell r="S81" t="str">
            <v>NM</v>
          </cell>
          <cell r="T81" t="str">
            <v>NM</v>
          </cell>
          <cell r="U81" t="str">
            <v>NM</v>
          </cell>
          <cell r="V81">
            <v>4.1650149316842411E-2</v>
          </cell>
          <cell r="W81">
            <v>4.2967113531629658E-2</v>
          </cell>
          <cell r="X81">
            <v>4.3670239918325679E-2</v>
          </cell>
          <cell r="Y81">
            <v>4.3223132241310434E-2</v>
          </cell>
          <cell r="Z81">
            <v>4.3223132241310434E-2</v>
          </cell>
          <cell r="AA81">
            <v>4.1965818164237188E-2</v>
          </cell>
          <cell r="AB81">
            <v>4.0340437309714913E-2</v>
          </cell>
          <cell r="AC81">
            <v>3.8646288209606985E-2</v>
          </cell>
          <cell r="AD81">
            <v>3.7082066869300913E-2</v>
          </cell>
          <cell r="AE81">
            <v>3.7082066869300913E-2</v>
          </cell>
          <cell r="AF81">
            <v>3.9789937024688936E-2</v>
          </cell>
          <cell r="AG81">
            <v>4.3106868625574717E-2</v>
          </cell>
          <cell r="AH81">
            <v>4.7187771975630975E-2</v>
          </cell>
          <cell r="AI81">
            <v>5.3943692241564575E-2</v>
          </cell>
          <cell r="AJ81">
            <v>5.3943692241564575E-2</v>
          </cell>
          <cell r="AK81">
            <v>5.3227939408511671E-2</v>
          </cell>
          <cell r="AL81">
            <v>5.1982788696360041E-2</v>
          </cell>
          <cell r="AM81">
            <v>5.2285722413449774E-2</v>
          </cell>
          <cell r="AN81">
            <v>5.23879943038668E-2</v>
          </cell>
          <cell r="AO81">
            <v>5.23879943038668E-2</v>
          </cell>
          <cell r="AP81">
            <v>5.4253531987551985E-2</v>
          </cell>
          <cell r="AQ81">
            <v>5.6722515112202929E-2</v>
          </cell>
          <cell r="AR81">
            <v>6.3502191644010442E-2</v>
          </cell>
          <cell r="AS81">
            <v>7.117265696087352E-2</v>
          </cell>
          <cell r="AT81">
            <v>7.117265696087352E-2</v>
          </cell>
          <cell r="AU81">
            <v>7.6234082129059938E-2</v>
          </cell>
          <cell r="AV81">
            <v>8.3630874626259108E-2</v>
          </cell>
          <cell r="AW81">
            <v>8.3538083538083535E-2</v>
          </cell>
          <cell r="AX81">
            <v>8.4357060849598153E-2</v>
          </cell>
          <cell r="AY81">
            <v>8.4357060849598153E-2</v>
          </cell>
          <cell r="AZ81">
            <v>8.5553135645278389E-2</v>
          </cell>
          <cell r="BA81">
            <v>8.4394606861567203E-2</v>
          </cell>
          <cell r="BB81">
            <v>8.577321662139048E-2</v>
          </cell>
          <cell r="BC81">
            <v>8.5427270260104451E-2</v>
          </cell>
          <cell r="BD81">
            <v>8.5427270260104451E-2</v>
          </cell>
          <cell r="BE81">
            <v>8.5145446122670859E-2</v>
          </cell>
          <cell r="BF81">
            <v>8.4393149113253685E-2</v>
          </cell>
          <cell r="BG81">
            <v>8.3400173513353437E-2</v>
          </cell>
          <cell r="BH81">
            <v>8.264066325580903E-2</v>
          </cell>
          <cell r="BI81">
            <v>8.264066325580903E-2</v>
          </cell>
        </row>
        <row r="83">
          <cell r="A83" t="str">
            <v>Source:  Corning Inc. financial statements; Salomon Smith Barney estimates.</v>
          </cell>
        </row>
        <row r="84">
          <cell r="A84" t="str">
            <v>Table 6C.  Corning Inc.—Quarterly Income Statement  (Percentage Of Revenues)</v>
          </cell>
        </row>
        <row r="86">
          <cell r="P86" t="str">
            <v xml:space="preserve">   Year</v>
          </cell>
          <cell r="R86" t="str">
            <v>1992</v>
          </cell>
          <cell r="U86" t="str">
            <v xml:space="preserve">   Year</v>
          </cell>
          <cell r="W86" t="str">
            <v xml:space="preserve">1993 </v>
          </cell>
          <cell r="Z86" t="str">
            <v xml:space="preserve">   Year</v>
          </cell>
          <cell r="AB86" t="str">
            <v>1994</v>
          </cell>
          <cell r="AE86" t="str">
            <v xml:space="preserve">   Year</v>
          </cell>
          <cell r="AG86" t="str">
            <v xml:space="preserve"> 1995</v>
          </cell>
          <cell r="AJ86" t="str">
            <v xml:space="preserve">   Year</v>
          </cell>
          <cell r="AL86" t="str">
            <v xml:space="preserve"> 1996</v>
          </cell>
          <cell r="AO86" t="str">
            <v xml:space="preserve">   Year</v>
          </cell>
          <cell r="AQ86" t="str">
            <v>1997</v>
          </cell>
          <cell r="AT86" t="str">
            <v xml:space="preserve">   Year</v>
          </cell>
          <cell r="AV86">
            <v>1998</v>
          </cell>
          <cell r="AY86" t="str">
            <v xml:space="preserve">   Year</v>
          </cell>
          <cell r="BA86" t="str">
            <v>Estimated 1999</v>
          </cell>
          <cell r="BD86" t="str">
            <v xml:space="preserve">   Year</v>
          </cell>
          <cell r="BF86" t="str">
            <v>Estimated 2000</v>
          </cell>
          <cell r="BI86" t="str">
            <v xml:space="preserve">   Year</v>
          </cell>
        </row>
        <row r="87">
          <cell r="P87" t="str">
            <v xml:space="preserve">   1991</v>
          </cell>
          <cell r="Q87" t="str">
            <v>1Q</v>
          </cell>
          <cell r="R87" t="str">
            <v>2Q</v>
          </cell>
          <cell r="S87" t="str">
            <v>3Q</v>
          </cell>
          <cell r="T87" t="str">
            <v>4Q</v>
          </cell>
          <cell r="U87" t="str">
            <v xml:space="preserve">   1992</v>
          </cell>
          <cell r="V87" t="str">
            <v>1Q</v>
          </cell>
          <cell r="W87" t="str">
            <v>2Q</v>
          </cell>
          <cell r="X87" t="str">
            <v>3Q</v>
          </cell>
          <cell r="Y87" t="str">
            <v>4Q</v>
          </cell>
          <cell r="Z87" t="str">
            <v xml:space="preserve">   1993</v>
          </cell>
          <cell r="AA87" t="str">
            <v>1Q</v>
          </cell>
          <cell r="AB87" t="str">
            <v>2Q</v>
          </cell>
          <cell r="AC87" t="str">
            <v>3Q</v>
          </cell>
          <cell r="AD87" t="str">
            <v>4Q</v>
          </cell>
          <cell r="AE87" t="str">
            <v xml:space="preserve">   1994</v>
          </cell>
          <cell r="AF87" t="str">
            <v>1QA</v>
          </cell>
          <cell r="AG87" t="str">
            <v>2QA</v>
          </cell>
          <cell r="AH87" t="str">
            <v>3QA</v>
          </cell>
          <cell r="AI87" t="str">
            <v>4Q</v>
          </cell>
          <cell r="AJ87" t="str">
            <v xml:space="preserve">   1995</v>
          </cell>
          <cell r="AK87" t="str">
            <v>1Q</v>
          </cell>
          <cell r="AL87" t="str">
            <v>2Q</v>
          </cell>
          <cell r="AM87" t="str">
            <v>3Q</v>
          </cell>
          <cell r="AN87" t="str">
            <v>4Q</v>
          </cell>
          <cell r="AO87" t="str">
            <v xml:space="preserve">   1996</v>
          </cell>
          <cell r="AP87" t="str">
            <v>1Q</v>
          </cell>
          <cell r="AQ87" t="str">
            <v>2Q</v>
          </cell>
          <cell r="AR87" t="str">
            <v>3Q</v>
          </cell>
          <cell r="AS87" t="str">
            <v>4Q</v>
          </cell>
          <cell r="AT87" t="str">
            <v xml:space="preserve">   1997</v>
          </cell>
          <cell r="AU87" t="str">
            <v>1Q</v>
          </cell>
          <cell r="AV87" t="str">
            <v>2Q</v>
          </cell>
          <cell r="AW87" t="str">
            <v>3Q</v>
          </cell>
          <cell r="AX87" t="str">
            <v>4Q</v>
          </cell>
          <cell r="AY87">
            <v>1998</v>
          </cell>
          <cell r="AZ87" t="str">
            <v>1QA</v>
          </cell>
          <cell r="BA87" t="str">
            <v>2QA</v>
          </cell>
          <cell r="BB87" t="str">
            <v>3QA</v>
          </cell>
          <cell r="BC87" t="str">
            <v>4Q</v>
          </cell>
          <cell r="BD87" t="str">
            <v xml:space="preserve">   1999E</v>
          </cell>
          <cell r="BE87" t="str">
            <v>1Q</v>
          </cell>
          <cell r="BF87" t="str">
            <v>2Q</v>
          </cell>
          <cell r="BG87" t="str">
            <v>3Q</v>
          </cell>
          <cell r="BH87" t="str">
            <v>4Q</v>
          </cell>
          <cell r="BI87" t="str">
            <v>2000E</v>
          </cell>
        </row>
        <row r="89">
          <cell r="A89" t="str">
            <v>Net Sales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1</v>
          </cell>
          <cell r="AY89">
            <v>1</v>
          </cell>
          <cell r="AZ89">
            <v>1</v>
          </cell>
          <cell r="BA89">
            <v>1</v>
          </cell>
          <cell r="BB89">
            <v>1</v>
          </cell>
          <cell r="BC89">
            <v>1</v>
          </cell>
          <cell r="BD89">
            <v>1</v>
          </cell>
          <cell r="BE89">
            <v>1</v>
          </cell>
          <cell r="BF89">
            <v>1</v>
          </cell>
          <cell r="BG89">
            <v>1</v>
          </cell>
          <cell r="BH89">
            <v>1</v>
          </cell>
          <cell r="BI89">
            <v>1</v>
          </cell>
        </row>
        <row r="91">
          <cell r="A91" t="str">
            <v>Cost Of Goods Sold</v>
          </cell>
          <cell r="P91">
            <v>0.65092660775650468</v>
          </cell>
          <cell r="Q91">
            <v>0.65839849015907259</v>
          </cell>
          <cell r="R91">
            <v>0.66047045324153764</v>
          </cell>
          <cell r="S91">
            <v>0.64519650655021832</v>
          </cell>
          <cell r="T91">
            <v>0.64053402931138326</v>
          </cell>
          <cell r="U91">
            <v>0.65017391538814151</v>
          </cell>
          <cell r="V91">
            <v>0.65128518971848226</v>
          </cell>
          <cell r="W91">
            <v>0.62681958535509485</v>
          </cell>
          <cell r="X91">
            <v>0.65859766277128551</v>
          </cell>
          <cell r="Y91">
            <v>0.65327793167128345</v>
          </cell>
          <cell r="Z91">
            <v>0.64847183379944062</v>
          </cell>
          <cell r="AA91">
            <v>0.65560122246812103</v>
          </cell>
          <cell r="AB91">
            <v>0.6295559374152121</v>
          </cell>
          <cell r="AC91">
            <v>0.63636993899057126</v>
          </cell>
          <cell r="AD91">
            <v>0.64766391833529635</v>
          </cell>
          <cell r="AE91">
            <v>0.64163085630437056</v>
          </cell>
          <cell r="AF91">
            <v>0.63296416938110756</v>
          </cell>
          <cell r="AG91">
            <v>0.62186447023586677</v>
          </cell>
          <cell r="AH91">
            <v>0.61066506890353511</v>
          </cell>
          <cell r="AI91">
            <v>0.63117826188802995</v>
          </cell>
          <cell r="AJ91">
            <v>0.62405207086058145</v>
          </cell>
          <cell r="AK91">
            <v>0.61723973256924547</v>
          </cell>
          <cell r="AL91">
            <v>0.62241435919886179</v>
          </cell>
          <cell r="AM91">
            <v>0.60558119094704466</v>
          </cell>
          <cell r="AN91">
            <v>0.62821937178062826</v>
          </cell>
          <cell r="AO91">
            <v>0.61860554277576951</v>
          </cell>
          <cell r="AP91">
            <v>0.58218088361277687</v>
          </cell>
          <cell r="AQ91">
            <v>0.56907785753727214</v>
          </cell>
          <cell r="AR91">
            <v>0.58851889225249465</v>
          </cell>
          <cell r="AS91">
            <v>0.58339798293250578</v>
          </cell>
          <cell r="AT91">
            <v>0.58072679708826203</v>
          </cell>
          <cell r="AU91">
            <v>0.64758429793658789</v>
          </cell>
          <cell r="AV91">
            <v>0.61969856291622849</v>
          </cell>
          <cell r="AW91">
            <v>0.60683949255377834</v>
          </cell>
          <cell r="AX91">
            <v>0.60282693137678045</v>
          </cell>
          <cell r="AY91">
            <v>0.6182261768082663</v>
          </cell>
          <cell r="AZ91">
            <v>0.61454830755435996</v>
          </cell>
          <cell r="BA91">
            <v>0.60950980392156873</v>
          </cell>
          <cell r="BB91">
            <v>0.6129685025514694</v>
          </cell>
          <cell r="BC91">
            <v>0.61799999999999999</v>
          </cell>
          <cell r="BD91">
            <v>0.61384385162190347</v>
          </cell>
          <cell r="BE91">
            <v>0.61499999999999999</v>
          </cell>
          <cell r="BF91">
            <v>0.61</v>
          </cell>
          <cell r="BG91">
            <v>0.61</v>
          </cell>
          <cell r="BH91">
            <v>0.61499999999999999</v>
          </cell>
          <cell r="BI91">
            <v>0.61243180015811982</v>
          </cell>
        </row>
        <row r="93">
          <cell r="A93" t="str">
            <v>Gross Income</v>
          </cell>
          <cell r="P93">
            <v>0.34907339224349537</v>
          </cell>
          <cell r="Q93">
            <v>0.34160150984092746</v>
          </cell>
          <cell r="R93">
            <v>0.33952954675846242</v>
          </cell>
          <cell r="S93">
            <v>0.35480349344978163</v>
          </cell>
          <cell r="T93">
            <v>0.35946597068861674</v>
          </cell>
          <cell r="U93">
            <v>0.34982608461185855</v>
          </cell>
          <cell r="V93">
            <v>0.34871481028151774</v>
          </cell>
          <cell r="W93">
            <v>0.37318041464490515</v>
          </cell>
          <cell r="X93">
            <v>0.34140233722871455</v>
          </cell>
          <cell r="Y93">
            <v>0.34672206832871655</v>
          </cell>
          <cell r="Z93">
            <v>0.35152816620055938</v>
          </cell>
          <cell r="AA93">
            <v>0.34439877753187897</v>
          </cell>
          <cell r="AB93">
            <v>0.3704440625847879</v>
          </cell>
          <cell r="AC93">
            <v>0.3636300610094288</v>
          </cell>
          <cell r="AD93">
            <v>0.35233608166470359</v>
          </cell>
          <cell r="AE93">
            <v>0.35836914369562944</v>
          </cell>
          <cell r="AF93">
            <v>0.3670358306188925</v>
          </cell>
          <cell r="AG93">
            <v>0.37813552976413323</v>
          </cell>
          <cell r="AH93">
            <v>0.38933493109646494</v>
          </cell>
          <cell r="AI93">
            <v>0.36882173811197</v>
          </cell>
          <cell r="AJ93">
            <v>0.3759479291394186</v>
          </cell>
          <cell r="AK93">
            <v>0.38276026743075453</v>
          </cell>
          <cell r="AL93">
            <v>0.37758564080113821</v>
          </cell>
          <cell r="AM93">
            <v>0.3944188090529554</v>
          </cell>
          <cell r="AN93">
            <v>0.3717806282193718</v>
          </cell>
          <cell r="AO93">
            <v>0.38139445722423043</v>
          </cell>
          <cell r="AP93">
            <v>0.41781911638722313</v>
          </cell>
          <cell r="AQ93">
            <v>0.43092214246272781</v>
          </cell>
          <cell r="AR93">
            <v>0.41148110774750535</v>
          </cell>
          <cell r="AS93">
            <v>0.41660201706749417</v>
          </cell>
          <cell r="AT93">
            <v>0.41927320291173792</v>
          </cell>
          <cell r="AU93">
            <v>0.35241570206341211</v>
          </cell>
          <cell r="AV93">
            <v>0.38030143708377145</v>
          </cell>
          <cell r="AW93">
            <v>0.39316050744622172</v>
          </cell>
          <cell r="AX93">
            <v>0.39717306862321961</v>
          </cell>
          <cell r="AY93">
            <v>0.38177382319173375</v>
          </cell>
          <cell r="AZ93">
            <v>0.38545169244564009</v>
          </cell>
          <cell r="BA93">
            <v>0.39049019607843133</v>
          </cell>
          <cell r="BB93">
            <v>0.3870314974485306</v>
          </cell>
          <cell r="BC93">
            <v>0.38200000000000001</v>
          </cell>
          <cell r="BD93">
            <v>0.38615614837809648</v>
          </cell>
          <cell r="BE93">
            <v>0.38500000000000001</v>
          </cell>
          <cell r="BF93">
            <v>0.39</v>
          </cell>
          <cell r="BG93">
            <v>0.39</v>
          </cell>
          <cell r="BH93">
            <v>0.38499999999999995</v>
          </cell>
          <cell r="BI93">
            <v>0.38756819984188018</v>
          </cell>
        </row>
        <row r="95">
          <cell r="A95" t="str">
            <v xml:space="preserve">Selling, General &amp;  Admin. </v>
          </cell>
          <cell r="P95">
            <v>0.1909977908689249</v>
          </cell>
          <cell r="Q95">
            <v>0.20207603127527637</v>
          </cell>
          <cell r="R95">
            <v>0.18646012621916236</v>
          </cell>
          <cell r="S95">
            <v>0.17703784570596798</v>
          </cell>
          <cell r="T95">
            <v>0.18590644448905841</v>
          </cell>
          <cell r="U95">
            <v>0.18664221964569794</v>
          </cell>
          <cell r="V95">
            <v>0.20636474908200733</v>
          </cell>
          <cell r="W95">
            <v>0.19486104984561092</v>
          </cell>
          <cell r="X95">
            <v>0.18322203672787979</v>
          </cell>
          <cell r="Y95">
            <v>0.19316712834718375</v>
          </cell>
          <cell r="Z95">
            <v>0.19326807830603276</v>
          </cell>
          <cell r="AA95">
            <v>0.19570028453999366</v>
          </cell>
          <cell r="AB95">
            <v>0.18296102016821922</v>
          </cell>
          <cell r="AC95">
            <v>0.16999445368829727</v>
          </cell>
          <cell r="AD95">
            <v>0.1872791519434629</v>
          </cell>
          <cell r="AE95">
            <v>0.18272717744471231</v>
          </cell>
          <cell r="AF95">
            <v>0.17081433224755699</v>
          </cell>
          <cell r="AG95">
            <v>0.16460751279171348</v>
          </cell>
          <cell r="AH95">
            <v>0.170760934691432</v>
          </cell>
          <cell r="AI95">
            <v>0.17650503630826891</v>
          </cell>
          <cell r="AJ95">
            <v>0.17076540480795799</v>
          </cell>
          <cell r="AK95">
            <v>0.18911174785100288</v>
          </cell>
          <cell r="AL95">
            <v>0.16241654810112729</v>
          </cell>
          <cell r="AM95">
            <v>0.17941111843550869</v>
          </cell>
          <cell r="AN95">
            <v>0.17139682860317138</v>
          </cell>
          <cell r="AO95">
            <v>0.17521086646949283</v>
          </cell>
          <cell r="AP95">
            <v>0.15763064496389673</v>
          </cell>
          <cell r="AQ95">
            <v>0.15339591385974599</v>
          </cell>
          <cell r="AR95">
            <v>0.15024105841462049</v>
          </cell>
          <cell r="AS95">
            <v>0.15504821012966863</v>
          </cell>
          <cell r="AT95">
            <v>0.15400363967242947</v>
          </cell>
          <cell r="AU95">
            <v>0.14204831404126825</v>
          </cell>
          <cell r="AV95">
            <v>0.14791447599018576</v>
          </cell>
          <cell r="AW95">
            <v>0.12421400992829564</v>
          </cell>
          <cell r="AX95">
            <v>0.14630988347000431</v>
          </cell>
          <cell r="AY95">
            <v>0.13998277841561424</v>
          </cell>
          <cell r="AZ95">
            <v>0.15332885003362476</v>
          </cell>
          <cell r="BA95">
            <v>0.13852941176470587</v>
          </cell>
          <cell r="BB95">
            <v>0.14173851838817528</v>
          </cell>
          <cell r="BC95">
            <v>0.14196358806063447</v>
          </cell>
          <cell r="BD95">
            <v>0.14348274778485082</v>
          </cell>
          <cell r="BE95">
            <v>0.14585050360174251</v>
          </cell>
          <cell r="BF95">
            <v>0.130377311674402</v>
          </cell>
          <cell r="BG95">
            <v>0.13155834084348292</v>
          </cell>
          <cell r="BH95">
            <v>0.13231012860141497</v>
          </cell>
          <cell r="BI95">
            <v>0.13471242188880417</v>
          </cell>
        </row>
        <row r="96">
          <cell r="A96" t="str">
            <v>Research &amp; Development</v>
          </cell>
          <cell r="P96">
            <v>4.0101865488463423E-2</v>
          </cell>
          <cell r="Q96">
            <v>4.2059854408196283E-2</v>
          </cell>
          <cell r="R96">
            <v>3.8209982788296036E-2</v>
          </cell>
          <cell r="S96">
            <v>4.0393013100436678E-2</v>
          </cell>
          <cell r="T96">
            <v>4.2360971692431242E-2</v>
          </cell>
          <cell r="U96">
            <v>4.0742038989403297E-2</v>
          </cell>
          <cell r="V96">
            <v>4.6144430844553247E-2</v>
          </cell>
          <cell r="W96">
            <v>4.3890604322893691E-2</v>
          </cell>
          <cell r="X96">
            <v>4.2904841402337225E-2</v>
          </cell>
          <cell r="Y96">
            <v>4.0812557710064638E-2</v>
          </cell>
          <cell r="Z96">
            <v>4.3223132241310414E-2</v>
          </cell>
          <cell r="AA96">
            <v>4.0257139846137636E-2</v>
          </cell>
          <cell r="AB96">
            <v>3.7171022881432578E-2</v>
          </cell>
          <cell r="AC96">
            <v>3.7090959511924565E-2</v>
          </cell>
          <cell r="AD96">
            <v>3.4628975265017667E-2</v>
          </cell>
          <cell r="AE96">
            <v>3.7082066869300906E-2</v>
          </cell>
          <cell r="AF96">
            <v>5.7198697068403907E-2</v>
          </cell>
          <cell r="AG96">
            <v>5.3912392362411091E-2</v>
          </cell>
          <cell r="AH96">
            <v>5.0689035350509282E-2</v>
          </cell>
          <cell r="AI96">
            <v>5.4228156476926678E-2</v>
          </cell>
          <cell r="AJ96">
            <v>5.3943692241564582E-2</v>
          </cell>
          <cell r="AK96">
            <v>5.4083094555873922E-2</v>
          </cell>
          <cell r="AL96">
            <v>4.9140855860785815E-2</v>
          </cell>
          <cell r="AM96">
            <v>5.1966600747088545E-2</v>
          </cell>
          <cell r="AN96">
            <v>5.4337945662054334E-2</v>
          </cell>
          <cell r="AO96">
            <v>5.23879943038668E-2</v>
          </cell>
          <cell r="AP96">
            <v>6.2415860971729284E-2</v>
          </cell>
          <cell r="AQ96">
            <v>5.8972943125345109E-2</v>
          </cell>
          <cell r="AR96">
            <v>7.9268976342639311E-2</v>
          </cell>
          <cell r="AS96">
            <v>8.3342568990357982E-2</v>
          </cell>
          <cell r="AT96">
            <v>7.117265696087352E-2</v>
          </cell>
          <cell r="AU96">
            <v>8.4423754403623555E-2</v>
          </cell>
          <cell r="AV96">
            <v>8.7743895314873227E-2</v>
          </cell>
          <cell r="AW96">
            <v>7.8985107556536122E-2</v>
          </cell>
          <cell r="AX96">
            <v>8.6426413465688384E-2</v>
          </cell>
          <cell r="AY96">
            <v>8.4357060849598153E-2</v>
          </cell>
          <cell r="AZ96">
            <v>8.9217664200851809E-2</v>
          </cell>
          <cell r="BA96">
            <v>8.3137254901960778E-2</v>
          </cell>
          <cell r="BB96">
            <v>8.4902340313214864E-2</v>
          </cell>
          <cell r="BC96">
            <v>8.5037158583806491E-2</v>
          </cell>
          <cell r="BD96">
            <v>8.5427270260104451E-2</v>
          </cell>
          <cell r="BE96">
            <v>8.7330215034197814E-2</v>
          </cell>
          <cell r="BF96">
            <v>8.0733071522075456E-2</v>
          </cell>
          <cell r="BG96">
            <v>8.1077910569376355E-2</v>
          </cell>
          <cell r="BH96">
            <v>8.1944898271668079E-2</v>
          </cell>
          <cell r="BI96">
            <v>8.264066325580903E-2</v>
          </cell>
        </row>
        <row r="98">
          <cell r="A98" t="str">
            <v>Operating Income</v>
          </cell>
          <cell r="P98">
            <v>0.11797373588610703</v>
          </cell>
          <cell r="Q98">
            <v>9.7465624157454786E-2</v>
          </cell>
          <cell r="R98">
            <v>0.11485943775100405</v>
          </cell>
          <cell r="S98">
            <v>0.13737263464337698</v>
          </cell>
          <cell r="T98">
            <v>0.13119855450712711</v>
          </cell>
          <cell r="U98">
            <v>0.12244182597675733</v>
          </cell>
          <cell r="V98">
            <v>9.620563035495705E-2</v>
          </cell>
          <cell r="W98">
            <v>0.13442876047640065</v>
          </cell>
          <cell r="X98">
            <v>0.11527545909849742</v>
          </cell>
          <cell r="Y98">
            <v>0.11274238227146806</v>
          </cell>
          <cell r="Z98">
            <v>0.1150369556532162</v>
          </cell>
          <cell r="AA98">
            <v>0.10844135314574768</v>
          </cell>
          <cell r="AB98">
            <v>0.15031201953513604</v>
          </cell>
          <cell r="AC98">
            <v>0.15654464780920699</v>
          </cell>
          <cell r="AD98">
            <v>0.13042795445622313</v>
          </cell>
          <cell r="AE98">
            <v>0.13855989938161636</v>
          </cell>
          <cell r="AF98">
            <v>0.13902280130293165</v>
          </cell>
          <cell r="AG98">
            <v>0.15961562461000858</v>
          </cell>
          <cell r="AH98">
            <v>0.16788496105452369</v>
          </cell>
          <cell r="AI98">
            <v>0.13808854532677453</v>
          </cell>
          <cell r="AJ98">
            <v>0.15123883208989602</v>
          </cell>
          <cell r="AK98">
            <v>0.13956542502387784</v>
          </cell>
          <cell r="AL98">
            <v>0.16602823683922516</v>
          </cell>
          <cell r="AM98">
            <v>0.16304108987035826</v>
          </cell>
          <cell r="AN98">
            <v>0.14604585395414607</v>
          </cell>
          <cell r="AO98">
            <v>0.15379559645087082</v>
          </cell>
          <cell r="AP98">
            <v>0.19777261045159714</v>
          </cell>
          <cell r="AQ98">
            <v>0.21855328547763678</v>
          </cell>
          <cell r="AR98">
            <v>0.18197107299024551</v>
          </cell>
          <cell r="AS98">
            <v>0.17821123794746754</v>
          </cell>
          <cell r="AT98">
            <v>0.1940969062784349</v>
          </cell>
          <cell r="AU98">
            <v>0.12594363361852026</v>
          </cell>
          <cell r="AV98">
            <v>0.14464306577871242</v>
          </cell>
          <cell r="AW98">
            <v>0.18996138996138989</v>
          </cell>
          <cell r="AX98">
            <v>0.16443677168752682</v>
          </cell>
          <cell r="AY98">
            <v>0.15743398392652136</v>
          </cell>
          <cell r="AZ98">
            <v>0.14290517821116352</v>
          </cell>
          <cell r="BA98">
            <v>0.16882352941176476</v>
          </cell>
          <cell r="BB98">
            <v>0.16039063874714046</v>
          </cell>
          <cell r="BC98">
            <v>0.15499925335555906</v>
          </cell>
          <cell r="BD98">
            <v>0.15724613033314125</v>
          </cell>
          <cell r="BE98">
            <v>0.15181928136405967</v>
          </cell>
          <cell r="BF98">
            <v>0.1788896168035225</v>
          </cell>
          <cell r="BG98">
            <v>0.17736374858714071</v>
          </cell>
          <cell r="BH98">
            <v>0.17074497312691689</v>
          </cell>
          <cell r="BI98">
            <v>0.17021511469726697</v>
          </cell>
        </row>
        <row r="100">
          <cell r="A100" t="str">
            <v>Royalty, Interest &amp; Dividend Inc.</v>
          </cell>
          <cell r="P100">
            <v>8.4683357879234179E-3</v>
          </cell>
          <cell r="Q100">
            <v>1.5368023726071718E-2</v>
          </cell>
          <cell r="R100">
            <v>9.1795754446356848E-3</v>
          </cell>
          <cell r="S100">
            <v>8.1877729257641921E-3</v>
          </cell>
          <cell r="T100">
            <v>6.9263200160610315E-3</v>
          </cell>
          <cell r="U100">
            <v>9.5181600021570899E-3</v>
          </cell>
          <cell r="V100">
            <v>7.8335373317013467E-3</v>
          </cell>
          <cell r="W100">
            <v>6.6166740185266875E-3</v>
          </cell>
          <cell r="X100">
            <v>7.8464106844741231E-3</v>
          </cell>
          <cell r="Y100">
            <v>7.479224376731302E-3</v>
          </cell>
          <cell r="Z100">
            <v>7.4660407510986808E-3</v>
          </cell>
          <cell r="AA100">
            <v>8.1146590789335019E-3</v>
          </cell>
          <cell r="AB100">
            <v>3.1654155738446233E-3</v>
          </cell>
          <cell r="AC100">
            <v>7.1408763172490291E-3</v>
          </cell>
          <cell r="AD100">
            <v>5.6537102473498231E-3</v>
          </cell>
          <cell r="AE100">
            <v>6.0161408657373443E-3</v>
          </cell>
          <cell r="AF100">
            <v>8.7296416938110744E-3</v>
          </cell>
          <cell r="AG100">
            <v>1.0982153999750407E-2</v>
          </cell>
          <cell r="AH100">
            <v>8.0287597363690837E-3</v>
          </cell>
          <cell r="AI100">
            <v>9.8383696416022501E-3</v>
          </cell>
          <cell r="AJ100">
            <v>9.3948604586902452E-3</v>
          </cell>
          <cell r="AK100">
            <v>9.5510983763132766E-3</v>
          </cell>
          <cell r="AL100">
            <v>7.6611579292984568E-3</v>
          </cell>
          <cell r="AM100">
            <v>9.8879367172050089E-3</v>
          </cell>
          <cell r="AN100">
            <v>8.9889910110089889E-3</v>
          </cell>
          <cell r="AO100">
            <v>9.0097491510570706E-3</v>
          </cell>
          <cell r="AP100">
            <v>1.2116020070982744E-2</v>
          </cell>
          <cell r="AQ100">
            <v>1.0049696300386527E-2</v>
          </cell>
          <cell r="AR100">
            <v>1.0539298127592781E-2</v>
          </cell>
          <cell r="AS100">
            <v>1.0085337470907681E-2</v>
          </cell>
          <cell r="AT100">
            <v>1.0663102820746131E-2</v>
          </cell>
          <cell r="AU100">
            <v>1.1449421238047307E-2</v>
          </cell>
          <cell r="AV100">
            <v>1.4020329477742727E-2</v>
          </cell>
          <cell r="AW100">
            <v>1.3017098731384447E-2</v>
          </cell>
          <cell r="AX100">
            <v>1.6724212343547692E-2</v>
          </cell>
          <cell r="AY100">
            <v>1.389207807118255E-2</v>
          </cell>
          <cell r="AZ100">
            <v>1.109616677874916E-2</v>
          </cell>
          <cell r="BA100">
            <v>1.0980392156862744E-2</v>
          </cell>
          <cell r="BB100">
            <v>7.4784444835474225E-3</v>
          </cell>
          <cell r="BC100">
            <v>7.379625288673578E-3</v>
          </cell>
          <cell r="BD100">
            <v>9.0700896534321122E-3</v>
          </cell>
          <cell r="BE100">
            <v>7.9607608079034966E-3</v>
          </cell>
          <cell r="BF100">
            <v>7.0808044745924092E-3</v>
          </cell>
          <cell r="BG100">
            <v>7.0742042411935085E-3</v>
          </cell>
          <cell r="BH100">
            <v>7.0441877755520518E-3</v>
          </cell>
          <cell r="BI100">
            <v>7.2705766483741417E-3</v>
          </cell>
        </row>
        <row r="101">
          <cell r="A101" t="str">
            <v>Interest Expense</v>
          </cell>
          <cell r="P101">
            <v>1.7826460481099659E-2</v>
          </cell>
          <cell r="Q101">
            <v>1.8873011593421408E-2</v>
          </cell>
          <cell r="R101">
            <v>1.6179001721170396E-2</v>
          </cell>
          <cell r="S101">
            <v>1.6193595342066956E-2</v>
          </cell>
          <cell r="T101">
            <v>1.676370206785786E-2</v>
          </cell>
          <cell r="U101">
            <v>1.6879229918839486E-2</v>
          </cell>
          <cell r="V101">
            <v>2.0195838433292534E-2</v>
          </cell>
          <cell r="W101">
            <v>2.0511689457432734E-2</v>
          </cell>
          <cell r="X101">
            <v>2.4040066777963272E-2</v>
          </cell>
          <cell r="Y101">
            <v>2.2437673130193906E-2</v>
          </cell>
          <cell r="Z101">
            <v>2.2023571713943268E-2</v>
          </cell>
          <cell r="AA101">
            <v>2.7189377173569399E-2</v>
          </cell>
          <cell r="AB101">
            <v>2.342407524645021E-2</v>
          </cell>
          <cell r="AC101">
            <v>2.3502495840266219E-2</v>
          </cell>
          <cell r="AD101">
            <v>1.9473890851982725E-2</v>
          </cell>
          <cell r="AE101">
            <v>2.3142228277958282E-2</v>
          </cell>
          <cell r="AF101">
            <v>2.1107491856677523E-2</v>
          </cell>
          <cell r="AG101">
            <v>2.2463496817671284E-2</v>
          </cell>
          <cell r="AH101">
            <v>2.0730976632714202E-2</v>
          </cell>
          <cell r="AI101">
            <v>2.0847973764347626E-2</v>
          </cell>
          <cell r="AJ101">
            <v>2.1276595744680847E-2</v>
          </cell>
          <cell r="AK101">
            <v>2.1131805157593123E-2</v>
          </cell>
          <cell r="AL101">
            <v>2.002845572945168E-2</v>
          </cell>
          <cell r="AM101">
            <v>1.955614150736102E-2</v>
          </cell>
          <cell r="AN101">
            <v>1.5452984547015453E-2</v>
          </cell>
          <cell r="AO101">
            <v>1.8923211742797676E-2</v>
          </cell>
          <cell r="AP101">
            <v>2.5945416717660017E-2</v>
          </cell>
          <cell r="AQ101">
            <v>2.1535063500828271E-2</v>
          </cell>
          <cell r="AR101">
            <v>1.8163471241170535E-2</v>
          </cell>
          <cell r="AS101">
            <v>1.6735010528649008E-2</v>
          </cell>
          <cell r="AT101">
            <v>2.0473157415832575E-2</v>
          </cell>
          <cell r="AU101">
            <v>2.2143935581278314E-2</v>
          </cell>
          <cell r="AV101">
            <v>1.740857576819722E-2</v>
          </cell>
          <cell r="AW101">
            <v>1.2465526751241037E-2</v>
          </cell>
          <cell r="AX101">
            <v>1.3918860595597757E-2</v>
          </cell>
          <cell r="AY101">
            <v>1.6274397244546497E-2</v>
          </cell>
          <cell r="AZ101">
            <v>1.826944631248599E-2</v>
          </cell>
          <cell r="BA101">
            <v>1.6862745098039214E-2</v>
          </cell>
          <cell r="BB101">
            <v>1.9883864156255503E-2</v>
          </cell>
          <cell r="BC101">
            <v>2.020975499644042E-2</v>
          </cell>
          <cell r="BD101">
            <v>1.8896734291604572E-2</v>
          </cell>
          <cell r="BE101">
            <v>2.2839400458825255E-2</v>
          </cell>
          <cell r="BF101">
            <v>2.031480820341942E-2</v>
          </cell>
          <cell r="BG101">
            <v>2.0295872152286024E-2</v>
          </cell>
          <cell r="BH101">
            <v>2.020975499644042E-2</v>
          </cell>
          <cell r="BI101">
            <v>2.0859264038424495E-2</v>
          </cell>
        </row>
        <row r="102">
          <cell r="A102" t="str">
            <v>Net Other Expense (Income)</v>
          </cell>
          <cell r="P102">
            <v>1.0646784486990675E-2</v>
          </cell>
          <cell r="Q102">
            <v>1.3885144243731466E-2</v>
          </cell>
          <cell r="R102">
            <v>2.983362019506598E-3</v>
          </cell>
          <cell r="S102">
            <v>3.457059679767103E-3</v>
          </cell>
          <cell r="T102">
            <v>1.7265609315398514E-2</v>
          </cell>
          <cell r="U102">
            <v>9.1406692371990197E-3</v>
          </cell>
          <cell r="V102">
            <v>3.7943696450428396E-3</v>
          </cell>
          <cell r="W102">
            <v>9.263343625937363E-3</v>
          </cell>
          <cell r="X102">
            <v>8.2637729549248744E-3</v>
          </cell>
          <cell r="Y102">
            <v>1.5235457063711912E-2</v>
          </cell>
          <cell r="Z102">
            <v>9.4636436276468224E-3</v>
          </cell>
          <cell r="AA102">
            <v>6.1123406049109494E-3</v>
          </cell>
          <cell r="AB102">
            <v>2.713213349009677E-3</v>
          </cell>
          <cell r="AC102">
            <v>1.9065446478092069E-2</v>
          </cell>
          <cell r="AD102">
            <v>9.4228504122497055E-4</v>
          </cell>
          <cell r="AE102">
            <v>7.860811235719526E-3</v>
          </cell>
          <cell r="AF102">
            <v>1.1335504885993485E-2</v>
          </cell>
          <cell r="AG102">
            <v>1.8719580681392737E-3</v>
          </cell>
          <cell r="AH102">
            <v>5.8717795086878372E-3</v>
          </cell>
          <cell r="AI102">
            <v>7.2616537830873743E-3</v>
          </cell>
          <cell r="AJ102">
            <v>6.5395597310490923E-3</v>
          </cell>
          <cell r="AK102">
            <v>8.4765998089780317E-3</v>
          </cell>
          <cell r="AL102">
            <v>4.4872496443033811E-3</v>
          </cell>
          <cell r="AM102">
            <v>9.3386068995825085E-3</v>
          </cell>
          <cell r="AN102">
            <v>1.8583981416018584E-2</v>
          </cell>
          <cell r="AO102">
            <v>1.0433782451528095E-2</v>
          </cell>
          <cell r="AP102">
            <v>8.3221147962305713E-3</v>
          </cell>
          <cell r="AQ102">
            <v>-1.9878520154610712E-3</v>
          </cell>
          <cell r="AR102">
            <v>6.0544904137235121E-3</v>
          </cell>
          <cell r="AS102">
            <v>9.4203701651335483E-3</v>
          </cell>
          <cell r="AT102">
            <v>5.3742038216560506E-3</v>
          </cell>
          <cell r="AU102">
            <v>3.4096628082536488E-2</v>
          </cell>
          <cell r="AV102">
            <v>3.0377380535109243E-3</v>
          </cell>
          <cell r="AW102">
            <v>1.1803640375068945E-2</v>
          </cell>
          <cell r="AX102">
            <v>1.6508416055243853E-2</v>
          </cell>
          <cell r="AY102">
            <v>1.5987370838117108E-2</v>
          </cell>
          <cell r="AZ102">
            <v>1.109616677874916E-2</v>
          </cell>
          <cell r="BA102">
            <v>1.0490196078431371E-2</v>
          </cell>
          <cell r="BB102">
            <v>1.0469822276966393E-2</v>
          </cell>
          <cell r="BC102">
            <v>1.0331475404143009E-2</v>
          </cell>
          <cell r="BD102">
            <v>1.0569868257542935E-2</v>
          </cell>
          <cell r="BE102">
            <v>1.0154987316300426E-2</v>
          </cell>
          <cell r="BF102">
            <v>9.7623864492839864E-3</v>
          </cell>
          <cell r="BG102">
            <v>1.0847113169830044E-2</v>
          </cell>
          <cell r="BH102">
            <v>1.0801087922513145E-2</v>
          </cell>
          <cell r="BI102">
            <v>1.0398757525657805E-2</v>
          </cell>
        </row>
        <row r="104">
          <cell r="A104" t="str">
            <v>Pretax Income</v>
          </cell>
          <cell r="P104">
            <v>9.7968826705940121E-2</v>
          </cell>
          <cell r="Q104">
            <v>8.0075492046373639E-2</v>
          </cell>
          <cell r="R104">
            <v>0.10487664945496275</v>
          </cell>
          <cell r="S104">
            <v>0.1259097525473071</v>
          </cell>
          <cell r="T104">
            <v>0.10409556313993178</v>
          </cell>
          <cell r="U104">
            <v>0.10594008682287591</v>
          </cell>
          <cell r="V104">
            <v>8.0048959608323034E-2</v>
          </cell>
          <cell r="W104">
            <v>0.11127040141155722</v>
          </cell>
          <cell r="X104">
            <v>9.0818030050083404E-2</v>
          </cell>
          <cell r="Y104">
            <v>8.2548476454293543E-2</v>
          </cell>
          <cell r="Z104">
            <v>9.1015781062724802E-2</v>
          </cell>
          <cell r="AA104">
            <v>8.3254294446200847E-2</v>
          </cell>
          <cell r="AB104">
            <v>0.12734014651352077</v>
          </cell>
          <cell r="AC104">
            <v>0.12111758180809774</v>
          </cell>
          <cell r="AD104">
            <v>0.11566548881036523</v>
          </cell>
          <cell r="AE104">
            <v>0.11357300073367592</v>
          </cell>
          <cell r="AF104">
            <v>0.11530944625407172</v>
          </cell>
          <cell r="AG104">
            <v>0.14626232372394843</v>
          </cell>
          <cell r="AH104">
            <v>0.1493109646494907</v>
          </cell>
          <cell r="AI104">
            <v>0.11981728742094179</v>
          </cell>
          <cell r="AJ104">
            <v>0.13281753707285632</v>
          </cell>
          <cell r="AK104">
            <v>0.11950811843361997</v>
          </cell>
          <cell r="AL104">
            <v>0.14917368939476855</v>
          </cell>
          <cell r="AM104">
            <v>0.14403427818061973</v>
          </cell>
          <cell r="AN104">
            <v>0.120997879002121</v>
          </cell>
          <cell r="AO104">
            <v>0.13344835140760211</v>
          </cell>
          <cell r="AP104">
            <v>0.1756210990086893</v>
          </cell>
          <cell r="AQ104">
            <v>0.2090557702926561</v>
          </cell>
          <cell r="AR104">
            <v>0.16829240946294424</v>
          </cell>
          <cell r="AS104">
            <v>0.16214119472459265</v>
          </cell>
          <cell r="AT104">
            <v>0.17891264786169242</v>
          </cell>
          <cell r="AU104">
            <v>8.1152491192752793E-2</v>
          </cell>
          <cell r="AV104">
            <v>0.13821708143474701</v>
          </cell>
          <cell r="AW104">
            <v>0.17870932156646435</v>
          </cell>
          <cell r="AX104">
            <v>0.1507337073802329</v>
          </cell>
          <cell r="AY104">
            <v>0.1390642939150403</v>
          </cell>
          <cell r="AZ104">
            <v>0.12463573189867755</v>
          </cell>
          <cell r="BA104">
            <v>0.15245098039215693</v>
          </cell>
          <cell r="BB104">
            <v>0.13751539679746599</v>
          </cell>
          <cell r="BC104">
            <v>0.13183764824364921</v>
          </cell>
          <cell r="BD104">
            <v>0.13684961743742585</v>
          </cell>
          <cell r="BE104">
            <v>0.1267856543968375</v>
          </cell>
          <cell r="BF104">
            <v>0.1558932266254115</v>
          </cell>
          <cell r="BG104">
            <v>0.15329496750621815</v>
          </cell>
          <cell r="BH104">
            <v>0.14677831798351537</v>
          </cell>
          <cell r="BI104">
            <v>0.14622766978155879</v>
          </cell>
        </row>
        <row r="105">
          <cell r="A105" t="str">
            <v>Provision For Income Taxes</v>
          </cell>
          <cell r="P105">
            <v>3.6051791850760927E-2</v>
          </cell>
          <cell r="Q105">
            <v>2.6017794553788085E-2</v>
          </cell>
          <cell r="R105">
            <v>3.8324727481353987E-2</v>
          </cell>
          <cell r="S105">
            <v>4.3668122270742356E-2</v>
          </cell>
          <cell r="T105">
            <v>2.9512146155390485E-2</v>
          </cell>
          <cell r="U105">
            <v>3.5079677515032229E-2</v>
          </cell>
          <cell r="V105">
            <v>2.7490085679314567E-2</v>
          </cell>
          <cell r="W105">
            <v>3.8266431407146015E-2</v>
          </cell>
          <cell r="X105">
            <v>2.838063439065109E-2</v>
          </cell>
          <cell r="Y105">
            <v>2.47460757156048E-2</v>
          </cell>
          <cell r="Z105">
            <v>2.9454504594486619E-2</v>
          </cell>
          <cell r="AA105">
            <v>3.1194014121614502E-2</v>
          </cell>
          <cell r="AB105">
            <v>4.8295197612372248E-2</v>
          </cell>
          <cell r="AC105">
            <v>4.2270036051026118E-2</v>
          </cell>
          <cell r="AD105">
            <v>4.1617589320769532E-2</v>
          </cell>
          <cell r="AE105">
            <v>4.1289235929147905E-2</v>
          </cell>
          <cell r="AF105">
            <v>3.7524429967426713E-2</v>
          </cell>
          <cell r="AG105">
            <v>4.5176588044427812E-2</v>
          </cell>
          <cell r="AH105">
            <v>4.2780107849011387E-2</v>
          </cell>
          <cell r="AI105">
            <v>3.267744202389318E-2</v>
          </cell>
          <cell r="AJ105">
            <v>3.9482975653188424E-2</v>
          </cell>
          <cell r="AK105">
            <v>3.9995224450811842E-2</v>
          </cell>
          <cell r="AL105">
            <v>5.0016416766991353E-2</v>
          </cell>
          <cell r="AM105">
            <v>4.8231157987255545E-2</v>
          </cell>
          <cell r="AN105">
            <v>4.0500959499040499E-2</v>
          </cell>
          <cell r="AO105">
            <v>4.4692737430167599E-2</v>
          </cell>
          <cell r="AP105">
            <v>5.9968180149308527E-2</v>
          </cell>
          <cell r="AQ105">
            <v>7.0900055218111546E-2</v>
          </cell>
          <cell r="AR105">
            <v>5.3817692566431215E-2</v>
          </cell>
          <cell r="AS105">
            <v>5.3529868114817684E-2</v>
          </cell>
          <cell r="AT105">
            <v>5.9571201091901727E-2</v>
          </cell>
          <cell r="AU105">
            <v>2.6374559637644658E-2</v>
          </cell>
          <cell r="AV105">
            <v>4.4920551466292771E-2</v>
          </cell>
          <cell r="AW105">
            <v>5.4274682846111422E-2</v>
          </cell>
          <cell r="AX105">
            <v>4.2356171773845451E-2</v>
          </cell>
          <cell r="AY105">
            <v>4.2441360505166455E-2</v>
          </cell>
          <cell r="AZ105">
            <v>3.8013898229096649E-2</v>
          </cell>
          <cell r="BA105">
            <v>4.6470588235294118E-2</v>
          </cell>
          <cell r="BB105">
            <v>4.0154495864860071E-2</v>
          </cell>
          <cell r="BC105">
            <v>3.9551294473094759E-2</v>
          </cell>
          <cell r="BD105">
            <v>4.1068121372559281E-2</v>
          </cell>
          <cell r="BE105">
            <v>3.8669624591035436E-2</v>
          </cell>
          <cell r="BF105">
            <v>4.7547434120750506E-2</v>
          </cell>
          <cell r="BG105">
            <v>4.6754965089396534E-2</v>
          </cell>
          <cell r="BH105">
            <v>4.4767386984972186E-2</v>
          </cell>
          <cell r="BI105">
            <v>4.4599439283375453E-2</v>
          </cell>
        </row>
        <row r="106">
          <cell r="A106" t="str">
            <v>Tax Rate</v>
          </cell>
          <cell r="P106">
            <v>0.36799248355778263</v>
          </cell>
          <cell r="Q106">
            <v>0.3249158249158251</v>
          </cell>
          <cell r="R106">
            <v>0.36542669584245063</v>
          </cell>
          <cell r="S106">
            <v>0.34682080924855496</v>
          </cell>
          <cell r="T106">
            <v>0.28351012536161996</v>
          </cell>
          <cell r="U106">
            <v>0.33112751336217883</v>
          </cell>
          <cell r="V106">
            <v>0.34341590214067325</v>
          </cell>
          <cell r="W106">
            <v>0.34390485629335948</v>
          </cell>
          <cell r="X106">
            <v>0.31250000000000033</v>
          </cell>
          <cell r="Y106">
            <v>0.29977628635346787</v>
          </cell>
          <cell r="Z106">
            <v>0.32361975308641955</v>
          </cell>
          <cell r="AA106">
            <v>0.37468354430379758</v>
          </cell>
          <cell r="AB106">
            <v>0.37926136363636381</v>
          </cell>
          <cell r="AC106">
            <v>0.34900000000000003</v>
          </cell>
          <cell r="AD106">
            <v>0.35980991174473831</v>
          </cell>
          <cell r="AE106">
            <v>0.36354798818752254</v>
          </cell>
          <cell r="AF106">
            <v>0.32542372881355919</v>
          </cell>
          <cell r="AG106">
            <v>0.30887372013651915</v>
          </cell>
          <cell r="AH106">
            <v>0.2865168539325843</v>
          </cell>
          <cell r="AI106">
            <v>0.27272727272727243</v>
          </cell>
          <cell r="AJ106">
            <v>0.29727230698104462</v>
          </cell>
          <cell r="AK106">
            <v>0.33466533466533432</v>
          </cell>
          <cell r="AL106">
            <v>0.33528980190755681</v>
          </cell>
          <cell r="AM106">
            <v>0.33485888634630034</v>
          </cell>
          <cell r="AN106">
            <v>0.3347245409015025</v>
          </cell>
          <cell r="AO106">
            <v>0.33490662836035306</v>
          </cell>
          <cell r="AP106">
            <v>0.34146341463414626</v>
          </cell>
          <cell r="AQ106">
            <v>0.33914421553090318</v>
          </cell>
          <cell r="AR106">
            <v>0.31978680879413729</v>
          </cell>
          <cell r="AS106">
            <v>0.33014354066985652</v>
          </cell>
          <cell r="AT106">
            <v>0.33296249205340117</v>
          </cell>
          <cell r="AU106">
            <v>0.32500000000000001</v>
          </cell>
          <cell r="AV106">
            <v>0.32500000000000001</v>
          </cell>
          <cell r="AW106">
            <v>0.30370370370370381</v>
          </cell>
          <cell r="AX106">
            <v>0.28100000000000003</v>
          </cell>
          <cell r="AY106">
            <v>0.3051923632610935</v>
          </cell>
          <cell r="AZ106">
            <v>0.30499999999999999</v>
          </cell>
          <cell r="BA106">
            <v>0.30482315112540181</v>
          </cell>
          <cell r="BB106">
            <v>0.29199999999999998</v>
          </cell>
          <cell r="BC106">
            <v>0.3</v>
          </cell>
          <cell r="BD106">
            <v>0.30009672033856855</v>
          </cell>
          <cell r="BE106">
            <v>0.30499999999999999</v>
          </cell>
          <cell r="BF106">
            <v>0.30499999999999999</v>
          </cell>
          <cell r="BG106">
            <v>0.30499999999999999</v>
          </cell>
          <cell r="BH106">
            <v>0.30499999999999999</v>
          </cell>
          <cell r="BI106">
            <v>0.3050000000000001</v>
          </cell>
        </row>
        <row r="108">
          <cell r="A108" t="str">
            <v>Income After Taxes</v>
          </cell>
          <cell r="P108">
            <v>6.1917034855179194E-2</v>
          </cell>
          <cell r="Q108">
            <v>5.4057697492585557E-2</v>
          </cell>
          <cell r="R108">
            <v>6.6551921973608763E-2</v>
          </cell>
          <cell r="S108">
            <v>8.2241630276564753E-2</v>
          </cell>
          <cell r="T108">
            <v>7.4583416984541295E-2</v>
          </cell>
          <cell r="U108">
            <v>7.086040930784368E-2</v>
          </cell>
          <cell r="V108">
            <v>5.2558873929008466E-2</v>
          </cell>
          <cell r="W108">
            <v>7.3003970004411223E-2</v>
          </cell>
          <cell r="X108">
            <v>6.24373956594323E-2</v>
          </cell>
          <cell r="Y108">
            <v>5.7802400738688746E-2</v>
          </cell>
          <cell r="Z108">
            <v>6.1561276468238176E-2</v>
          </cell>
          <cell r="AA108">
            <v>5.2060280324586351E-2</v>
          </cell>
          <cell r="AB108">
            <v>7.9044948901148521E-2</v>
          </cell>
          <cell r="AC108">
            <v>7.8847545757071633E-2</v>
          </cell>
          <cell r="AD108">
            <v>7.4047899489595698E-2</v>
          </cell>
          <cell r="AE108">
            <v>7.2283764804528014E-2</v>
          </cell>
          <cell r="AF108">
            <v>7.7785016286645012E-2</v>
          </cell>
          <cell r="AG108">
            <v>0.10108573567952063</v>
          </cell>
          <cell r="AH108">
            <v>0.10653085680047931</v>
          </cell>
          <cell r="AI108">
            <v>8.7139845397048596E-2</v>
          </cell>
          <cell r="AJ108">
            <v>9.3334561419667894E-2</v>
          </cell>
          <cell r="AK108">
            <v>7.9512893982808128E-2</v>
          </cell>
          <cell r="AL108">
            <v>9.915727262777721E-2</v>
          </cell>
          <cell r="AM108">
            <v>9.5803120193364177E-2</v>
          </cell>
          <cell r="AN108">
            <v>8.0496919503080508E-2</v>
          </cell>
          <cell r="AO108">
            <v>8.8755613977434505E-2</v>
          </cell>
          <cell r="AP108">
            <v>0.11565291885938077</v>
          </cell>
          <cell r="AQ108">
            <v>0.13815571507454455</v>
          </cell>
          <cell r="AR108">
            <v>0.11447471689651302</v>
          </cell>
          <cell r="AS108">
            <v>0.10861132660977497</v>
          </cell>
          <cell r="AT108">
            <v>0.11934144676979069</v>
          </cell>
          <cell r="AU108">
            <v>5.4777931555108128E-2</v>
          </cell>
          <cell r="AV108">
            <v>9.3296529968454223E-2</v>
          </cell>
          <cell r="AW108">
            <v>0.12443463872035294</v>
          </cell>
          <cell r="AX108">
            <v>0.10837753560638745</v>
          </cell>
          <cell r="AY108">
            <v>9.6622933409873851E-2</v>
          </cell>
          <cell r="AZ108">
            <v>8.66218336695809E-2</v>
          </cell>
          <cell r="BA108">
            <v>0.10598039215686279</v>
          </cell>
          <cell r="BB108">
            <v>9.7360900932605937E-2</v>
          </cell>
          <cell r="BC108">
            <v>9.2286353770554455E-2</v>
          </cell>
          <cell r="BD108">
            <v>9.5781496064866564E-2</v>
          </cell>
          <cell r="BE108">
            <v>8.8116029805802062E-2</v>
          </cell>
          <cell r="BF108">
            <v>0.108345792504661</v>
          </cell>
          <cell r="BG108">
            <v>0.10654000241682161</v>
          </cell>
          <cell r="BH108">
            <v>0.10201093099854319</v>
          </cell>
          <cell r="BI108">
            <v>0.10162823049818334</v>
          </cell>
        </row>
        <row r="109">
          <cell r="A109" t="str">
            <v>Equity In Earnings Of Assoc. Cos.</v>
          </cell>
          <cell r="P109">
            <v>3.6788168875797743E-2</v>
          </cell>
          <cell r="Q109">
            <v>1.9547047721757888E-2</v>
          </cell>
          <cell r="R109">
            <v>2.9948364888123927E-2</v>
          </cell>
          <cell r="S109">
            <v>2.5226528384279474E-2</v>
          </cell>
          <cell r="T109">
            <v>1.8871712507528608E-2</v>
          </cell>
          <cell r="U109">
            <v>2.3493137757165581E-2</v>
          </cell>
          <cell r="V109">
            <v>8.8127294981640153E-3</v>
          </cell>
          <cell r="W109">
            <v>3.0216144684605206E-2</v>
          </cell>
          <cell r="X109">
            <v>2.6126878130217027E-2</v>
          </cell>
          <cell r="Y109">
            <v>2.4653739612188356E-2</v>
          </cell>
          <cell r="Z109">
            <v>2.312225329604474E-2</v>
          </cell>
          <cell r="AA109">
            <v>4.4261776794182733E-3</v>
          </cell>
          <cell r="AB109">
            <v>1.0310210726236771E-2</v>
          </cell>
          <cell r="AC109">
            <v>1.3172490293954522E-2</v>
          </cell>
          <cell r="AD109">
            <v>1.3270514330585004E-2</v>
          </cell>
          <cell r="AE109">
            <v>1.0795514097054816E-2</v>
          </cell>
          <cell r="AF109">
            <v>1.8762214983713357E-2</v>
          </cell>
          <cell r="AG109">
            <v>2.5708224135779362E-2</v>
          </cell>
          <cell r="AH109">
            <v>2.037147992810066E-2</v>
          </cell>
          <cell r="AI109">
            <v>1.7217146872803936E-2</v>
          </cell>
          <cell r="AJ109">
            <v>2.0478339627275795E-2</v>
          </cell>
          <cell r="AK109">
            <v>1.3849092645654249E-2</v>
          </cell>
          <cell r="AL109">
            <v>2.4625150487030754E-2</v>
          </cell>
          <cell r="AM109">
            <v>2.6807295099978024E-2</v>
          </cell>
          <cell r="AN109">
            <v>2.6865973134026867E-2</v>
          </cell>
          <cell r="AO109">
            <v>2.3304852667323912E-2</v>
          </cell>
          <cell r="AP109">
            <v>8.3221147962305713E-3</v>
          </cell>
          <cell r="AQ109">
            <v>2.6725565985643289E-2</v>
          </cell>
          <cell r="AR109">
            <v>3.4757259782486824E-2</v>
          </cell>
          <cell r="AS109">
            <v>1.9062396098858472E-2</v>
          </cell>
          <cell r="AT109">
            <v>2.2520473157415833E-2</v>
          </cell>
          <cell r="AU109">
            <v>3.4599899345747358E-2</v>
          </cell>
          <cell r="AV109">
            <v>3.8205397826848939E-2</v>
          </cell>
          <cell r="AW109">
            <v>1.6878102592388308E-2</v>
          </cell>
          <cell r="AX109">
            <v>2.1363832542080279E-2</v>
          </cell>
          <cell r="AY109">
            <v>2.735361653272101E-2</v>
          </cell>
          <cell r="AZ109">
            <v>2.4209818426361801E-2</v>
          </cell>
          <cell r="BA109">
            <v>3.0490196078431373E-2</v>
          </cell>
          <cell r="BB109">
            <v>2.8330107337673768E-2</v>
          </cell>
          <cell r="BC109">
            <v>2.4309353892101197E-2</v>
          </cell>
          <cell r="BD109">
            <v>2.6876984826049489E-2</v>
          </cell>
          <cell r="BE109">
            <v>2.1193017007931331E-2</v>
          </cell>
          <cell r="BF109">
            <v>2.7141100400650566E-2</v>
          </cell>
          <cell r="BG109">
            <v>2.8074881145442477E-2</v>
          </cell>
          <cell r="BH109">
            <v>2.4309353892101201E-2</v>
          </cell>
          <cell r="BI109">
            <v>2.52922384863189E-2</v>
          </cell>
        </row>
        <row r="110">
          <cell r="A110" t="str">
            <v>Minority Int. In Earnings Of Subs.</v>
          </cell>
          <cell r="P110">
            <v>-5.3080510554737361E-3</v>
          </cell>
          <cell r="Q110">
            <v>-4.1790239956861694E-3</v>
          </cell>
          <cell r="R110">
            <v>-1.0327022375215148E-3</v>
          </cell>
          <cell r="S110">
            <v>-1.155385735080058E-2</v>
          </cell>
          <cell r="T110">
            <v>-1.3250351335073279E-2</v>
          </cell>
          <cell r="U110">
            <v>-8.0621241944616711E-3</v>
          </cell>
          <cell r="V110">
            <v>-3.7943696450428396E-3</v>
          </cell>
          <cell r="W110">
            <v>-4.1905602117335685E-3</v>
          </cell>
          <cell r="X110">
            <v>-8.3472454090150246E-3</v>
          </cell>
          <cell r="Y110">
            <v>-6.555863342566943E-3</v>
          </cell>
          <cell r="Z110">
            <v>-5.9928086296444274E-3</v>
          </cell>
          <cell r="AA110">
            <v>-8.3254294446200878E-3</v>
          </cell>
          <cell r="AB110">
            <v>-9.0440444966989227E-3</v>
          </cell>
          <cell r="AC110">
            <v>-1.4628397115917915E-2</v>
          </cell>
          <cell r="AD110">
            <v>-9.1872791519434626E-3</v>
          </cell>
          <cell r="AE110">
            <v>-1.0627816790692799E-2</v>
          </cell>
          <cell r="AF110">
            <v>-1.8501628664495114E-2</v>
          </cell>
          <cell r="AG110">
            <v>-2.2338699613128666E-2</v>
          </cell>
          <cell r="AH110">
            <v>-2.1809466746554821E-2</v>
          </cell>
          <cell r="AI110">
            <v>-1.651440618411806E-2</v>
          </cell>
          <cell r="AJ110">
            <v>-1.9772189984955939E-2</v>
          </cell>
          <cell r="AK110">
            <v>-1.4565425023877745E-2</v>
          </cell>
          <cell r="AL110">
            <v>-1.7292327897559374E-2</v>
          </cell>
          <cell r="AM110">
            <v>-1.4282575258185014E-2</v>
          </cell>
          <cell r="AN110">
            <v>-1.1715988284011715E-2</v>
          </cell>
          <cell r="AO110">
            <v>-1.4404644539379998E-2</v>
          </cell>
          <cell r="AP110">
            <v>-1.5298005140129727E-2</v>
          </cell>
          <cell r="AQ110">
            <v>-2.2970734400883489E-2</v>
          </cell>
          <cell r="AR110">
            <v>-2.5675524161901556E-2</v>
          </cell>
          <cell r="AS110">
            <v>-2.227640474343345E-2</v>
          </cell>
          <cell r="AT110">
            <v>-2.1695859872611464E-2</v>
          </cell>
          <cell r="AU110">
            <v>-6.9199798691494717E-3</v>
          </cell>
          <cell r="AV110">
            <v>-1.9161116952915062E-2</v>
          </cell>
          <cell r="AW110">
            <v>-2.2393822393822396E-2</v>
          </cell>
          <cell r="AX110">
            <v>-2.4061286145878293E-2</v>
          </cell>
          <cell r="AY110">
            <v>-1.8513203214695753E-2</v>
          </cell>
          <cell r="AZ110">
            <v>-1.1320331764178434E-2</v>
          </cell>
          <cell r="BA110">
            <v>-1.7058823529411762E-2</v>
          </cell>
          <cell r="BB110">
            <v>-8.0063346823860647E-3</v>
          </cell>
          <cell r="BC110">
            <v>-1.5193346182563249E-2</v>
          </cell>
          <cell r="BD110">
            <v>-1.2879051187681819E-2</v>
          </cell>
          <cell r="BE110">
            <v>-1.0360138575215585E-2</v>
          </cell>
          <cell r="BF110">
            <v>-1.5875282637153397E-2</v>
          </cell>
          <cell r="BG110">
            <v>-8.2948512475170908E-3</v>
          </cell>
          <cell r="BH110">
            <v>-1.5883952827225215E-2</v>
          </cell>
          <cell r="BI110">
            <v>-1.2670558156263226E-2</v>
          </cell>
        </row>
        <row r="111">
          <cell r="A111" t="str">
            <v>Inc. Before Extraordinary Credits</v>
          </cell>
          <cell r="P111">
            <v>9.3397152675503192E-2</v>
          </cell>
          <cell r="Q111">
            <v>6.9425721218657283E-2</v>
          </cell>
          <cell r="R111">
            <v>9.5467584624211163E-2</v>
          </cell>
          <cell r="S111">
            <v>9.5914301310043637E-2</v>
          </cell>
          <cell r="T111">
            <v>8.0204778156996615E-2</v>
          </cell>
          <cell r="U111">
            <v>8.629142287054764E-2</v>
          </cell>
          <cell r="V111">
            <v>5.7577233782129644E-2</v>
          </cell>
          <cell r="W111">
            <v>9.9029554477282844E-2</v>
          </cell>
          <cell r="X111">
            <v>8.0217028380634298E-2</v>
          </cell>
          <cell r="Y111">
            <v>7.590027700831016E-2</v>
          </cell>
          <cell r="Z111">
            <v>7.8690721134638375E-2</v>
          </cell>
          <cell r="AA111">
            <v>4.8161028559384533E-2</v>
          </cell>
          <cell r="AB111">
            <v>8.0311115130686367E-2</v>
          </cell>
          <cell r="AC111">
            <v>7.739163893510824E-2</v>
          </cell>
          <cell r="AD111">
            <v>7.8131134668237248E-2</v>
          </cell>
          <cell r="AE111">
            <v>7.2451462110890041E-2</v>
          </cell>
          <cell r="AF111">
            <v>7.8045602605863254E-2</v>
          </cell>
          <cell r="AG111">
            <v>0.10445526020217132</v>
          </cell>
          <cell r="AH111">
            <v>0.10509286998202515</v>
          </cell>
          <cell r="AI111">
            <v>8.7842586085734489E-2</v>
          </cell>
          <cell r="AJ111">
            <v>9.4040711061987761E-2</v>
          </cell>
          <cell r="AK111">
            <v>7.8796561604584633E-2</v>
          </cell>
          <cell r="AL111">
            <v>0.10649009521724859</v>
          </cell>
          <cell r="AM111">
            <v>0.10832784003515719</v>
          </cell>
          <cell r="AN111">
            <v>9.5646904353095669E-2</v>
          </cell>
          <cell r="AO111">
            <v>9.7655822105378404E-2</v>
          </cell>
          <cell r="AP111">
            <v>0.10867702851548161</v>
          </cell>
          <cell r="AQ111">
            <v>0.14191054665930436</v>
          </cell>
          <cell r="AR111">
            <v>0.12355645251709829</v>
          </cell>
          <cell r="AS111">
            <v>0.10539731796520001</v>
          </cell>
          <cell r="AT111">
            <v>0.12016606005459506</v>
          </cell>
          <cell r="AU111">
            <v>8.2457851031706011E-2</v>
          </cell>
          <cell r="AV111">
            <v>0.11234081084238809</v>
          </cell>
          <cell r="AW111">
            <v>0.11891891891891886</v>
          </cell>
          <cell r="AX111">
            <v>0.10568008200258944</v>
          </cell>
          <cell r="AY111">
            <v>0.10546334672789912</v>
          </cell>
          <cell r="AZ111">
            <v>9.9511320331764255E-2</v>
          </cell>
          <cell r="BA111">
            <v>0.1194117647058824</v>
          </cell>
          <cell r="BB111">
            <v>0.11768467358789365</v>
          </cell>
          <cell r="BC111">
            <v>0.10140236148009241</v>
          </cell>
          <cell r="BD111">
            <v>0.10977942970323423</v>
          </cell>
          <cell r="BE111">
            <v>9.8948908238517819E-2</v>
          </cell>
          <cell r="BF111">
            <v>0.11961161026815818</v>
          </cell>
          <cell r="BG111">
            <v>0.126320032314747</v>
          </cell>
          <cell r="BH111">
            <v>0.11043633206341918</v>
          </cell>
          <cell r="BI111">
            <v>0.11424991082823902</v>
          </cell>
        </row>
        <row r="112">
          <cell r="A112" t="str">
            <v>Extraordinary Credits</v>
          </cell>
          <cell r="P112">
            <v>3.6818851251840946E-3</v>
          </cell>
          <cell r="Q112">
            <v>2.9657589646805076E-2</v>
          </cell>
          <cell r="R112">
            <v>3.4423407917383818E-4</v>
          </cell>
          <cell r="S112">
            <v>-4.6661208151382817E-3</v>
          </cell>
          <cell r="T112">
            <v>1.2352941176470589E-2</v>
          </cell>
          <cell r="U112">
            <v>7.9480680561921976E-3</v>
          </cell>
          <cell r="V112">
            <v>3.377478580171359E-3</v>
          </cell>
          <cell r="W112">
            <v>0</v>
          </cell>
          <cell r="X112">
            <v>-0.11469115191986645</v>
          </cell>
          <cell r="Y112">
            <v>0</v>
          </cell>
          <cell r="Z112">
            <v>-3.3619806232520977E-2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</row>
        <row r="114">
          <cell r="A114" t="str">
            <v>Net Income</v>
          </cell>
          <cell r="P114">
            <v>9.7079037800687287E-2</v>
          </cell>
          <cell r="Q114">
            <v>9.9083310865462362E-2</v>
          </cell>
          <cell r="R114">
            <v>9.5811818703384996E-2</v>
          </cell>
          <cell r="S114">
            <v>9.1248180494905351E-2</v>
          </cell>
          <cell r="T114">
            <v>9.2557719333467209E-2</v>
          </cell>
          <cell r="U114">
            <v>9.4239490926739819E-2</v>
          </cell>
          <cell r="V114">
            <v>6.0954712362301003E-2</v>
          </cell>
          <cell r="W114">
            <v>9.9029554477282844E-2</v>
          </cell>
          <cell r="X114">
            <v>-3.4474123539232147E-2</v>
          </cell>
          <cell r="Y114">
            <v>7.590027700831016E-2</v>
          </cell>
          <cell r="Z114">
            <v>4.5070914902117398E-2</v>
          </cell>
          <cell r="AA114">
            <v>4.8161028559384533E-2</v>
          </cell>
          <cell r="AB114">
            <v>8.0311115130686367E-2</v>
          </cell>
          <cell r="AC114">
            <v>7.739163893510824E-2</v>
          </cell>
          <cell r="AD114">
            <v>7.8131134668237248E-2</v>
          </cell>
          <cell r="AE114">
            <v>7.2451462110890041E-2</v>
          </cell>
          <cell r="AF114">
            <v>7.8045602605863254E-2</v>
          </cell>
          <cell r="AG114">
            <v>0.10445526020217132</v>
          </cell>
          <cell r="AH114">
            <v>0.10509286998202515</v>
          </cell>
          <cell r="AI114">
            <v>8.7842586085734489E-2</v>
          </cell>
          <cell r="AJ114">
            <v>9.4040711061987761E-2</v>
          </cell>
          <cell r="AK114">
            <v>7.8796561604584633E-2</v>
          </cell>
          <cell r="AL114">
            <v>0.10649009521724859</v>
          </cell>
          <cell r="AM114">
            <v>0.10832784003515719</v>
          </cell>
          <cell r="AN114">
            <v>9.5646904353095669E-2</v>
          </cell>
          <cell r="AO114">
            <v>9.7655822105378404E-2</v>
          </cell>
          <cell r="AP114">
            <v>0.10867702851548161</v>
          </cell>
          <cell r="AQ114">
            <v>0.14191054665930436</v>
          </cell>
          <cell r="AR114">
            <v>0.12355645251709829</v>
          </cell>
          <cell r="AS114">
            <v>0.10539731796520001</v>
          </cell>
          <cell r="AT114">
            <v>0.12016606005459506</v>
          </cell>
          <cell r="AU114">
            <v>8.2457851031706011E-2</v>
          </cell>
          <cell r="AV114">
            <v>0.11234081084238809</v>
          </cell>
          <cell r="AW114">
            <v>0.11891891891891886</v>
          </cell>
          <cell r="AX114">
            <v>0.10568008200258944</v>
          </cell>
          <cell r="AY114">
            <v>0.10546334672789912</v>
          </cell>
          <cell r="AZ114">
            <v>9.9511320331764255E-2</v>
          </cell>
          <cell r="BA114">
            <v>0.1194117647058824</v>
          </cell>
          <cell r="BB114">
            <v>0.11768467358789365</v>
          </cell>
          <cell r="BC114">
            <v>0.10140236148009241</v>
          </cell>
          <cell r="BD114">
            <v>0.10977942970323423</v>
          </cell>
          <cell r="BE114">
            <v>9.8948908238517819E-2</v>
          </cell>
          <cell r="BF114">
            <v>0.11961161026815818</v>
          </cell>
          <cell r="BG114">
            <v>0.126320032314747</v>
          </cell>
          <cell r="BH114">
            <v>0.11043633206341918</v>
          </cell>
          <cell r="BI114">
            <v>0.11424991082823902</v>
          </cell>
        </row>
        <row r="116">
          <cell r="A116" t="str">
            <v>Source:  Corning Inc. financial statements; Salomon Smith Barney estimates.</v>
          </cell>
        </row>
        <row r="117">
          <cell r="A117" t="str">
            <v>Corning Inc.—Quarterly Income Statement  (Year-To-Year Percentage Change)</v>
          </cell>
        </row>
        <row r="119">
          <cell r="P119" t="str">
            <v xml:space="preserve">   Year</v>
          </cell>
          <cell r="R119" t="str">
            <v>1992</v>
          </cell>
          <cell r="U119" t="str">
            <v xml:space="preserve">   Year</v>
          </cell>
          <cell r="W119" t="str">
            <v xml:space="preserve">1993 </v>
          </cell>
          <cell r="Z119" t="str">
            <v xml:space="preserve">   Year</v>
          </cell>
          <cell r="AB119" t="str">
            <v>1994</v>
          </cell>
          <cell r="AE119" t="str">
            <v xml:space="preserve">   Year</v>
          </cell>
          <cell r="AG119" t="str">
            <v xml:space="preserve"> 1995</v>
          </cell>
          <cell r="AJ119" t="str">
            <v xml:space="preserve">   Year</v>
          </cell>
          <cell r="AL119" t="str">
            <v xml:space="preserve"> 1996</v>
          </cell>
          <cell r="AO119" t="str">
            <v xml:space="preserve">   Year</v>
          </cell>
          <cell r="AQ119" t="str">
            <v>1997</v>
          </cell>
          <cell r="AT119" t="str">
            <v xml:space="preserve">   Year</v>
          </cell>
          <cell r="AV119">
            <v>1998</v>
          </cell>
          <cell r="AY119" t="str">
            <v xml:space="preserve">   Year</v>
          </cell>
          <cell r="BA119" t="str">
            <v>Estimated 1999</v>
          </cell>
          <cell r="BD119" t="str">
            <v xml:space="preserve">   Year</v>
          </cell>
          <cell r="BF119" t="str">
            <v>Estimated 2000</v>
          </cell>
          <cell r="BI119" t="str">
            <v xml:space="preserve">   Year</v>
          </cell>
        </row>
        <row r="120">
          <cell r="P120" t="str">
            <v xml:space="preserve">   1991</v>
          </cell>
          <cell r="Q120" t="str">
            <v>1Q</v>
          </cell>
          <cell r="R120" t="str">
            <v>2Q</v>
          </cell>
          <cell r="S120" t="str">
            <v>3Q</v>
          </cell>
          <cell r="T120" t="str">
            <v>4Q</v>
          </cell>
          <cell r="U120" t="str">
            <v xml:space="preserve">   1992</v>
          </cell>
          <cell r="V120" t="str">
            <v>1Q</v>
          </cell>
          <cell r="W120" t="str">
            <v>2Q</v>
          </cell>
          <cell r="X120" t="str">
            <v>3Q</v>
          </cell>
          <cell r="Y120" t="str">
            <v>4Q</v>
          </cell>
          <cell r="Z120" t="str">
            <v xml:space="preserve">   1993</v>
          </cell>
          <cell r="AA120" t="str">
            <v>1Q</v>
          </cell>
          <cell r="AB120" t="str">
            <v>2Q</v>
          </cell>
          <cell r="AC120" t="str">
            <v>3Q</v>
          </cell>
          <cell r="AD120" t="str">
            <v>4Q</v>
          </cell>
          <cell r="AE120" t="str">
            <v xml:space="preserve">   1994</v>
          </cell>
          <cell r="AF120" t="str">
            <v>1QA</v>
          </cell>
          <cell r="AG120" t="str">
            <v>2QA</v>
          </cell>
          <cell r="AH120" t="str">
            <v>3QA</v>
          </cell>
          <cell r="AI120" t="str">
            <v>4Q</v>
          </cell>
          <cell r="AJ120" t="str">
            <v xml:space="preserve">   1995</v>
          </cell>
          <cell r="AK120" t="str">
            <v>1Q</v>
          </cell>
          <cell r="AL120" t="str">
            <v>2Q</v>
          </cell>
          <cell r="AM120" t="str">
            <v>3Q</v>
          </cell>
          <cell r="AN120" t="str">
            <v>4Q</v>
          </cell>
          <cell r="AO120" t="str">
            <v xml:space="preserve">   1996</v>
          </cell>
          <cell r="AP120" t="str">
            <v>1Q</v>
          </cell>
          <cell r="AQ120" t="str">
            <v>2Q</v>
          </cell>
          <cell r="AR120" t="str">
            <v>3Q</v>
          </cell>
          <cell r="AS120" t="str">
            <v>4Q</v>
          </cell>
          <cell r="AT120" t="str">
            <v xml:space="preserve">   1997</v>
          </cell>
          <cell r="AU120" t="str">
            <v>1Q</v>
          </cell>
          <cell r="AV120" t="str">
            <v>2Q</v>
          </cell>
          <cell r="AW120" t="str">
            <v>3Q</v>
          </cell>
          <cell r="AX120" t="str">
            <v>4Q</v>
          </cell>
          <cell r="AY120">
            <v>1998</v>
          </cell>
          <cell r="AZ120" t="str">
            <v>1QA</v>
          </cell>
          <cell r="BA120" t="str">
            <v>2QA</v>
          </cell>
          <cell r="BB120" t="str">
            <v>3QA</v>
          </cell>
          <cell r="BC120" t="str">
            <v>4Q</v>
          </cell>
          <cell r="BD120" t="str">
            <v xml:space="preserve">   1999E</v>
          </cell>
          <cell r="BE120" t="str">
            <v>1Q</v>
          </cell>
          <cell r="BF120" t="str">
            <v>2Q</v>
          </cell>
          <cell r="BG120" t="str">
            <v>3Q</v>
          </cell>
          <cell r="BH120" t="str">
            <v>4Q</v>
          </cell>
          <cell r="BI120" t="str">
            <v>2000E</v>
          </cell>
        </row>
        <row r="122">
          <cell r="A122" t="str">
            <v>Net Sales</v>
          </cell>
          <cell r="U122">
            <v>0.13791728031418748</v>
          </cell>
          <cell r="V122">
            <v>0.10137503370180645</v>
          </cell>
          <cell r="W122">
            <v>4.0504876649454902E-2</v>
          </cell>
          <cell r="X122">
            <v>8.9883551673944684E-2</v>
          </cell>
          <cell r="Y122">
            <v>8.7131098173057531E-2</v>
          </cell>
          <cell r="Z122">
            <v>7.983929678863233E-2</v>
          </cell>
          <cell r="AA122">
            <v>0.16144430844553237</v>
          </cell>
          <cell r="AB122">
            <v>0.21934274371415974</v>
          </cell>
          <cell r="AC122">
            <v>0.2040066777963272</v>
          </cell>
          <cell r="AD122">
            <v>0.17590027700831024</v>
          </cell>
          <cell r="AE122">
            <v>0.19119556532161397</v>
          </cell>
          <cell r="AF122">
            <v>-0.19116872167773213</v>
          </cell>
          <cell r="AG122">
            <v>-0.27530071447951532</v>
          </cell>
          <cell r="AH122">
            <v>-0.42145036051026075</v>
          </cell>
          <cell r="AI122">
            <v>-0.32956419316843344</v>
          </cell>
          <cell r="AJ122">
            <v>-0.3172413793103448</v>
          </cell>
          <cell r="AK122">
            <v>9.1335504885993624E-2</v>
          </cell>
          <cell r="AL122">
            <v>0.14027205790590314</v>
          </cell>
          <cell r="AM122">
            <v>9.0713001797483539E-2</v>
          </cell>
          <cell r="AN122">
            <v>0.15963925977980797</v>
          </cell>
          <cell r="AO122">
            <v>0.12112001473703593</v>
          </cell>
          <cell r="AP122">
            <v>-2.4474689589302767E-2</v>
          </cell>
          <cell r="AQ122">
            <v>-8.9744992886068298E-3</v>
          </cell>
          <cell r="AR122">
            <v>-2.0105471324983637E-2</v>
          </cell>
          <cell r="AS122">
            <v>-8.8677911322088798E-2</v>
          </cell>
          <cell r="AT122">
            <v>-3.6915324789133508E-2</v>
          </cell>
          <cell r="AU122">
            <v>-2.7291641169991498E-2</v>
          </cell>
          <cell r="AV122">
            <v>-5.4776366648260688E-2</v>
          </cell>
          <cell r="AW122">
            <v>1.6369548155622748E-2</v>
          </cell>
          <cell r="AX122">
            <v>2.7152831652443865E-2</v>
          </cell>
          <cell r="AY122">
            <v>-9.3266606005459884E-3</v>
          </cell>
          <cell r="AZ122">
            <v>0.12254655259184721</v>
          </cell>
          <cell r="BA122">
            <v>0.19172800560813186</v>
          </cell>
          <cell r="BB122">
            <v>0.25383342526199648</v>
          </cell>
          <cell r="BC122">
            <v>0.24279240397065172</v>
          </cell>
          <cell r="BD122">
            <v>0.20568886337543058</v>
          </cell>
          <cell r="BE122">
            <v>0.25658372562205778</v>
          </cell>
          <cell r="BF122">
            <v>0.23573529411764693</v>
          </cell>
          <cell r="BG122">
            <v>0.1100000000000001</v>
          </cell>
          <cell r="BH122">
            <v>0.10000000000000009</v>
          </cell>
          <cell r="BI122">
            <v>0.16892315896224819</v>
          </cell>
        </row>
        <row r="124">
          <cell r="A124" t="str">
            <v>Cost Of Goods Sold</v>
          </cell>
          <cell r="U124">
            <v>0.13660146123026173</v>
          </cell>
          <cell r="V124">
            <v>8.947583947583948E-2</v>
          </cell>
          <cell r="W124">
            <v>-1.250868658790838E-2</v>
          </cell>
          <cell r="X124">
            <v>0.11252115059221657</v>
          </cell>
          <cell r="Y124">
            <v>0.10876038238520613</v>
          </cell>
          <cell r="Z124">
            <v>7.7012399950234123E-2</v>
          </cell>
          <cell r="AA124">
            <v>0.16914113888366855</v>
          </cell>
          <cell r="AB124">
            <v>0.22466572836030974</v>
          </cell>
          <cell r="AC124">
            <v>0.16337135614702158</v>
          </cell>
          <cell r="AD124">
            <v>0.16579505300353348</v>
          </cell>
          <cell r="AE124">
            <v>0.17862918752406598</v>
          </cell>
          <cell r="AF124">
            <v>-0.21909660826233723</v>
          </cell>
          <cell r="AG124">
            <v>-0.28415457549202705</v>
          </cell>
          <cell r="AH124">
            <v>-0.4448196971347641</v>
          </cell>
          <cell r="AI124">
            <v>-0.34662948593598453</v>
          </cell>
          <cell r="AJ124">
            <v>-0.33594694370936651</v>
          </cell>
          <cell r="AK124">
            <v>6.4223960477562736E-2</v>
          </cell>
          <cell r="AL124">
            <v>0.14128035320088306</v>
          </cell>
          <cell r="AM124">
            <v>8.163265306122458E-2</v>
          </cell>
          <cell r="AN124">
            <v>0.15420300612358506</v>
          </cell>
          <cell r="AO124">
            <v>0.11133523565876224</v>
          </cell>
          <cell r="AP124">
            <v>-7.988394584139269E-2</v>
          </cell>
          <cell r="AQ124">
            <v>-9.3898364691401559E-2</v>
          </cell>
          <cell r="AR124">
            <v>-4.7714078374455848E-2</v>
          </cell>
          <cell r="AS124">
            <v>-0.15369774919614154</v>
          </cell>
          <cell r="AT124">
            <v>-9.5887378812696378E-2</v>
          </cell>
          <cell r="AU124">
            <v>8.1984443977296761E-2</v>
          </cell>
          <cell r="AV124">
            <v>2.9303318455268901E-2</v>
          </cell>
          <cell r="AW124">
            <v>4.8009144598971432E-2</v>
          </cell>
          <cell r="AX124">
            <v>6.1360182370820748E-2</v>
          </cell>
          <cell r="AY124">
            <v>5.4644273613082994E-2</v>
          </cell>
          <cell r="AZ124">
            <v>6.5280746065669248E-2</v>
          </cell>
          <cell r="BA124">
            <v>0.17213423831070895</v>
          </cell>
          <cell r="BB124">
            <v>0.26649700054535552</v>
          </cell>
          <cell r="BC124">
            <v>0.27407331304814742</v>
          </cell>
          <cell r="BD124">
            <v>0.1971422814429642</v>
          </cell>
          <cell r="BE124">
            <v>0.2575073135144994</v>
          </cell>
          <cell r="BF124">
            <v>0.2367291298053722</v>
          </cell>
          <cell r="BG124">
            <v>0.10462445815989652</v>
          </cell>
          <cell r="BH124">
            <v>9.4660194174757351E-2</v>
          </cell>
          <cell r="BI124">
            <v>0.16623423464818687</v>
          </cell>
        </row>
        <row r="126">
          <cell r="A126" t="str">
            <v>Gross Income</v>
          </cell>
          <cell r="U126">
            <v>0.14037092379361837</v>
          </cell>
          <cell r="V126">
            <v>0.12430939226519344</v>
          </cell>
          <cell r="W126">
            <v>0.14362960459614738</v>
          </cell>
          <cell r="X126">
            <v>4.8717948717948767E-2</v>
          </cell>
          <cell r="Y126">
            <v>4.8589779391231325E-2</v>
          </cell>
          <cell r="Z126">
            <v>8.5093263449977252E-2</v>
          </cell>
          <cell r="AA126">
            <v>0.14706914706914698</v>
          </cell>
          <cell r="AB126">
            <v>0.21040189125295528</v>
          </cell>
          <cell r="AC126">
            <v>0.28239608801956018</v>
          </cell>
          <cell r="AD126">
            <v>0.1949400798934755</v>
          </cell>
          <cell r="AE126">
            <v>0.21437704219349341</v>
          </cell>
          <cell r="AF126">
            <v>-0.13800489596083221</v>
          </cell>
          <cell r="AG126">
            <v>-0.26025390625000022</v>
          </cell>
          <cell r="AH126">
            <v>-0.38055290753098203</v>
          </cell>
          <cell r="AI126">
            <v>-0.29819478493425466</v>
          </cell>
          <cell r="AJ126">
            <v>-0.28375058493214778</v>
          </cell>
          <cell r="AK126">
            <v>0.13809016684416053</v>
          </cell>
          <cell r="AL126">
            <v>0.13861386138613874</v>
          </cell>
          <cell r="AM126">
            <v>0.10495537088334883</v>
          </cell>
          <cell r="AN126">
            <v>0.16894252143537636</v>
          </cell>
          <cell r="AO126">
            <v>0.13736218864842731</v>
          </cell>
          <cell r="AP126">
            <v>6.4878353087960194E-2</v>
          </cell>
          <cell r="AQ126">
            <v>0.13101449275362342</v>
          </cell>
          <cell r="AR126">
            <v>2.2284122562674202E-2</v>
          </cell>
          <cell r="AS126">
            <v>2.1189894050529512E-2</v>
          </cell>
          <cell r="AT126">
            <v>5.8734831622029304E-2</v>
          </cell>
          <cell r="AU126">
            <v>-0.17955477445811396</v>
          </cell>
          <cell r="AV126">
            <v>-0.16581240389543839</v>
          </cell>
          <cell r="AW126">
            <v>-2.8882833787466033E-2</v>
          </cell>
          <cell r="AX126">
            <v>-2.0750199521149426E-2</v>
          </cell>
          <cell r="AY126">
            <v>-9.7931502204136711E-2</v>
          </cell>
          <cell r="AZ126">
            <v>0.22777579435915807</v>
          </cell>
          <cell r="BA126">
            <v>0.22365591397849438</v>
          </cell>
          <cell r="BB126">
            <v>0.23428731762065058</v>
          </cell>
          <cell r="BC126">
            <v>0.19531442542787314</v>
          </cell>
          <cell r="BD126">
            <v>0.2195287873092242</v>
          </cell>
          <cell r="BE126">
            <v>0.25511119511485858</v>
          </cell>
          <cell r="BF126">
            <v>0.23418403213658046</v>
          </cell>
          <cell r="BG126">
            <v>0.11851361673107563</v>
          </cell>
          <cell r="BH126">
            <v>0.1086387434554974</v>
          </cell>
          <cell r="BI126">
            <v>0.17319754295068379</v>
          </cell>
        </row>
        <row r="127">
          <cell r="A127" t="str">
            <v>Gross Margin</v>
          </cell>
          <cell r="U127">
            <v>2.1562582112764073E-3</v>
          </cell>
          <cell r="V127">
            <v>2.0823387004064386E-2</v>
          </cell>
          <cell r="W127">
            <v>9.911027834753261E-2</v>
          </cell>
          <cell r="X127">
            <v>-3.7770643379992475E-2</v>
          </cell>
          <cell r="Y127">
            <v>-3.5452319270965038E-2</v>
          </cell>
          <cell r="Z127">
            <v>4.8655079297170722E-3</v>
          </cell>
          <cell r="AA127">
            <v>-1.2376970012126565E-2</v>
          </cell>
          <cell r="AB127">
            <v>-7.3325178726781903E-3</v>
          </cell>
          <cell r="AC127">
            <v>6.510712246771555E-2</v>
          </cell>
          <cell r="AD127">
            <v>1.6191681605523423E-2</v>
          </cell>
          <cell r="AE127">
            <v>1.9460680971911115E-2</v>
          </cell>
          <cell r="AF127">
            <v>6.5729191169727974E-2</v>
          </cell>
          <cell r="AG127">
            <v>2.0762830225102835E-2</v>
          </cell>
          <cell r="AH127">
            <v>7.0689617947647054E-2</v>
          </cell>
          <cell r="AI127">
            <v>4.678957763671443E-2</v>
          </cell>
          <cell r="AJ127">
            <v>4.9052173584227754E-2</v>
          </cell>
          <cell r="AK127">
            <v>4.2841694189223123E-2</v>
          </cell>
          <cell r="AL127">
            <v>-1.4542113070887819E-3</v>
          </cell>
          <cell r="AM127">
            <v>1.3057852122780211E-2</v>
          </cell>
          <cell r="AN127">
            <v>8.0225480269913163E-3</v>
          </cell>
          <cell r="AO127">
            <v>1.4487453348338786E-2</v>
          </cell>
          <cell r="AP127">
            <v>9.1594796899370223E-2</v>
          </cell>
          <cell r="AQ127">
            <v>0.14125670019766523</v>
          </cell>
          <cell r="AR127">
            <v>4.3259343375430026E-2</v>
          </cell>
          <cell r="AS127">
            <v>0.12055869899083427</v>
          </cell>
          <cell r="AT127">
            <v>9.9316455627559641E-2</v>
          </cell>
          <cell r="AU127">
            <v>-0.15653523680136494</v>
          </cell>
          <cell r="AV127">
            <v>-0.11747065279509217</v>
          </cell>
          <cell r="AW127">
            <v>-4.4523551522383964E-2</v>
          </cell>
          <cell r="AX127">
            <v>-4.6636712373687272E-2</v>
          </cell>
          <cell r="AY127">
            <v>-8.9439008883900328E-2</v>
          </cell>
          <cell r="AZ127">
            <v>9.374153929237683E-2</v>
          </cell>
          <cell r="BA127">
            <v>2.6791271347248236E-2</v>
          </cell>
          <cell r="BB127">
            <v>-1.5589078459334882E-2</v>
          </cell>
          <cell r="BC127">
            <v>-3.8202662320021452E-2</v>
          </cell>
          <cell r="BD127">
            <v>1.147885192789122E-2</v>
          </cell>
          <cell r="BE127">
            <v>-1.1718522826403843E-3</v>
          </cell>
          <cell r="BF127">
            <v>-1.2553351744912788E-3</v>
          </cell>
          <cell r="BG127">
            <v>7.6699249829510485E-3</v>
          </cell>
          <cell r="BH127">
            <v>7.8534031413612926E-3</v>
          </cell>
          <cell r="BI127">
            <v>3.6566851770052367E-3</v>
          </cell>
        </row>
        <row r="129">
          <cell r="A129" t="str">
            <v>SG&amp;A</v>
          </cell>
          <cell r="U129">
            <v>0.11196787148594356</v>
          </cell>
          <cell r="V129">
            <v>0.12474983322214794</v>
          </cell>
          <cell r="W129">
            <v>8.7384615384615394E-2</v>
          </cell>
          <cell r="X129">
            <v>0.12795477903391572</v>
          </cell>
          <cell r="Y129">
            <v>0.12958963282937375</v>
          </cell>
          <cell r="Z129">
            <v>0.11817393816815969</v>
          </cell>
          <cell r="AA129">
            <v>0.10142348754448394</v>
          </cell>
          <cell r="AB129">
            <v>0.14487832484436902</v>
          </cell>
          <cell r="AC129">
            <v>0.11708428246013658</v>
          </cell>
          <cell r="AD129">
            <v>0.14005736137667313</v>
          </cell>
          <cell r="AE129">
            <v>0.12622739018087858</v>
          </cell>
          <cell r="AF129">
            <v>-0.29402261712439415</v>
          </cell>
          <cell r="AG129">
            <v>-0.34799802273850722</v>
          </cell>
          <cell r="AH129">
            <v>-0.41884176182707988</v>
          </cell>
          <cell r="AI129">
            <v>-0.36813417190775688</v>
          </cell>
          <cell r="AJ129">
            <v>-0.36193644602500863</v>
          </cell>
          <cell r="AK129">
            <v>0.20823798627002299</v>
          </cell>
          <cell r="AL129">
            <v>0.12509476876421521</v>
          </cell>
          <cell r="AM129">
            <v>0.14596491228070185</v>
          </cell>
          <cell r="AN129">
            <v>0.12607830126078312</v>
          </cell>
          <cell r="AO129">
            <v>0.15030564545127634</v>
          </cell>
          <cell r="AP129">
            <v>-0.18686868686868685</v>
          </cell>
          <cell r="AQ129">
            <v>-6.4016172506738522E-2</v>
          </cell>
          <cell r="AR129">
            <v>-0.17942437232088182</v>
          </cell>
          <cell r="AS129">
            <v>-0.17560400707130219</v>
          </cell>
          <cell r="AT129">
            <v>-0.15348546420756481</v>
          </cell>
          <cell r="AU129">
            <v>-0.12344720496894412</v>
          </cell>
          <cell r="AV129">
            <v>-8.8552915766738738E-2</v>
          </cell>
          <cell r="AW129">
            <v>-0.15970149253731347</v>
          </cell>
          <cell r="AX129">
            <v>-3.0736240171551188E-2</v>
          </cell>
          <cell r="AY129">
            <v>-9.9519940915804961E-2</v>
          </cell>
          <cell r="AZ129">
            <v>0.21169176262178913</v>
          </cell>
          <cell r="BA129">
            <v>0.11611374407582931</v>
          </cell>
          <cell r="BB129">
            <v>0.43072824156305511</v>
          </cell>
          <cell r="BC129">
            <v>0.20587389380530974</v>
          </cell>
          <cell r="BD129">
            <v>0.23583452942382599</v>
          </cell>
          <cell r="BE129">
            <v>0.19529605263157879</v>
          </cell>
          <cell r="BF129">
            <v>0.16301544585987249</v>
          </cell>
          <cell r="BG129">
            <v>3.0275749999999713E-2</v>
          </cell>
          <cell r="BH129">
            <v>2.5200499999999959E-2</v>
          </cell>
          <cell r="BI129">
            <v>9.747319574501434E-2</v>
          </cell>
        </row>
        <row r="130">
          <cell r="A130" t="str">
            <v>Research &amp; Development</v>
          </cell>
          <cell r="U130">
            <v>0.1560826319816373</v>
          </cell>
          <cell r="V130">
            <v>0.20833333333333348</v>
          </cell>
          <cell r="W130">
            <v>0.19519519519519513</v>
          </cell>
          <cell r="X130">
            <v>0.1576576576576576</v>
          </cell>
          <cell r="Y130">
            <v>4.7393364928909998E-2</v>
          </cell>
          <cell r="Z130">
            <v>0.14559894109861005</v>
          </cell>
          <cell r="AA130">
            <v>1.3262599469495928E-2</v>
          </cell>
          <cell r="AB130">
            <v>3.2663316582914659E-2</v>
          </cell>
          <cell r="AC130">
            <v>4.0856031128404746E-2</v>
          </cell>
          <cell r="AD130">
            <v>-2.2624434389140191E-3</v>
          </cell>
          <cell r="AE130">
            <v>2.1952628538417063E-2</v>
          </cell>
          <cell r="AF130">
            <v>0.14921465968586367</v>
          </cell>
          <cell r="AG130">
            <v>5.1094890510948954E-2</v>
          </cell>
          <cell r="AH130">
            <v>-0.20934579439252343</v>
          </cell>
          <cell r="AI130">
            <v>4.9886621315192725E-2</v>
          </cell>
          <cell r="AJ130">
            <v>-6.7834934991518603E-3</v>
          </cell>
          <cell r="AK130">
            <v>3.1890660592255093E-2</v>
          </cell>
          <cell r="AL130">
            <v>3.935185185185186E-2</v>
          </cell>
          <cell r="AM130">
            <v>0.11820330969267134</v>
          </cell>
          <cell r="AN130">
            <v>0.16198704103671702</v>
          </cell>
          <cell r="AO130">
            <v>8.8787706317586812E-2</v>
          </cell>
          <cell r="AP130">
            <v>0.1258278145695364</v>
          </cell>
          <cell r="AQ130">
            <v>0.18930957683741645</v>
          </cell>
          <cell r="AR130">
            <v>0.4947145877378436</v>
          </cell>
          <cell r="AS130">
            <v>0.39776951672862459</v>
          </cell>
          <cell r="AT130">
            <v>0.30841610036591738</v>
          </cell>
          <cell r="AU130">
            <v>0.31568627450980391</v>
          </cell>
          <cell r="AV130">
            <v>0.40636704119850187</v>
          </cell>
          <cell r="AW130">
            <v>1.2729844413012614E-2</v>
          </cell>
          <cell r="AX130">
            <v>6.5159574468085069E-2</v>
          </cell>
          <cell r="AY130">
            <v>0.17419097083499779</v>
          </cell>
          <cell r="AZ130">
            <v>0.18628912071535031</v>
          </cell>
          <cell r="BA130">
            <v>0.12916111850865519</v>
          </cell>
          <cell r="BB130">
            <v>0.34776536312849182</v>
          </cell>
          <cell r="BC130">
            <v>0.22281523096129829</v>
          </cell>
          <cell r="BD130">
            <v>0.22098502892140193</v>
          </cell>
          <cell r="BE130">
            <v>0.22999999999999998</v>
          </cell>
          <cell r="BF130">
            <v>0.19999999999999996</v>
          </cell>
          <cell r="BG130">
            <v>6.0000000000000053E-2</v>
          </cell>
          <cell r="BH130">
            <v>6.0000000000000053E-2</v>
          </cell>
          <cell r="BI130">
            <v>0.13079330356209806</v>
          </cell>
        </row>
        <row r="132">
          <cell r="A132" t="str">
            <v>Operating Costs</v>
          </cell>
          <cell r="U132">
            <v>0.13215292030472758</v>
          </cell>
          <cell r="V132">
            <v>0.10291262135922352</v>
          </cell>
          <cell r="W132">
            <v>1.7500648172154465E-2</v>
          </cell>
          <cell r="X132">
            <v>0.11780215144484285</v>
          </cell>
          <cell r="Y132">
            <v>0.11022530329289437</v>
          </cell>
          <cell r="Z132">
            <v>8.8951023167209486E-2</v>
          </cell>
          <cell r="AA132">
            <v>0.14572047670639199</v>
          </cell>
          <cell r="AB132">
            <v>0.19696776659447091</v>
          </cell>
          <cell r="AC132">
            <v>0.14784413623926773</v>
          </cell>
          <cell r="AD132">
            <v>0.15246123425954816</v>
          </cell>
          <cell r="AE132">
            <v>0.15953274456138344</v>
          </cell>
          <cell r="AF132">
            <v>-0.21891252955082752</v>
          </cell>
          <cell r="AG132">
            <v>-0.28323576370409786</v>
          </cell>
          <cell r="AH132">
            <v>-0.42922899884925203</v>
          </cell>
          <cell r="AI132">
            <v>-0.33547047137439046</v>
          </cell>
          <cell r="AJ132">
            <v>-0.32729042462586677</v>
          </cell>
          <cell r="AK132">
            <v>9.0647699757869127E-2</v>
          </cell>
          <cell r="AL132">
            <v>0.13157113157113143</v>
          </cell>
          <cell r="AM132">
            <v>9.7062211981566726E-2</v>
          </cell>
          <cell r="AN132">
            <v>0.14893327897812214</v>
          </cell>
          <cell r="AO132">
            <v>0.1177428106348346</v>
          </cell>
          <cell r="AP132">
            <v>-9.0467600943527016E-2</v>
          </cell>
          <cell r="AQ132">
            <v>-7.1391076115485674E-2</v>
          </cell>
          <cell r="AR132">
            <v>-4.2268311892885158E-2</v>
          </cell>
          <cell r="AS132">
            <v>-0.12300413956238909</v>
          </cell>
          <cell r="AT132">
            <v>-8.2783171521035537E-2</v>
          </cell>
          <cell r="AU132">
            <v>5.9801678108314382E-2</v>
          </cell>
          <cell r="AV132">
            <v>3.462408140192208E-2</v>
          </cell>
          <cell r="AW132">
            <v>6.4418859649122417E-3</v>
          </cell>
          <cell r="AX132">
            <v>4.436952124072846E-2</v>
          </cell>
          <cell r="AY132">
            <v>3.5742008326864472E-2</v>
          </cell>
          <cell r="AZ132">
            <v>0.10076291924571734</v>
          </cell>
          <cell r="BA132">
            <v>0.15803851932796054</v>
          </cell>
          <cell r="BB132">
            <v>0.2996050660492986</v>
          </cell>
          <cell r="BC132">
            <v>0.25682949380165265</v>
          </cell>
          <cell r="BD132">
            <v>0.20595767671606224</v>
          </cell>
          <cell r="BE132">
            <v>0.2435147901137702</v>
          </cell>
          <cell r="BF132">
            <v>0.22076973637650377</v>
          </cell>
          <cell r="BG132">
            <v>8.7560812454154702E-2</v>
          </cell>
          <cell r="BH132">
            <v>7.9502631426926262E-2</v>
          </cell>
          <cell r="BI132">
            <v>0.15093481536978448</v>
          </cell>
        </row>
        <row r="134">
          <cell r="A134" t="str">
            <v>Operating Earnings</v>
          </cell>
          <cell r="U134">
            <v>0.18101430429128706</v>
          </cell>
          <cell r="V134">
            <v>8.7136929460580381E-2</v>
          </cell>
          <cell r="W134">
            <v>0.2177822177822184</v>
          </cell>
          <cell r="X134">
            <v>-8.5430463576159577E-2</v>
          </cell>
          <cell r="Y134">
            <v>-6.5799540933436318E-2</v>
          </cell>
          <cell r="Z134">
            <v>1.4534243558688376E-2</v>
          </cell>
          <cell r="AA134">
            <v>0.30916030534351258</v>
          </cell>
          <cell r="AB134">
            <v>0.36341263330598683</v>
          </cell>
          <cell r="AC134">
            <v>0.63504706734250793</v>
          </cell>
          <cell r="AD134">
            <v>0.36036036036036245</v>
          </cell>
          <cell r="AE134">
            <v>0.43477317126112558</v>
          </cell>
          <cell r="AF134">
            <v>3.6929057337221183E-2</v>
          </cell>
          <cell r="AG134">
            <v>-0.23044524669073452</v>
          </cell>
          <cell r="AH134">
            <v>-0.37953941541186931</v>
          </cell>
          <cell r="AI134">
            <v>-0.29018663455749549</v>
          </cell>
          <cell r="AJ134">
            <v>-0.25476550680786736</v>
          </cell>
          <cell r="AK134">
            <v>9.5595126522961982E-2</v>
          </cell>
          <cell r="AL134">
            <v>0.18608287724785155</v>
          </cell>
          <cell r="AM134">
            <v>5.9243397573162548E-2</v>
          </cell>
          <cell r="AN134">
            <v>0.22646310432569905</v>
          </cell>
          <cell r="AO134">
            <v>0.14007308160779441</v>
          </cell>
          <cell r="AP134">
            <v>0.38237810094097435</v>
          </cell>
          <cell r="AQ134">
            <v>0.30454845088991456</v>
          </cell>
          <cell r="AR134">
            <v>9.3665768194069132E-2</v>
          </cell>
          <cell r="AS134">
            <v>0.11203319502074649</v>
          </cell>
          <cell r="AT134">
            <v>0.21545584045584043</v>
          </cell>
          <cell r="AU134">
            <v>-0.38056930693069368</v>
          </cell>
          <cell r="AV134">
            <v>-0.37443153107630167</v>
          </cell>
          <cell r="AW134">
            <v>6.0998151571164394E-2</v>
          </cell>
          <cell r="AX134">
            <v>-5.2238805970149849E-2</v>
          </cell>
          <cell r="AY134">
            <v>-0.19645473190741203</v>
          </cell>
          <cell r="AZ134">
            <v>0.273726273726276</v>
          </cell>
          <cell r="BA134">
            <v>0.39095315024232713</v>
          </cell>
          <cell r="BB134">
            <v>5.8652729384436109E-2</v>
          </cell>
          <cell r="BC134">
            <v>0.17146482939632657</v>
          </cell>
          <cell r="BD134">
            <v>0.20425020966271523</v>
          </cell>
          <cell r="BE134">
            <v>0.33496658823529324</v>
          </cell>
          <cell r="BF134">
            <v>0.3094158972125427</v>
          </cell>
          <cell r="BG134">
            <v>0.22746416168403827</v>
          </cell>
          <cell r="BH134">
            <v>0.21174435601158614</v>
          </cell>
          <cell r="BI134">
            <v>0.2653309124588108</v>
          </cell>
        </row>
        <row r="136">
          <cell r="A136" t="str">
            <v>Royalty, Interest &amp; Dividend Inc.</v>
          </cell>
          <cell r="U136">
            <v>0.27898550724637672</v>
          </cell>
          <cell r="V136">
            <v>-0.43859649122807021</v>
          </cell>
          <cell r="W136">
            <v>-0.25</v>
          </cell>
          <cell r="X136">
            <v>4.4444444444444509E-2</v>
          </cell>
          <cell r="Y136">
            <v>0.17391304347826075</v>
          </cell>
          <cell r="Z136">
            <v>-0.15297450424929171</v>
          </cell>
          <cell r="AA136">
            <v>0.203125</v>
          </cell>
          <cell r="AB136">
            <v>-0.41666666666666663</v>
          </cell>
          <cell r="AC136">
            <v>9.5744680851063801E-2</v>
          </cell>
          <cell r="AD136">
            <v>-0.11111111111111105</v>
          </cell>
          <cell r="AE136">
            <v>-4.013377926421402E-2</v>
          </cell>
          <cell r="AF136">
            <v>-0.12987012987012991</v>
          </cell>
          <cell r="AG136">
            <v>1.5142857142857147</v>
          </cell>
          <cell r="AH136">
            <v>-0.34951456310679618</v>
          </cell>
          <cell r="AI136">
            <v>0.16666666666666674</v>
          </cell>
          <cell r="AJ136">
            <v>6.6202090592334617E-2</v>
          </cell>
          <cell r="AK136">
            <v>0.19402985074626855</v>
          </cell>
          <cell r="AL136">
            <v>-0.20454545454545459</v>
          </cell>
          <cell r="AM136">
            <v>0.34328358208955212</v>
          </cell>
          <cell r="AN136">
            <v>5.9523809523809534E-2</v>
          </cell>
          <cell r="AO136">
            <v>7.5163398692810413E-2</v>
          </cell>
          <cell r="AP136">
            <v>0.23750000000000004</v>
          </cell>
          <cell r="AQ136">
            <v>0.30000000000000004</v>
          </cell>
          <cell r="AR136">
            <v>4.4444444444444509E-2</v>
          </cell>
          <cell r="AS136">
            <v>2.2471910112359383E-2</v>
          </cell>
          <cell r="AT136">
            <v>0.13981762917933138</v>
          </cell>
          <cell r="AU136">
            <v>-8.0808080808080884E-2</v>
          </cell>
          <cell r="AV136">
            <v>0.31868131868131866</v>
          </cell>
          <cell r="AW136">
            <v>0.25531914893617014</v>
          </cell>
          <cell r="AX136">
            <v>0.70329670329670346</v>
          </cell>
          <cell r="AY136">
            <v>0.29066666666666685</v>
          </cell>
          <cell r="AZ136">
            <v>8.7912087912088044E-2</v>
          </cell>
          <cell r="BA136">
            <v>-6.6666666666666763E-2</v>
          </cell>
          <cell r="BB136">
            <v>-0.27966101694915257</v>
          </cell>
          <cell r="BC136">
            <v>-0.45161290322580649</v>
          </cell>
          <cell r="BD136">
            <v>-0.21280991735537191</v>
          </cell>
          <cell r="BE136">
            <v>-9.8484848484848397E-2</v>
          </cell>
          <cell r="BF136">
            <v>-0.20312499999999989</v>
          </cell>
          <cell r="BG136">
            <v>5.0000000000000044E-2</v>
          </cell>
          <cell r="BH136">
            <v>5.0000000000000044E-2</v>
          </cell>
          <cell r="BI136">
            <v>-6.2992125984251968E-2</v>
          </cell>
        </row>
        <row r="137">
          <cell r="A137" t="str">
            <v>Interest Expense</v>
          </cell>
          <cell r="U137">
            <v>7.745266781411364E-2</v>
          </cell>
          <cell r="V137">
            <v>0.1785714285714286</v>
          </cell>
          <cell r="W137">
            <v>0.31914893617021289</v>
          </cell>
          <cell r="X137">
            <v>0.6179775280898876</v>
          </cell>
          <cell r="Y137">
            <v>0.45508982035928147</v>
          </cell>
          <cell r="Z137">
            <v>0.40894568690095845</v>
          </cell>
          <cell r="AA137">
            <v>0.56363636363636371</v>
          </cell>
          <cell r="AB137">
            <v>0.39247311827956977</v>
          </cell>
          <cell r="AC137">
            <v>0.17708333333333326</v>
          </cell>
          <cell r="AD137">
            <v>2.0576131687242816E-2</v>
          </cell>
          <cell r="AE137">
            <v>0.25170068027210868</v>
          </cell>
          <cell r="AF137">
            <v>-0.37209302325581395</v>
          </cell>
          <cell r="AG137">
            <v>-0.30501930501930496</v>
          </cell>
          <cell r="AH137">
            <v>-0.4896755162241887</v>
          </cell>
          <cell r="AI137">
            <v>-0.282258064516129</v>
          </cell>
          <cell r="AJ137">
            <v>-0.37228260869565211</v>
          </cell>
          <cell r="AK137">
            <v>9.259259259259256E-2</v>
          </cell>
          <cell r="AL137">
            <v>1.6666666666666607E-2</v>
          </cell>
          <cell r="AM137">
            <v>2.8901734104046284E-2</v>
          </cell>
          <cell r="AN137">
            <v>-0.1404494382022472</v>
          </cell>
          <cell r="AO137">
            <v>-2.8860028860029363E-3</v>
          </cell>
          <cell r="AP137">
            <v>0.19774011299435035</v>
          </cell>
          <cell r="AQ137">
            <v>6.5573770491803129E-2</v>
          </cell>
          <cell r="AR137">
            <v>-8.9887640449438311E-2</v>
          </cell>
          <cell r="AS137">
            <v>-1.3071895424836666E-2</v>
          </cell>
          <cell r="AT137">
            <v>4.19681620839365E-2</v>
          </cell>
          <cell r="AU137">
            <v>-0.16981132075471683</v>
          </cell>
          <cell r="AV137">
            <v>-0.23589743589743584</v>
          </cell>
          <cell r="AW137">
            <v>-0.30246913580246904</v>
          </cell>
          <cell r="AX137">
            <v>-0.14569536423841056</v>
          </cell>
          <cell r="AY137">
            <v>-0.21250000000000002</v>
          </cell>
          <cell r="AZ137">
            <v>-7.3863636363636354E-2</v>
          </cell>
          <cell r="BA137">
            <v>0.15436241610738244</v>
          </cell>
          <cell r="BB137">
            <v>1</v>
          </cell>
          <cell r="BC137">
            <v>0.80449612403100779</v>
          </cell>
          <cell r="BD137">
            <v>0.39996472663139349</v>
          </cell>
          <cell r="BE137">
            <v>0.57090797546012295</v>
          </cell>
          <cell r="BF137">
            <v>0.48870930232558174</v>
          </cell>
          <cell r="BG137">
            <v>0.13300000000000023</v>
          </cell>
          <cell r="BH137">
            <v>0.10000000000000009</v>
          </cell>
          <cell r="BI137">
            <v>0.2903222555367988</v>
          </cell>
        </row>
        <row r="138">
          <cell r="A138" t="str">
            <v>Net Other Expense (Income)</v>
          </cell>
          <cell r="U138">
            <v>-2.3054755043227626E-2</v>
          </cell>
          <cell r="V138">
            <v>-0.69902912621359226</v>
          </cell>
          <cell r="W138">
            <v>2.2307692307692308</v>
          </cell>
          <cell r="X138">
            <v>1.6052631578947372</v>
          </cell>
          <cell r="Y138">
            <v>-4.0697674418604612E-2</v>
          </cell>
          <cell r="Z138">
            <v>0.11799410029498492</v>
          </cell>
          <cell r="AA138">
            <v>0.87096774193548376</v>
          </cell>
          <cell r="AB138">
            <v>-0.64285714285714279</v>
          </cell>
          <cell r="AC138">
            <v>1.7777777777777777</v>
          </cell>
          <cell r="AD138">
            <v>-0.92727272727272725</v>
          </cell>
          <cell r="AE138">
            <v>-1.055408970976246E-2</v>
          </cell>
          <cell r="AF138">
            <v>0.5</v>
          </cell>
          <cell r="AG138">
            <v>-0.5</v>
          </cell>
          <cell r="AH138">
            <v>-0.82181818181818178</v>
          </cell>
          <cell r="AI138">
            <v>4.166666666666667</v>
          </cell>
          <cell r="AJ138">
            <v>-0.43199999999999994</v>
          </cell>
          <cell r="AK138">
            <v>-0.18390804597701149</v>
          </cell>
          <cell r="AL138">
            <v>1.7333333333333329</v>
          </cell>
          <cell r="AM138">
            <v>0.73469387755102034</v>
          </cell>
          <cell r="AN138">
            <v>1.9677419354838706</v>
          </cell>
          <cell r="AO138">
            <v>0.7887323943661968</v>
          </cell>
          <cell r="AP138">
            <v>-4.2253521126760507E-2</v>
          </cell>
          <cell r="AQ138">
            <v>-1.4390243902439024</v>
          </cell>
          <cell r="AR138">
            <v>-0.3647058823529411</v>
          </cell>
          <cell r="AS138">
            <v>-0.53804347826086951</v>
          </cell>
          <cell r="AT138">
            <v>-0.50393700787401574</v>
          </cell>
          <cell r="AU138">
            <v>2.9852941176470593</v>
          </cell>
          <cell r="AV138">
            <v>-2.4444444444444446</v>
          </cell>
          <cell r="AW138">
            <v>0.98148148148148118</v>
          </cell>
          <cell r="AX138">
            <v>0.8</v>
          </cell>
          <cell r="AY138">
            <v>1.9470899470899474</v>
          </cell>
          <cell r="AZ138">
            <v>-0.6346863468634687</v>
          </cell>
          <cell r="BA138">
            <v>3.115384615384615</v>
          </cell>
          <cell r="BB138">
            <v>0.11214953271028039</v>
          </cell>
          <cell r="BC138">
            <v>-0.22222222222222221</v>
          </cell>
          <cell r="BD138">
            <v>-0.20287253141831241</v>
          </cell>
          <cell r="BE138">
            <v>0.14999999999999991</v>
          </cell>
          <cell r="BF138">
            <v>0.14999999999999991</v>
          </cell>
          <cell r="BG138">
            <v>0.14999999999999991</v>
          </cell>
          <cell r="BH138">
            <v>0.14999999999999991</v>
          </cell>
          <cell r="BI138">
            <v>0.15000000000000013</v>
          </cell>
        </row>
        <row r="140">
          <cell r="A140" t="str">
            <v>Pretax Income</v>
          </cell>
          <cell r="U140">
            <v>0.23050422799874681</v>
          </cell>
          <cell r="V140">
            <v>0.10101010101010033</v>
          </cell>
          <cell r="W140">
            <v>0.10393873085339234</v>
          </cell>
          <cell r="X140">
            <v>-0.2138728323699427</v>
          </cell>
          <cell r="Y140">
            <v>-0.13789778206364645</v>
          </cell>
          <cell r="Z140">
            <v>-7.2283023670144053E-2</v>
          </cell>
          <cell r="AA140">
            <v>0.20795107033639271</v>
          </cell>
          <cell r="AB140">
            <v>0.39544103072348658</v>
          </cell>
          <cell r="AC140">
            <v>0.60569852941176783</v>
          </cell>
          <cell r="AD140">
            <v>0.64765100671141251</v>
          </cell>
          <cell r="AE140">
            <v>0.48641975308642138</v>
          </cell>
          <cell r="AF140">
            <v>0.12025316455696267</v>
          </cell>
          <cell r="AG140">
            <v>-0.1676136363636368</v>
          </cell>
          <cell r="AH140">
            <v>-0.28677733257012106</v>
          </cell>
          <cell r="AI140">
            <v>-0.30549898167006106</v>
          </cell>
          <cell r="AJ140">
            <v>-0.20155038759690003</v>
          </cell>
          <cell r="AK140">
            <v>0.13107344632768414</v>
          </cell>
          <cell r="AL140">
            <v>0.16296928327645199</v>
          </cell>
          <cell r="AM140">
            <v>5.2166934189406877E-2</v>
          </cell>
          <cell r="AN140">
            <v>0.17106549364613777</v>
          </cell>
          <cell r="AO140">
            <v>0.12644475265834365</v>
          </cell>
          <cell r="AP140">
            <v>0.43356643356643243</v>
          </cell>
          <cell r="AQ140">
            <v>0.38884812912692612</v>
          </cell>
          <cell r="AR140">
            <v>0.14492753623188315</v>
          </cell>
          <cell r="AS140">
            <v>0.22120200333889772</v>
          </cell>
          <cell r="AT140">
            <v>0.29119638826185135</v>
          </cell>
          <cell r="AU140">
            <v>-0.55052264808362439</v>
          </cell>
          <cell r="AV140">
            <v>-0.3750660327522457</v>
          </cell>
          <cell r="AW140">
            <v>7.9280479680213123E-2</v>
          </cell>
          <cell r="AX140">
            <v>-4.5112781954887993E-2</v>
          </cell>
          <cell r="AY140">
            <v>-0.22997457088366102</v>
          </cell>
          <cell r="AZ140">
            <v>0.72403100775194207</v>
          </cell>
          <cell r="BA140">
            <v>0.31445477599323857</v>
          </cell>
          <cell r="BB140">
            <v>-3.5185185185185874E-2</v>
          </cell>
          <cell r="BC140">
            <v>8.6995275590552534E-2</v>
          </cell>
          <cell r="BD140">
            <v>0.18648759545923488</v>
          </cell>
          <cell r="BE140">
            <v>0.27825935251798462</v>
          </cell>
          <cell r="BF140">
            <v>0.26363741157556153</v>
          </cell>
          <cell r="BG140">
            <v>0.23736990834932947</v>
          </cell>
          <cell r="BH140">
            <v>0.22465890383208098</v>
          </cell>
          <cell r="BI140">
            <v>0.2490273110694301</v>
          </cell>
        </row>
        <row r="142">
          <cell r="A142" t="str">
            <v>Provision For Income Taxes</v>
          </cell>
          <cell r="U142">
            <v>0.10723404255319169</v>
          </cell>
          <cell r="V142">
            <v>0.16369948186528505</v>
          </cell>
          <cell r="W142">
            <v>3.8922155688622784E-2</v>
          </cell>
          <cell r="X142">
            <v>-0.29166666666666652</v>
          </cell>
          <cell r="Y142">
            <v>-8.8435374149659851E-2</v>
          </cell>
          <cell r="Z142">
            <v>-9.331744811683329E-2</v>
          </cell>
          <cell r="AA142">
            <v>0.31793369368727564</v>
          </cell>
          <cell r="AB142">
            <v>0.53890489913544659</v>
          </cell>
          <cell r="AC142">
            <v>0.7932441176470606</v>
          </cell>
          <cell r="AD142">
            <v>0.97761194029850751</v>
          </cell>
          <cell r="AE142">
            <v>0.66981435985601867</v>
          </cell>
          <cell r="AF142">
            <v>-2.7027027027027084E-2</v>
          </cell>
          <cell r="AG142">
            <v>-0.32209737827715346</v>
          </cell>
          <cell r="AH142">
            <v>-0.41446901196156227</v>
          </cell>
          <cell r="AI142">
            <v>-0.47358490566037736</v>
          </cell>
          <cell r="AJ142">
            <v>-0.34710969115648405</v>
          </cell>
          <cell r="AK142">
            <v>0.16319444444444442</v>
          </cell>
          <cell r="AL142">
            <v>0.26243093922651939</v>
          </cell>
          <cell r="AM142">
            <v>0.22969187675070013</v>
          </cell>
          <cell r="AN142">
            <v>0.43727598566308257</v>
          </cell>
          <cell r="AO142">
            <v>0.26905132192846004</v>
          </cell>
          <cell r="AP142">
            <v>0.46268656716417911</v>
          </cell>
          <cell r="AQ142">
            <v>0.4048140043763675</v>
          </cell>
          <cell r="AR142">
            <v>9.339407744874717E-2</v>
          </cell>
          <cell r="AS142">
            <v>0.20448877805486276</v>
          </cell>
          <cell r="AT142">
            <v>0.28370098039215685</v>
          </cell>
          <cell r="AU142">
            <v>-0.57219387755102091</v>
          </cell>
          <cell r="AV142">
            <v>-0.40112928348909682</v>
          </cell>
          <cell r="AW142">
            <v>2.5000000000000133E-2</v>
          </cell>
          <cell r="AX142">
            <v>-0.18725258799171918</v>
          </cell>
          <cell r="AY142">
            <v>-0.29419713603818654</v>
          </cell>
          <cell r="AZ142">
            <v>0.61793679189028383</v>
          </cell>
          <cell r="BA142">
            <v>0.23284999024644049</v>
          </cell>
          <cell r="BB142">
            <v>-7.2365853658537649E-2</v>
          </cell>
          <cell r="BC142">
            <v>0.16049317678706654</v>
          </cell>
          <cell r="BD142">
            <v>0.16667741065034059</v>
          </cell>
          <cell r="BE142">
            <v>0.27825935251798484</v>
          </cell>
          <cell r="BF142">
            <v>0.26437053454641291</v>
          </cell>
          <cell r="BG142">
            <v>0.29245829467995033</v>
          </cell>
          <cell r="BH142">
            <v>0.24506988556261566</v>
          </cell>
          <cell r="BI142">
            <v>0.26943516559056513</v>
          </cell>
        </row>
        <row r="143">
          <cell r="A143" t="str">
            <v>Tax Rate</v>
          </cell>
          <cell r="U143">
            <v>-0.10017859560388342</v>
          </cell>
          <cell r="V143">
            <v>5.6938061510672489E-2</v>
          </cell>
          <cell r="W143">
            <v>-5.8895093855896197E-2</v>
          </cell>
          <cell r="X143">
            <v>-9.8958333333332482E-2</v>
          </cell>
          <cell r="Y143">
            <v>5.7374180097096161E-2</v>
          </cell>
          <cell r="Z143">
            <v>-2.2673320617569659E-2</v>
          </cell>
          <cell r="AA143">
            <v>9.1048905913262423E-2</v>
          </cell>
          <cell r="AB143">
            <v>0.10280897956510482</v>
          </cell>
          <cell r="AC143">
            <v>0.1167999999999989</v>
          </cell>
          <cell r="AD143">
            <v>0.20026142201416319</v>
          </cell>
          <cell r="AE143">
            <v>0.12338009259416416</v>
          </cell>
          <cell r="AF143">
            <v>-0.13147045350435238</v>
          </cell>
          <cell r="AG143">
            <v>-0.18559138960258659</v>
          </cell>
          <cell r="AH143">
            <v>-0.17903480248543191</v>
          </cell>
          <cell r="AI143">
            <v>-0.24202401372212712</v>
          </cell>
          <cell r="AJ143">
            <v>-0.18230242872996483</v>
          </cell>
          <cell r="AK143">
            <v>2.8398684648684114E-2</v>
          </cell>
          <cell r="AL143">
            <v>8.5523889048773727E-2</v>
          </cell>
          <cell r="AM143">
            <v>0.16872317195375408</v>
          </cell>
          <cell r="AN143">
            <v>0.22732331663884375</v>
          </cell>
          <cell r="AO143">
            <v>0.12659881359789149</v>
          </cell>
          <cell r="AP143">
            <v>2.0313068802330525E-2</v>
          </cell>
          <cell r="AQ143">
            <v>1.149576754621684E-2</v>
          </cell>
          <cell r="AR143">
            <v>-4.501023615235944E-2</v>
          </cell>
          <cell r="AS143">
            <v>-1.3685880991301413E-2</v>
          </cell>
          <cell r="AT143">
            <v>-5.8050099410396072E-3</v>
          </cell>
          <cell r="AU143">
            <v>-4.8214285714285432E-2</v>
          </cell>
          <cell r="AV143">
            <v>-4.1705607476635098E-2</v>
          </cell>
          <cell r="AW143">
            <v>-5.0293209876543066E-2</v>
          </cell>
          <cell r="AX143">
            <v>-0.14885507246376817</v>
          </cell>
          <cell r="AY143">
            <v>-8.3403174396754154E-2</v>
          </cell>
          <cell r="AZ143">
            <v>-6.1538461538461542E-2</v>
          </cell>
          <cell r="BA143">
            <v>-6.2082611921840614E-2</v>
          </cell>
          <cell r="BB143">
            <v>-3.8536585365854026E-2</v>
          </cell>
          <cell r="BC143">
            <v>6.7615658362989217E-2</v>
          </cell>
          <cell r="BD143">
            <v>-1.6696495508852549E-2</v>
          </cell>
          <cell r="BE143">
            <v>0</v>
          </cell>
          <cell r="BF143">
            <v>5.8016877637157016E-4</v>
          </cell>
          <cell r="BG143">
            <v>4.4520547945205546E-2</v>
          </cell>
          <cell r="BH143">
            <v>1.6666666666666607E-2</v>
          </cell>
          <cell r="BI143">
            <v>1.6338997826766288E-2</v>
          </cell>
        </row>
        <row r="144">
          <cell r="U144" t="str">
            <v xml:space="preserve">              </v>
          </cell>
          <cell r="V144" t="str">
            <v xml:space="preserve">              </v>
          </cell>
          <cell r="W144" t="str">
            <v xml:space="preserve">              </v>
          </cell>
          <cell r="X144" t="str">
            <v xml:space="preserve">              </v>
          </cell>
          <cell r="Y144" t="str">
            <v xml:space="preserve">              </v>
          </cell>
          <cell r="Z144" t="str">
            <v xml:space="preserve">              </v>
          </cell>
          <cell r="AA144" t="str">
            <v xml:space="preserve">              </v>
          </cell>
          <cell r="AB144" t="str">
            <v xml:space="preserve">              </v>
          </cell>
          <cell r="AC144" t="str">
            <v xml:space="preserve">              </v>
          </cell>
          <cell r="AD144" t="str">
            <v xml:space="preserve">              </v>
          </cell>
          <cell r="AE144" t="str">
            <v xml:space="preserve">              </v>
          </cell>
          <cell r="AF144" t="str">
            <v xml:space="preserve">              </v>
          </cell>
          <cell r="AG144" t="str">
            <v xml:space="preserve">              </v>
          </cell>
          <cell r="AH144" t="str">
            <v xml:space="preserve">              </v>
          </cell>
          <cell r="AI144" t="str">
            <v xml:space="preserve">              </v>
          </cell>
          <cell r="AJ144" t="str">
            <v xml:space="preserve">              </v>
          </cell>
          <cell r="AK144" t="str">
            <v xml:space="preserve">              </v>
          </cell>
          <cell r="AL144" t="str">
            <v xml:space="preserve">              </v>
          </cell>
          <cell r="AM144" t="str">
            <v xml:space="preserve">              </v>
          </cell>
          <cell r="AN144" t="str">
            <v xml:space="preserve">              </v>
          </cell>
          <cell r="AO144" t="str">
            <v xml:space="preserve">              </v>
          </cell>
          <cell r="AP144" t="str">
            <v xml:space="preserve">              </v>
          </cell>
          <cell r="AQ144" t="str">
            <v xml:space="preserve">              </v>
          </cell>
          <cell r="AR144" t="str">
            <v xml:space="preserve">              </v>
          </cell>
          <cell r="AS144" t="str">
            <v xml:space="preserve">              </v>
          </cell>
          <cell r="AT144" t="str">
            <v xml:space="preserve">              </v>
          </cell>
          <cell r="AU144" t="str">
            <v xml:space="preserve">              </v>
          </cell>
          <cell r="AV144" t="str">
            <v xml:space="preserve">              </v>
          </cell>
          <cell r="AW144" t="str">
            <v xml:space="preserve">              </v>
          </cell>
          <cell r="AX144" t="str">
            <v xml:space="preserve">              </v>
          </cell>
          <cell r="AY144" t="str">
            <v xml:space="preserve">              </v>
          </cell>
          <cell r="AZ144" t="str">
            <v xml:space="preserve">              </v>
          </cell>
          <cell r="BA144" t="str">
            <v xml:space="preserve">              </v>
          </cell>
          <cell r="BB144" t="str">
            <v xml:space="preserve">              </v>
          </cell>
          <cell r="BC144" t="str">
            <v xml:space="preserve">              </v>
          </cell>
          <cell r="BD144" t="str">
            <v xml:space="preserve">              </v>
          </cell>
          <cell r="BE144" t="str">
            <v xml:space="preserve">              </v>
          </cell>
          <cell r="BF144" t="str">
            <v xml:space="preserve">              </v>
          </cell>
          <cell r="BG144" t="str">
            <v xml:space="preserve">              </v>
          </cell>
          <cell r="BH144" t="str">
            <v xml:space="preserve">              </v>
          </cell>
          <cell r="BI144" t="str">
            <v xml:space="preserve">              </v>
          </cell>
        </row>
        <row r="145">
          <cell r="A145" t="str">
            <v>Income After Taxes</v>
          </cell>
          <cell r="U145">
            <v>0.30227948463825483</v>
          </cell>
          <cell r="V145">
            <v>7.0837905236906584E-2</v>
          </cell>
          <cell r="W145">
            <v>0.14137931034482842</v>
          </cell>
          <cell r="X145">
            <v>-0.17256637168141686</v>
          </cell>
          <cell r="Y145">
            <v>-0.1574697173620474</v>
          </cell>
          <cell r="Z145">
            <v>-6.1869863013697013E-2</v>
          </cell>
          <cell r="AA145">
            <v>0.15042640298458987</v>
          </cell>
          <cell r="AB145">
            <v>0.32024169184289741</v>
          </cell>
          <cell r="AC145">
            <v>0.52045053475936198</v>
          </cell>
          <cell r="AD145">
            <v>0.50638977635783156</v>
          </cell>
          <cell r="AE145">
            <v>0.39867307859233136</v>
          </cell>
          <cell r="AF145">
            <v>0.20850202429149922</v>
          </cell>
          <cell r="AG145">
            <v>-7.3226544622426282E-2</v>
          </cell>
          <cell r="AH145">
            <v>-0.21832203901003966</v>
          </cell>
          <cell r="AI145">
            <v>-0.21102863202545075</v>
          </cell>
          <cell r="AJ145">
            <v>-0.11840540417487377</v>
          </cell>
          <cell r="AK145">
            <v>0.11557788944723679</v>
          </cell>
          <cell r="AL145">
            <v>0.11851851851852069</v>
          </cell>
          <cell r="AM145">
            <v>-1.912260967378987E-2</v>
          </cell>
          <cell r="AN145">
            <v>7.1236559139783884E-2</v>
          </cell>
          <cell r="AO145">
            <v>6.6118421052629994E-2</v>
          </cell>
          <cell r="AP145">
            <v>0.4189189189189173</v>
          </cell>
          <cell r="AQ145">
            <v>0.38079470198675547</v>
          </cell>
          <cell r="AR145">
            <v>0.17087155963302614</v>
          </cell>
          <cell r="AS145">
            <v>0.229611041405269</v>
          </cell>
          <cell r="AT145">
            <v>0.29497068805924131</v>
          </cell>
          <cell r="AU145">
            <v>-0.53928571428571503</v>
          </cell>
          <cell r="AV145">
            <v>-0.36169064748201518</v>
          </cell>
          <cell r="AW145">
            <v>0.10479921645445622</v>
          </cell>
          <cell r="AX145">
            <v>2.494183673469319E-2</v>
          </cell>
          <cell r="AY145">
            <v>-0.19791684536573606</v>
          </cell>
          <cell r="AZ145">
            <v>0.77511340798162931</v>
          </cell>
          <cell r="BA145">
            <v>0.35374596913058576</v>
          </cell>
          <cell r="BB145">
            <v>-1.896808510638337E-2</v>
          </cell>
          <cell r="BC145">
            <v>5.8270782911525654E-2</v>
          </cell>
          <cell r="BD145">
            <v>0.19518916521578222</v>
          </cell>
          <cell r="BE145">
            <v>0.27825935251798484</v>
          </cell>
          <cell r="BF145">
            <v>0.26331594969935135</v>
          </cell>
          <cell r="BG145">
            <v>0.2146498394107117</v>
          </cell>
          <cell r="BH145">
            <v>0.2159113402332804</v>
          </cell>
          <cell r="BI145">
            <v>0.24027705887186679</v>
          </cell>
        </row>
        <row r="146">
          <cell r="A146" t="str">
            <v>Equity In Earnings Of Assoc. Cos.</v>
          </cell>
          <cell r="U146">
            <v>-0.27331943286071736</v>
          </cell>
          <cell r="V146">
            <v>-0.50344827586206897</v>
          </cell>
          <cell r="W146">
            <v>4.9808429118773923E-2</v>
          </cell>
          <cell r="X146">
            <v>0.12878214144036937</v>
          </cell>
          <cell r="Y146">
            <v>0.42021276595744617</v>
          </cell>
          <cell r="Z146">
            <v>6.2791952162884801E-2</v>
          </cell>
          <cell r="AA146">
            <v>-0.41666666666666674</v>
          </cell>
          <cell r="AB146">
            <v>-0.58394160583941601</v>
          </cell>
          <cell r="AC146">
            <v>-0.39297124600638966</v>
          </cell>
          <cell r="AD146">
            <v>-0.36704119850187233</v>
          </cell>
          <cell r="AE146">
            <v>-0.44384449244060464</v>
          </cell>
          <cell r="AF146">
            <v>2.4285714285714293</v>
          </cell>
          <cell r="AG146">
            <v>0.80701754385964941</v>
          </cell>
          <cell r="AH146">
            <v>-0.10526315789473706</v>
          </cell>
          <cell r="AI146">
            <v>-0.13017751479289952</v>
          </cell>
          <cell r="AJ146">
            <v>0.29514563106796121</v>
          </cell>
          <cell r="AK146">
            <v>-0.19444444444444453</v>
          </cell>
          <cell r="AL146">
            <v>9.2233009708737823E-2</v>
          </cell>
          <cell r="AM146">
            <v>0.43529411764705883</v>
          </cell>
          <cell r="AN146">
            <v>0.80952380952380976</v>
          </cell>
          <cell r="AO146">
            <v>0.27586206896551713</v>
          </cell>
          <cell r="AP146">
            <v>-0.41379310344827591</v>
          </cell>
          <cell r="AQ146">
            <v>7.5555555555555598E-2</v>
          </cell>
          <cell r="AR146">
            <v>0.27049180327868849</v>
          </cell>
          <cell r="AS146">
            <v>-0.35338345864661658</v>
          </cell>
          <cell r="AT146">
            <v>-6.9330199764982225E-2</v>
          </cell>
          <cell r="AU146">
            <v>3.0441176470588234</v>
          </cell>
          <cell r="AV146">
            <v>0.35123966942148765</v>
          </cell>
          <cell r="AW146">
            <v>-0.50645161290322571</v>
          </cell>
          <cell r="AX146">
            <v>0.15116279069767447</v>
          </cell>
          <cell r="AY146">
            <v>0.20328282828282829</v>
          </cell>
          <cell r="AZ146">
            <v>-0.21454545454545448</v>
          </cell>
          <cell r="BA146">
            <v>-4.8929663608562768E-2</v>
          </cell>
          <cell r="BB146">
            <v>1.1045751633986929</v>
          </cell>
          <cell r="BC146">
            <v>0.41414141414141414</v>
          </cell>
          <cell r="BD146">
            <v>0.18467995802728243</v>
          </cell>
          <cell r="BE146">
            <v>0.10000000000000009</v>
          </cell>
          <cell r="BF146">
            <v>9.9999999999999867E-2</v>
          </cell>
          <cell r="BG146">
            <v>0.10000000000000009</v>
          </cell>
          <cell r="BH146">
            <v>0.10000000000000009</v>
          </cell>
          <cell r="BI146">
            <v>0.10000000000000009</v>
          </cell>
        </row>
        <row r="147">
          <cell r="A147" t="str">
            <v>Minority Int. In Earnings Of Subs.</v>
          </cell>
          <cell r="U147">
            <v>0.72832369942196507</v>
          </cell>
          <cell r="V147">
            <v>0</v>
          </cell>
          <cell r="W147">
            <v>3.2222222222222223</v>
          </cell>
          <cell r="X147">
            <v>-0.21259842519685035</v>
          </cell>
          <cell r="Y147">
            <v>-0.46212121212121215</v>
          </cell>
          <cell r="Z147">
            <v>-0.19732441471571893</v>
          </cell>
          <cell r="AA147">
            <v>1.5483870967741935</v>
          </cell>
          <cell r="AB147">
            <v>1.6315789473684212</v>
          </cell>
          <cell r="AC147">
            <v>1.1100000000000003</v>
          </cell>
          <cell r="AD147">
            <v>0.647887323943662</v>
          </cell>
          <cell r="AE147">
            <v>1.1124999999999994</v>
          </cell>
          <cell r="AF147">
            <v>0.79746835443037956</v>
          </cell>
          <cell r="AG147">
            <v>0.78999999999999981</v>
          </cell>
          <cell r="AH147">
            <v>-0.13744075829383895</v>
          </cell>
          <cell r="AI147">
            <v>0.20512820512820507</v>
          </cell>
          <cell r="AJ147">
            <v>0.27021696252465488</v>
          </cell>
          <cell r="AK147">
            <v>-0.14084507042253525</v>
          </cell>
          <cell r="AL147">
            <v>-0.11731843575418988</v>
          </cell>
          <cell r="AM147">
            <v>-0.2857142857142857</v>
          </cell>
          <cell r="AN147">
            <v>-0.17730496453900713</v>
          </cell>
          <cell r="AO147">
            <v>-0.18322981366459612</v>
          </cell>
          <cell r="AP147">
            <v>2.4590163934426368E-2</v>
          </cell>
          <cell r="AQ147">
            <v>0.31645569620253156</v>
          </cell>
          <cell r="AR147">
            <v>0.7615384615384615</v>
          </cell>
          <cell r="AS147">
            <v>0.73275862068965525</v>
          </cell>
          <cell r="AT147">
            <v>0.4505703422053231</v>
          </cell>
          <cell r="AU147">
            <v>-0.56000000000000005</v>
          </cell>
          <cell r="AV147">
            <v>-0.21153846153846145</v>
          </cell>
          <cell r="AW147">
            <v>-0.11353711790393006</v>
          </cell>
          <cell r="AX147">
            <v>0.10945273631840791</v>
          </cell>
          <cell r="AY147">
            <v>-0.15465268676277844</v>
          </cell>
          <cell r="AZ147">
            <v>0.8363636363636362</v>
          </cell>
          <cell r="BA147">
            <v>6.0975609756097393E-2</v>
          </cell>
          <cell r="BB147">
            <v>-0.55172413793103448</v>
          </cell>
          <cell r="BC147">
            <v>-0.21524663677130051</v>
          </cell>
          <cell r="BD147">
            <v>-0.16124031007751938</v>
          </cell>
          <cell r="BE147">
            <v>0.14999999999999991</v>
          </cell>
          <cell r="BF147">
            <v>0.14999999999999991</v>
          </cell>
          <cell r="BG147">
            <v>0.14999999999999991</v>
          </cell>
          <cell r="BH147">
            <v>0.14999999999999991</v>
          </cell>
          <cell r="BI147">
            <v>0.14999999999999991</v>
          </cell>
        </row>
        <row r="148">
          <cell r="A148" t="str">
            <v>Inc. Before Extraordinary Credits</v>
          </cell>
          <cell r="U148">
            <v>5.1343626806833242E-2</v>
          </cell>
          <cell r="V148">
            <v>-8.6590291262136798E-2</v>
          </cell>
          <cell r="W148">
            <v>7.9326923076923572E-2</v>
          </cell>
          <cell r="X148">
            <v>-8.8486090164945908E-2</v>
          </cell>
          <cell r="Y148">
            <v>2.878598247809605E-2</v>
          </cell>
          <cell r="Z148">
            <v>-1.5274865715295238E-2</v>
          </cell>
          <cell r="AA148">
            <v>-2.8498786154937283E-2</v>
          </cell>
          <cell r="AB148">
            <v>-1.1135857461026188E-2</v>
          </cell>
          <cell r="AC148">
            <v>0.16159937565036686</v>
          </cell>
          <cell r="AD148">
            <v>0.21046228710462578</v>
          </cell>
          <cell r="AE148">
            <v>9.674761043166491E-2</v>
          </cell>
          <cell r="AF148">
            <v>0.31072210065645667</v>
          </cell>
          <cell r="AG148">
            <v>-5.7432432432433012E-2</v>
          </cell>
          <cell r="AH148">
            <v>-0.21436678590016911</v>
          </cell>
          <cell r="AI148">
            <v>-0.24623115577889443</v>
          </cell>
          <cell r="AJ148">
            <v>-0.1137914363262198</v>
          </cell>
          <cell r="AK148">
            <v>0.10183639398998379</v>
          </cell>
          <cell r="AL148">
            <v>0.16248506571087429</v>
          </cell>
          <cell r="AM148">
            <v>0.12428734321550849</v>
          </cell>
          <cell r="AN148">
            <v>0.26266666666666527</v>
          </cell>
          <cell r="AO148">
            <v>0.16421808684296235</v>
          </cell>
          <cell r="AP148">
            <v>0.34545454545454413</v>
          </cell>
          <cell r="AQ148">
            <v>0.32065775950668063</v>
          </cell>
          <cell r="AR148">
            <v>0.11764705882352811</v>
          </cell>
          <cell r="AS148">
            <v>4.2238648363246423E-3</v>
          </cell>
          <cell r="AT148">
            <v>0.18508132361189045</v>
          </cell>
          <cell r="AU148">
            <v>-0.26196509009009106</v>
          </cell>
          <cell r="AV148">
            <v>-0.25173151750972844</v>
          </cell>
          <cell r="AW148">
            <v>-2.1778584392014744E-2</v>
          </cell>
          <cell r="AX148">
            <v>2.9908517350156982E-2</v>
          </cell>
          <cell r="AY148">
            <v>-0.1305388073828665</v>
          </cell>
          <cell r="AZ148">
            <v>0.35470532138089128</v>
          </cell>
          <cell r="BA148">
            <v>0.26673773432828152</v>
          </cell>
          <cell r="BB148">
            <v>0.24082003710575139</v>
          </cell>
          <cell r="BC148">
            <v>0.19248662760364987</v>
          </cell>
          <cell r="BD148">
            <v>0.25503162878370111</v>
          </cell>
          <cell r="BE148">
            <v>0.24948184132276041</v>
          </cell>
          <cell r="BF148">
            <v>0.23780340034893199</v>
          </cell>
          <cell r="BG148">
            <v>0.19144856840384072</v>
          </cell>
          <cell r="BH148">
            <v>0.19799937098713816</v>
          </cell>
          <cell r="BI148">
            <v>0.21652450771080844</v>
          </cell>
        </row>
        <row r="149">
          <cell r="A149" t="str">
            <v>Extraordinary Credits</v>
          </cell>
        </row>
        <row r="151">
          <cell r="A151" t="str">
            <v>Net Income</v>
          </cell>
          <cell r="U151">
            <v>0.10463337547408336</v>
          </cell>
          <cell r="V151">
            <v>-0.3224489795918376</v>
          </cell>
          <cell r="W151">
            <v>7.5449101796407847E-2</v>
          </cell>
          <cell r="X151">
            <v>-1.4117647058823541</v>
          </cell>
          <cell r="Y151">
            <v>-0.10851788386873007</v>
          </cell>
          <cell r="Z151">
            <v>-0.48355679158583886</v>
          </cell>
          <cell r="AA151">
            <v>-8.232931726907522E-2</v>
          </cell>
          <cell r="AB151">
            <v>-1.1135857461026188E-2</v>
          </cell>
          <cell r="AC151">
            <v>-3.7028983050847417</v>
          </cell>
          <cell r="AD151">
            <v>0.21046228710462578</v>
          </cell>
          <cell r="AE151">
            <v>0.91484598337950884</v>
          </cell>
          <cell r="AF151">
            <v>0.31072210065645667</v>
          </cell>
          <cell r="AG151">
            <v>-5.7432432432433012E-2</v>
          </cell>
          <cell r="AH151">
            <v>-0.21436678590016911</v>
          </cell>
          <cell r="AI151">
            <v>-0.24623115577889443</v>
          </cell>
          <cell r="AJ151">
            <v>-0.1137914363262198</v>
          </cell>
          <cell r="AK151">
            <v>0.10183639398998379</v>
          </cell>
          <cell r="AL151">
            <v>0.16248506571087429</v>
          </cell>
          <cell r="AM151">
            <v>0.12428734321550849</v>
          </cell>
          <cell r="AN151">
            <v>0.26266666666666527</v>
          </cell>
          <cell r="AO151">
            <v>0.16421808684296235</v>
          </cell>
          <cell r="AP151">
            <v>0.34545454545454413</v>
          </cell>
          <cell r="AQ151">
            <v>0.32065775950668063</v>
          </cell>
          <cell r="AR151">
            <v>0.11764705882352811</v>
          </cell>
          <cell r="AS151">
            <v>4.2238648363246423E-3</v>
          </cell>
          <cell r="AT151">
            <v>0.18508132361189045</v>
          </cell>
          <cell r="AU151">
            <v>-0.26196509009009106</v>
          </cell>
          <cell r="AV151">
            <v>-0.25173151750972844</v>
          </cell>
          <cell r="AW151">
            <v>-2.1778584392014744E-2</v>
          </cell>
          <cell r="AX151">
            <v>2.9908517350156982E-2</v>
          </cell>
          <cell r="AY151">
            <v>-0.1305388073828665</v>
          </cell>
          <cell r="AZ151">
            <v>0.35470532138089128</v>
          </cell>
          <cell r="BA151">
            <v>0.26673773432828152</v>
          </cell>
          <cell r="BB151">
            <v>0.24082003710575139</v>
          </cell>
          <cell r="BC151">
            <v>0.19248662760364987</v>
          </cell>
          <cell r="BD151">
            <v>0.25503162878370111</v>
          </cell>
          <cell r="BE151">
            <v>0.24948184132276041</v>
          </cell>
          <cell r="BF151">
            <v>0.23780340034893199</v>
          </cell>
          <cell r="BG151">
            <v>0.19144856840384072</v>
          </cell>
          <cell r="BH151">
            <v>0.19799937098713816</v>
          </cell>
          <cell r="BI151">
            <v>0.21652450771080844</v>
          </cell>
        </row>
        <row r="153">
          <cell r="A153" t="str">
            <v>Dil. Avg. Shares Outstanding (Mil.)</v>
          </cell>
          <cell r="U153">
            <v>1.1681240276809168E-2</v>
          </cell>
          <cell r="V153">
            <v>5.0349264900733104E-3</v>
          </cell>
          <cell r="W153">
            <v>1.0338916277138344E-2</v>
          </cell>
          <cell r="X153">
            <v>2.3972201200209042E-2</v>
          </cell>
          <cell r="Y153">
            <v>3.3937960042061066E-2</v>
          </cell>
          <cell r="Z153">
            <v>1.8353549413402614E-2</v>
          </cell>
          <cell r="AA153">
            <v>6.6934905501181197E-2</v>
          </cell>
          <cell r="AB153">
            <v>8.6902453418767234E-2</v>
          </cell>
          <cell r="AC153">
            <v>0.11045010721795423</v>
          </cell>
          <cell r="AD153">
            <v>0.14366784470265181</v>
          </cell>
          <cell r="AE153">
            <v>0.10239457429428711</v>
          </cell>
          <cell r="AF153">
            <v>0.11503768688990479</v>
          </cell>
          <cell r="AG153">
            <v>9.7601179048616427E-2</v>
          </cell>
          <cell r="AH153">
            <v>6.4433122571512902E-2</v>
          </cell>
          <cell r="AI153">
            <v>1.0190833585288273E-2</v>
          </cell>
          <cell r="AJ153">
            <v>7.0196279405895234E-2</v>
          </cell>
          <cell r="AK153">
            <v>7.0921985815601829E-3</v>
          </cell>
          <cell r="AL153">
            <v>3.9752650176678728E-3</v>
          </cell>
          <cell r="AM153">
            <v>1.3210039630120463E-3</v>
          </cell>
          <cell r="AN153">
            <v>-5.7218309859153882E-3</v>
          </cell>
          <cell r="AO153">
            <v>2.3171135385633423E-3</v>
          </cell>
          <cell r="AP153">
            <v>-3.0809859154928843E-3</v>
          </cell>
          <cell r="AQ153">
            <v>2.1997360316761139E-3</v>
          </cell>
          <cell r="AR153">
            <v>5.7167985927879528E-3</v>
          </cell>
          <cell r="AS153">
            <v>1.4165559982292963E-2</v>
          </cell>
          <cell r="AT153">
            <v>4.0730955526200319E-3</v>
          </cell>
          <cell r="AU153">
            <v>-4.3978627209206755E-2</v>
          </cell>
          <cell r="AV153">
            <v>-4.8413344182262064E-2</v>
          </cell>
          <cell r="AW153">
            <v>-1.8638573743922193E-2</v>
          </cell>
          <cell r="AX153">
            <v>-6.9246435845213838E-3</v>
          </cell>
          <cell r="AY153">
            <v>-2.9447727735887441E-2</v>
          </cell>
          <cell r="AZ153">
            <v>5.4170249355116162E-2</v>
          </cell>
          <cell r="BA153">
            <v>5.8144506199230506E-2</v>
          </cell>
          <cell r="BB153">
            <v>2.5185796862097432E-2</v>
          </cell>
          <cell r="BC153">
            <v>1.9278096800656286E-2</v>
          </cell>
          <cell r="BD153">
            <v>3.8845144356955297E-2</v>
          </cell>
          <cell r="BE153">
            <v>1.4477977161500899E-2</v>
          </cell>
          <cell r="BF153">
            <v>5.8585858585857853E-3</v>
          </cell>
          <cell r="BG153">
            <v>3.4232782923881988E-3</v>
          </cell>
          <cell r="BH153">
            <v>3.4205231388328983E-3</v>
          </cell>
          <cell r="BI153">
            <v>6.7710965133904732E-3</v>
          </cell>
        </row>
        <row r="155">
          <cell r="A155" t="str">
            <v>Dil. Earnings Per Share</v>
          </cell>
          <cell r="U155">
            <v>9.3613769816592418E-2</v>
          </cell>
          <cell r="V155">
            <v>-0.32711904469249786</v>
          </cell>
          <cell r="W155">
            <v>6.4893766957214716E-2</v>
          </cell>
          <cell r="X155">
            <v>-1.4090322714423091</v>
          </cell>
          <cell r="Y155">
            <v>-0.13835211714099593</v>
          </cell>
          <cell r="Z155">
            <v>-0.4954521914610347</v>
          </cell>
          <cell r="AA155">
            <v>9.0106824995132895E-2</v>
          </cell>
          <cell r="AB155">
            <v>0.14350953092456264</v>
          </cell>
          <cell r="AC155" t="str">
            <v>NM</v>
          </cell>
          <cell r="AD155">
            <v>-0.69361819305242634</v>
          </cell>
          <cell r="AE155">
            <v>0.42612818864247526</v>
          </cell>
          <cell r="AF155">
            <v>0.57032760392731263</v>
          </cell>
          <cell r="AG155">
            <v>-3.4449538036042249</v>
          </cell>
          <cell r="AH155">
            <v>-0.23647665053177536</v>
          </cell>
          <cell r="AI155">
            <v>1.9046306932401782</v>
          </cell>
          <cell r="AJ155">
            <v>-1.1692205750687759</v>
          </cell>
          <cell r="AK155">
            <v>-0.29753312729504344</v>
          </cell>
          <cell r="AL155" t="str">
            <v>NM</v>
          </cell>
          <cell r="AM155">
            <v>-1.3184949197691502</v>
          </cell>
          <cell r="AN155">
            <v>0.27650633445055606</v>
          </cell>
          <cell r="AO155" t="str">
            <v>NM</v>
          </cell>
          <cell r="AP155">
            <v>0.25425488133328655</v>
          </cell>
          <cell r="AQ155">
            <v>9.494215370179715E-2</v>
          </cell>
          <cell r="AR155" t="str">
            <v>NM</v>
          </cell>
          <cell r="AS155">
            <v>-3.420565804145792E-2</v>
          </cell>
          <cell r="AT155">
            <v>0.56583708470687255</v>
          </cell>
          <cell r="AU155">
            <v>-0.25850020452726341</v>
          </cell>
          <cell r="AV155">
            <v>-0.24555518530836462</v>
          </cell>
          <cell r="AW155">
            <v>-3.1996475142412883E-3</v>
          </cell>
          <cell r="AX155">
            <v>3.7089995937094056E-2</v>
          </cell>
          <cell r="AY155">
            <v>-0.12224875654741196</v>
          </cell>
          <cell r="AZ155">
            <v>0.33792678776709395</v>
          </cell>
          <cell r="BA155">
            <v>0.24773787405898084</v>
          </cell>
          <cell r="BB155">
            <v>0.21033674179223905</v>
          </cell>
          <cell r="BC155">
            <v>0.16993255456647827</v>
          </cell>
          <cell r="BD155">
            <v>0.23300169931183223</v>
          </cell>
          <cell r="BE155">
            <v>0.2316500401702144</v>
          </cell>
          <cell r="BF155">
            <v>0.23059386055979392</v>
          </cell>
          <cell r="BG155">
            <v>0.18738382313736168</v>
          </cell>
          <cell r="BH155">
            <v>0.19391555520474801</v>
          </cell>
          <cell r="BI155">
            <v>0.20834270264991517</v>
          </cell>
        </row>
        <row r="158">
          <cell r="A158" t="str">
            <v>Source:  Corning Inc. financial statements; Salomon Smith Barney estimates.</v>
          </cell>
        </row>
      </sheetData>
      <sheetData sheetId="7" refreshError="1">
        <row r="6">
          <cell r="B6" t="str">
            <v>1H</v>
          </cell>
          <cell r="H6">
            <v>72.9375</v>
          </cell>
        </row>
        <row r="49">
          <cell r="R49">
            <v>15198.621875000001</v>
          </cell>
        </row>
        <row r="60">
          <cell r="F60">
            <v>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Index"/>
      <sheetName val="Sum"/>
      <sheetName val="LTM"/>
      <sheetName val="P&amp;L"/>
      <sheetName val="BS"/>
      <sheetName val="CF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>
        <row r="6">
          <cell r="C6" t="str">
            <v>Company Name</v>
          </cell>
        </row>
        <row r="12">
          <cell r="D12" t="str">
            <v>(Dollars in millions, Except per Share Data)</v>
          </cell>
        </row>
        <row r="13">
          <cell r="C13">
            <v>1997</v>
          </cell>
        </row>
        <row r="17">
          <cell r="D17" t="str">
            <v>Projected Fiscal Year Ending December 31,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etrics"/>
      <sheetName val="IS"/>
      <sheetName val="BS"/>
      <sheetName val="CF"/>
      <sheetName val="DCF"/>
      <sheetName val="ReOI"/>
      <sheetName val="D&amp;A Table"/>
      <sheetName val="Analysis"/>
      <sheetName val="Re-Stmts"/>
      <sheetName val="IS%"/>
      <sheetName val="BS%"/>
      <sheetName val="Tre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Q@" TargetMode="External"/><Relationship Id="rId1" Type="http://schemas.openxmlformats.org/officeDocument/2006/relationships/hyperlink" Target="https://needham.bluematrix.com/sellside/Preference.action?exceltoolkit&amp;from=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4.25"/>
  <sheetData>
    <row r="1" spans="1:2">
      <c r="B1" t="s">
        <v>202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60"/>
  <sheetViews>
    <sheetView zoomScale="60" zoomScaleNormal="60" workbookViewId="0">
      <pane xSplit="3" ySplit="18" topLeftCell="H19" activePane="bottomRight" state="frozen"/>
      <selection pane="topRight" activeCell="D1" sqref="D1"/>
      <selection pane="bottomLeft" activeCell="A19" sqref="A19"/>
      <selection pane="bottomRight" activeCell="BA19" sqref="BA19"/>
    </sheetView>
  </sheetViews>
  <sheetFormatPr defaultColWidth="16.265625" defaultRowHeight="15.4" outlineLevelCol="1"/>
  <cols>
    <col min="1" max="1" width="57" style="21" customWidth="1"/>
    <col min="2" max="2" width="19.265625" style="21" bestFit="1" customWidth="1"/>
    <col min="3" max="3" width="26.3984375" style="68" customWidth="1"/>
    <col min="4" max="7" width="12.73046875" style="22" hidden="1" customWidth="1" outlineLevel="1"/>
    <col min="8" max="8" width="10.59765625" style="22" hidden="1" customWidth="1" collapsed="1"/>
    <col min="9" max="12" width="10.59765625" style="22" hidden="1" customWidth="1" outlineLevel="1"/>
    <col min="13" max="13" width="10.59765625" style="22" hidden="1" customWidth="1" collapsed="1"/>
    <col min="14" max="17" width="10.59765625" style="22" hidden="1" customWidth="1" outlineLevel="1"/>
    <col min="18" max="18" width="10.59765625" style="22" hidden="1" customWidth="1" collapsed="1"/>
    <col min="19" max="22" width="10.59765625" style="22" hidden="1" customWidth="1" outlineLevel="1"/>
    <col min="23" max="23" width="10.59765625" style="22" hidden="1" customWidth="1" collapsed="1"/>
    <col min="24" max="27" width="10.59765625" style="22" hidden="1" customWidth="1" outlineLevel="1"/>
    <col min="28" max="28" width="10.59765625" style="22" hidden="1" customWidth="1" collapsed="1"/>
    <col min="29" max="32" width="10.59765625" style="22" hidden="1" customWidth="1" outlineLevel="1"/>
    <col min="33" max="33" width="10.59765625" style="22" hidden="1" customWidth="1" collapsed="1"/>
    <col min="34" max="37" width="10.59765625" style="22" hidden="1" customWidth="1" outlineLevel="1"/>
    <col min="38" max="38" width="10.59765625" style="22" hidden="1" customWidth="1" collapsed="1"/>
    <col min="39" max="42" width="10.59765625" style="22" hidden="1" customWidth="1" outlineLevel="1"/>
    <col min="43" max="43" width="10.59765625" style="22" hidden="1" customWidth="1" collapsed="1"/>
    <col min="44" max="47" width="10.59765625" style="22" hidden="1" customWidth="1" outlineLevel="1"/>
    <col min="48" max="48" width="10.59765625" style="22" hidden="1" customWidth="1" collapsed="1"/>
    <col min="49" max="52" width="10.59765625" style="22" hidden="1" customWidth="1" outlineLevel="1"/>
    <col min="53" max="53" width="10.59765625" style="22" customWidth="1" collapsed="1"/>
    <col min="54" max="57" width="10.59765625" style="22" hidden="1" customWidth="1" outlineLevel="1"/>
    <col min="58" max="58" width="10.59765625" style="22" customWidth="1" collapsed="1"/>
    <col min="59" max="62" width="10.59765625" style="22" customWidth="1" outlineLevel="1"/>
    <col min="63" max="63" width="10.59765625" style="22" customWidth="1"/>
    <col min="64" max="65" width="10.59765625" customWidth="1" outlineLevel="1"/>
    <col min="66" max="67" width="10.59765625" style="22" customWidth="1" outlineLevel="1"/>
    <col min="68" max="68" width="10.59765625" style="22" customWidth="1"/>
    <col min="69" max="70" width="10.59765625" customWidth="1" outlineLevel="1"/>
    <col min="71" max="72" width="10.59765625" style="22" customWidth="1" outlineLevel="1"/>
    <col min="73" max="82" width="10.59765625" style="22" customWidth="1"/>
    <col min="83" max="231" width="16.265625" style="22"/>
    <col min="232" max="232" width="57.265625" style="22" customWidth="1"/>
    <col min="233" max="233" width="62.3984375" style="22" customWidth="1"/>
    <col min="234" max="234" width="13.73046875" style="22" customWidth="1"/>
    <col min="235" max="235" width="12.73046875" style="22" customWidth="1"/>
    <col min="236" max="239" width="0" style="22" hidden="1" customWidth="1"/>
    <col min="240" max="240" width="12.73046875" style="22" bestFit="1" customWidth="1"/>
    <col min="241" max="244" width="0" style="22" hidden="1" customWidth="1"/>
    <col min="245" max="245" width="13.265625" style="22" bestFit="1" customWidth="1"/>
    <col min="246" max="249" width="0" style="22" hidden="1" customWidth="1"/>
    <col min="250" max="250" width="13.265625" style="22" bestFit="1" customWidth="1"/>
    <col min="251" max="254" width="11.73046875" style="22" bestFit="1" customWidth="1"/>
    <col min="255" max="255" width="14.3984375" style="22" bestFit="1" customWidth="1"/>
    <col min="256" max="16384" width="16.265625" style="22"/>
  </cols>
  <sheetData>
    <row r="1" spans="1:100" s="10" customFormat="1">
      <c r="A1" s="8" t="s">
        <v>14</v>
      </c>
      <c r="B1" s="9"/>
      <c r="CV1" s="11" t="s">
        <v>15</v>
      </c>
    </row>
    <row r="2" spans="1:100" s="10" customFormat="1">
      <c r="A2" s="8" t="s">
        <v>16</v>
      </c>
      <c r="B2" s="9"/>
      <c r="CV2" s="11" t="s">
        <v>17</v>
      </c>
    </row>
    <row r="3" spans="1:100" s="10" customFormat="1">
      <c r="A3" s="8" t="s">
        <v>18</v>
      </c>
      <c r="B3" s="9"/>
      <c r="CV3" s="11" t="s">
        <v>19</v>
      </c>
    </row>
    <row r="4" spans="1:100" s="10" customFormat="1" ht="21">
      <c r="A4" s="13" t="s">
        <v>20</v>
      </c>
      <c r="B4" s="9"/>
      <c r="C4" s="14"/>
      <c r="CV4" s="11" t="s">
        <v>21</v>
      </c>
    </row>
    <row r="5" spans="1:100" s="9" customFormat="1" ht="18.75" customHeight="1">
      <c r="A5" s="13"/>
      <c r="C5" s="14"/>
      <c r="D5" s="10"/>
      <c r="E5" s="10"/>
      <c r="F5" s="10"/>
      <c r="G5" s="10"/>
      <c r="H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BW5" s="15" t="s">
        <v>22</v>
      </c>
      <c r="BX5" s="15"/>
      <c r="BY5" s="15"/>
      <c r="BZ5" s="15"/>
      <c r="CA5" s="15"/>
      <c r="CB5" s="15"/>
      <c r="CC5" s="15"/>
      <c r="CD5" s="15"/>
      <c r="CG5" s="15"/>
      <c r="CH5" s="15"/>
      <c r="CI5" s="15"/>
      <c r="CV5" s="11" t="s">
        <v>23</v>
      </c>
    </row>
    <row r="6" spans="1:100" s="10" customFormat="1" ht="18" customHeight="1">
      <c r="A6" s="13"/>
      <c r="B6" s="9"/>
      <c r="C6" s="14"/>
      <c r="BW6" s="15" t="s">
        <v>24</v>
      </c>
      <c r="BX6" s="15"/>
      <c r="BY6" s="15"/>
      <c r="BZ6" s="15"/>
      <c r="CA6" s="15"/>
      <c r="CB6" s="15"/>
      <c r="CC6" s="15"/>
      <c r="CD6" s="15"/>
      <c r="CG6" s="15"/>
      <c r="CH6" s="15"/>
      <c r="CI6" s="15"/>
      <c r="CV6" s="11" t="s">
        <v>25</v>
      </c>
    </row>
    <row r="7" spans="1:100" s="10" customFormat="1" ht="17.25" customHeight="1">
      <c r="A7" s="13"/>
      <c r="B7" s="9"/>
      <c r="C7" s="14"/>
      <c r="BW7" s="15" t="s">
        <v>26</v>
      </c>
      <c r="BX7" s="15"/>
      <c r="BY7" s="15"/>
      <c r="BZ7" s="15"/>
      <c r="CA7" s="15"/>
      <c r="CB7" s="15"/>
      <c r="CC7" s="15"/>
      <c r="CD7" s="15"/>
      <c r="CG7" s="15"/>
      <c r="CH7" s="15"/>
      <c r="CI7" s="15"/>
      <c r="CV7" s="11" t="s">
        <v>27</v>
      </c>
    </row>
    <row r="8" spans="1:100" s="10" customFormat="1" ht="4.5" customHeight="1">
      <c r="A8" s="13"/>
      <c r="B8" s="9"/>
      <c r="C8" s="14"/>
      <c r="BW8" s="15" t="s">
        <v>28</v>
      </c>
      <c r="BX8" s="15"/>
      <c r="BY8" s="15"/>
      <c r="BZ8" s="15"/>
      <c r="CA8" s="15"/>
      <c r="CB8" s="15"/>
      <c r="CC8" s="15"/>
      <c r="CD8" s="15"/>
      <c r="CG8" s="15"/>
      <c r="CH8" s="15"/>
      <c r="CI8" s="15"/>
      <c r="CV8" s="11" t="s">
        <v>29</v>
      </c>
    </row>
    <row r="9" spans="1:100" s="10" customFormat="1" ht="17.649999999999999">
      <c r="A9" s="16" t="s">
        <v>30</v>
      </c>
      <c r="B9" s="17"/>
      <c r="C9" s="18" t="s">
        <v>153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BW9" s="15" t="s">
        <v>31</v>
      </c>
      <c r="BX9" s="15"/>
      <c r="BY9" s="15"/>
      <c r="BZ9" s="15"/>
      <c r="CA9" s="15"/>
      <c r="CB9" s="15"/>
      <c r="CC9" s="15"/>
      <c r="CD9" s="15"/>
      <c r="CG9" s="15"/>
      <c r="CH9" s="15"/>
      <c r="CI9" s="15"/>
      <c r="CV9" s="11" t="s">
        <v>32</v>
      </c>
    </row>
    <row r="10" spans="1:100" s="10" customFormat="1" ht="13.5" customHeight="1">
      <c r="A10" s="10" t="s">
        <v>33</v>
      </c>
      <c r="B10" s="19" t="s">
        <v>34</v>
      </c>
      <c r="C10" s="18" t="s">
        <v>26</v>
      </c>
      <c r="D10" s="72" t="e">
        <f ca="1">_xll.BLUEMATRIX2("/servlet/excelData",C10, $C$14,$B10)</f>
        <v>#NAME?</v>
      </c>
      <c r="BW10" s="15" t="s">
        <v>35</v>
      </c>
      <c r="BX10" s="15"/>
      <c r="BY10" s="15"/>
      <c r="BZ10" s="15"/>
      <c r="CA10" s="15"/>
      <c r="CB10" s="15"/>
      <c r="CC10" s="15"/>
      <c r="CD10" s="15"/>
      <c r="CG10" s="15"/>
      <c r="CH10" s="15"/>
      <c r="CI10" s="15"/>
      <c r="CV10" s="11" t="s">
        <v>36</v>
      </c>
    </row>
    <row r="11" spans="1:100" s="10" customFormat="1" ht="13.5" customHeight="1">
      <c r="A11" s="10" t="s">
        <v>37</v>
      </c>
      <c r="B11" s="19"/>
      <c r="C11" s="18" t="s">
        <v>38</v>
      </c>
      <c r="BW11" s="15" t="s">
        <v>39</v>
      </c>
      <c r="BX11" s="15"/>
      <c r="BY11" s="15"/>
      <c r="BZ11" s="15"/>
      <c r="CA11" s="15"/>
      <c r="CB11" s="15"/>
      <c r="CC11" s="15"/>
      <c r="CD11" s="15"/>
      <c r="CG11" s="15"/>
      <c r="CH11" s="15"/>
      <c r="CI11" s="15"/>
      <c r="CV11" s="11" t="s">
        <v>40</v>
      </c>
    </row>
    <row r="12" spans="1:100" s="21" customFormat="1">
      <c r="A12" s="10"/>
      <c r="B12" s="19"/>
      <c r="C12" s="2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BW12" s="73" t="s">
        <v>41</v>
      </c>
      <c r="BX12" s="73"/>
      <c r="BY12" s="73"/>
      <c r="BZ12" s="73"/>
      <c r="CA12" s="73"/>
      <c r="CB12" s="73"/>
      <c r="CC12" s="73"/>
      <c r="CD12" s="73"/>
      <c r="CG12" s="73"/>
      <c r="CH12" s="73"/>
      <c r="CI12" s="73"/>
      <c r="CV12" s="11" t="s">
        <v>42</v>
      </c>
    </row>
    <row r="13" spans="1:100" s="21" customFormat="1">
      <c r="A13" s="10" t="s">
        <v>43</v>
      </c>
      <c r="B13" s="19" t="s">
        <v>44</v>
      </c>
      <c r="C13" s="23" t="s">
        <v>340</v>
      </c>
      <c r="D13" s="72" t="e">
        <f ca="1">_xll.BLUEMATRIX2("/servlet/excelData",C13, $C$14,$B13)</f>
        <v>#NAME?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CV13" s="11" t="s">
        <v>45</v>
      </c>
    </row>
    <row r="14" spans="1:100" s="27" customFormat="1">
      <c r="A14" s="10" t="s">
        <v>46</v>
      </c>
      <c r="B14" s="24"/>
      <c r="C14" s="25" t="s">
        <v>205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26"/>
      <c r="Y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 t="s">
        <v>48</v>
      </c>
      <c r="BX14" s="26"/>
      <c r="BY14" s="26"/>
      <c r="BZ14" s="26"/>
      <c r="CA14" s="26"/>
      <c r="CB14" s="26"/>
      <c r="CC14" s="26"/>
      <c r="CD14" s="26"/>
      <c r="CE14" s="26"/>
      <c r="CG14" s="26"/>
      <c r="CH14" s="26"/>
      <c r="CI14" s="26"/>
      <c r="CJ14" s="26"/>
      <c r="CV14" s="11" t="s">
        <v>49</v>
      </c>
    </row>
    <row r="15" spans="1:100" s="21" customFormat="1">
      <c r="A15" s="27"/>
      <c r="B15" s="28"/>
      <c r="C15" s="7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K15" s="26"/>
      <c r="BL15" s="824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 t="s">
        <v>47</v>
      </c>
      <c r="BX15" s="26"/>
      <c r="BY15" s="26"/>
      <c r="BZ15" s="26"/>
      <c r="CA15" s="26"/>
      <c r="CB15" s="26"/>
      <c r="CC15" s="26"/>
      <c r="CD15" s="26"/>
      <c r="CE15" s="26"/>
      <c r="CG15" s="26"/>
      <c r="CH15" s="26"/>
      <c r="CI15" s="26"/>
      <c r="CJ15" s="26"/>
      <c r="CV15" s="11" t="s">
        <v>50</v>
      </c>
    </row>
    <row r="16" spans="1:100">
      <c r="B16" s="29"/>
      <c r="C16" s="75"/>
      <c r="D16" s="30">
        <f>$B$17-3</f>
        <v>2014</v>
      </c>
      <c r="E16" s="30">
        <f>$B$17-3</f>
        <v>2014</v>
      </c>
      <c r="F16" s="30">
        <f>$B$17-3</f>
        <v>2014</v>
      </c>
      <c r="G16" s="30">
        <f>$B$17-3</f>
        <v>2014</v>
      </c>
      <c r="H16" s="30">
        <f>$B$17-3</f>
        <v>2014</v>
      </c>
      <c r="I16" s="31">
        <f>$B$17-2</f>
        <v>2015</v>
      </c>
      <c r="J16" s="30">
        <f>$B$17-2</f>
        <v>2015</v>
      </c>
      <c r="K16" s="30">
        <f>$B$17-2</f>
        <v>2015</v>
      </c>
      <c r="L16" s="30">
        <f>$B$17-2</f>
        <v>2015</v>
      </c>
      <c r="M16" s="30">
        <f>$B$17-2</f>
        <v>2015</v>
      </c>
      <c r="N16" s="31">
        <f>$B$17-1</f>
        <v>2016</v>
      </c>
      <c r="O16" s="30">
        <f>$B$17-1</f>
        <v>2016</v>
      </c>
      <c r="P16" s="30">
        <f>$B$17-1</f>
        <v>2016</v>
      </c>
      <c r="Q16" s="30">
        <f>$B$17-1</f>
        <v>2016</v>
      </c>
      <c r="R16" s="30">
        <f>$B$17-1</f>
        <v>2016</v>
      </c>
      <c r="S16" s="31">
        <f>$B$17-0</f>
        <v>2017</v>
      </c>
      <c r="T16" s="30">
        <f>$B$17-0</f>
        <v>2017</v>
      </c>
      <c r="U16" s="30">
        <f>$B$17-0</f>
        <v>2017</v>
      </c>
      <c r="V16" s="30">
        <f>$B$17-0</f>
        <v>2017</v>
      </c>
      <c r="W16" s="30">
        <f>$B$17-0</f>
        <v>2017</v>
      </c>
      <c r="X16" s="31">
        <f>$B$17+1</f>
        <v>2018</v>
      </c>
      <c r="Y16" s="30">
        <f>$B$17+1</f>
        <v>2018</v>
      </c>
      <c r="Z16" s="30">
        <f>$B$17+1</f>
        <v>2018</v>
      </c>
      <c r="AA16" s="30">
        <f>$B$17+1</f>
        <v>2018</v>
      </c>
      <c r="AB16" s="30">
        <f>$B$17+1</f>
        <v>2018</v>
      </c>
      <c r="AC16" s="31">
        <f>$B$17+2</f>
        <v>2019</v>
      </c>
      <c r="AD16" s="30">
        <f>$B$17+2</f>
        <v>2019</v>
      </c>
      <c r="AE16" s="30">
        <f>$B$17+2</f>
        <v>2019</v>
      </c>
      <c r="AF16" s="30">
        <f>$B$17+2</f>
        <v>2019</v>
      </c>
      <c r="AG16" s="30">
        <f>$B$17+2</f>
        <v>2019</v>
      </c>
      <c r="AH16" s="31">
        <f>$B$17+3</f>
        <v>2020</v>
      </c>
      <c r="AI16" s="30">
        <f>$B$17+3</f>
        <v>2020</v>
      </c>
      <c r="AJ16" s="30">
        <f>$B$17+3</f>
        <v>2020</v>
      </c>
      <c r="AK16" s="30">
        <f>$B$17+3</f>
        <v>2020</v>
      </c>
      <c r="AL16" s="30">
        <f>$B$17+3</f>
        <v>2020</v>
      </c>
      <c r="AM16" s="30">
        <f>$B$17+4</f>
        <v>2021</v>
      </c>
      <c r="AN16" s="30">
        <f>$B$17+4</f>
        <v>2021</v>
      </c>
      <c r="AO16" s="30">
        <f>$B$17+4</f>
        <v>2021</v>
      </c>
      <c r="AP16" s="30">
        <f>$B$17+4</f>
        <v>2021</v>
      </c>
      <c r="AQ16" s="30">
        <f>$B$17+4</f>
        <v>2021</v>
      </c>
      <c r="AR16" s="30">
        <f>$B$17+5</f>
        <v>2022</v>
      </c>
      <c r="AS16" s="30">
        <f>$B$17+5</f>
        <v>2022</v>
      </c>
      <c r="AT16" s="30">
        <f>$B$17+5</f>
        <v>2022</v>
      </c>
      <c r="AU16" s="30">
        <f>$B$17+5</f>
        <v>2022</v>
      </c>
      <c r="AV16" s="30">
        <f>$B$17+5</f>
        <v>2022</v>
      </c>
      <c r="AW16" s="30">
        <f>$B$17+6</f>
        <v>2023</v>
      </c>
      <c r="AX16" s="30">
        <f>$B$17+6</f>
        <v>2023</v>
      </c>
      <c r="AY16" s="30">
        <f>$B$17+6</f>
        <v>2023</v>
      </c>
      <c r="AZ16" s="30">
        <f>$B$17+6</f>
        <v>2023</v>
      </c>
      <c r="BA16" s="30">
        <f>$B$17+6</f>
        <v>2023</v>
      </c>
      <c r="BB16" s="30">
        <f>$B$17+7</f>
        <v>2024</v>
      </c>
      <c r="BC16" s="30">
        <f>$B$17+7</f>
        <v>2024</v>
      </c>
      <c r="BD16" s="30">
        <f>$B$17+7</f>
        <v>2024</v>
      </c>
      <c r="BE16" s="30">
        <f>$B$17+7</f>
        <v>2024</v>
      </c>
      <c r="BF16" s="30">
        <f>$B$17+7</f>
        <v>2024</v>
      </c>
      <c r="BG16" s="30">
        <f t="shared" ref="BG16:BP16" si="0">BB16+1</f>
        <v>2025</v>
      </c>
      <c r="BH16" s="30">
        <f t="shared" si="0"/>
        <v>2025</v>
      </c>
      <c r="BI16" s="30">
        <f t="shared" si="0"/>
        <v>2025</v>
      </c>
      <c r="BJ16" s="30">
        <f t="shared" si="0"/>
        <v>2025</v>
      </c>
      <c r="BK16" s="30">
        <f t="shared" si="0"/>
        <v>2025</v>
      </c>
      <c r="BL16" s="30">
        <f t="shared" si="0"/>
        <v>2026</v>
      </c>
      <c r="BM16" s="30">
        <f t="shared" si="0"/>
        <v>2026</v>
      </c>
      <c r="BN16" s="30">
        <f t="shared" si="0"/>
        <v>2026</v>
      </c>
      <c r="BO16" s="30">
        <f t="shared" si="0"/>
        <v>2026</v>
      </c>
      <c r="BP16" s="30">
        <f t="shared" si="0"/>
        <v>2026</v>
      </c>
      <c r="BQ16" s="30">
        <f t="shared" ref="BQ16" si="1">BL16+1</f>
        <v>2027</v>
      </c>
      <c r="BR16" s="30">
        <f t="shared" ref="BR16" si="2">BM16+1</f>
        <v>2027</v>
      </c>
      <c r="BS16" s="30">
        <f t="shared" ref="BS16" si="3">BN16+1</f>
        <v>2027</v>
      </c>
      <c r="BT16" s="30">
        <f t="shared" ref="BT16" si="4">BO16+1</f>
        <v>2027</v>
      </c>
      <c r="BU16" s="30">
        <f t="shared" ref="BU16" si="5">BP16+1</f>
        <v>2027</v>
      </c>
      <c r="BX16" s="11" t="s">
        <v>51</v>
      </c>
    </row>
    <row r="17" spans="1:76" ht="31.5" customHeight="1">
      <c r="A17" s="32" t="s">
        <v>52</v>
      </c>
      <c r="B17" s="33">
        <v>2017</v>
      </c>
      <c r="C17" s="75"/>
      <c r="D17" s="34" t="s">
        <v>48</v>
      </c>
      <c r="E17" s="34" t="s">
        <v>48</v>
      </c>
      <c r="F17" s="34" t="s">
        <v>48</v>
      </c>
      <c r="G17" s="34" t="s">
        <v>48</v>
      </c>
      <c r="H17" s="34" t="s">
        <v>48</v>
      </c>
      <c r="I17" s="96" t="s">
        <v>48</v>
      </c>
      <c r="J17" s="96" t="s">
        <v>48</v>
      </c>
      <c r="K17" s="96" t="s">
        <v>48</v>
      </c>
      <c r="L17" s="96" t="s">
        <v>48</v>
      </c>
      <c r="M17" s="97" t="s">
        <v>48</v>
      </c>
      <c r="N17" s="96" t="s">
        <v>48</v>
      </c>
      <c r="O17" s="97" t="s">
        <v>48</v>
      </c>
      <c r="P17" s="97" t="s">
        <v>48</v>
      </c>
      <c r="Q17" s="97" t="s">
        <v>48</v>
      </c>
      <c r="R17" s="97" t="s">
        <v>48</v>
      </c>
      <c r="S17" s="35" t="s">
        <v>48</v>
      </c>
      <c r="T17" s="34" t="s">
        <v>48</v>
      </c>
      <c r="U17" s="34" t="s">
        <v>48</v>
      </c>
      <c r="V17" s="34" t="s">
        <v>48</v>
      </c>
      <c r="W17" s="34" t="s">
        <v>48</v>
      </c>
      <c r="X17" s="35" t="s">
        <v>48</v>
      </c>
      <c r="Y17" s="34" t="s">
        <v>48</v>
      </c>
      <c r="Z17" s="34" t="s">
        <v>48</v>
      </c>
      <c r="AA17" s="34" t="s">
        <v>48</v>
      </c>
      <c r="AB17" s="34" t="s">
        <v>48</v>
      </c>
      <c r="AC17" s="35" t="s">
        <v>48</v>
      </c>
      <c r="AD17" s="34" t="s">
        <v>48</v>
      </c>
      <c r="AE17" s="34" t="s">
        <v>48</v>
      </c>
      <c r="AF17" s="34" t="s">
        <v>48</v>
      </c>
      <c r="AG17" s="34" t="str">
        <f>+AF17</f>
        <v>A</v>
      </c>
      <c r="AH17" s="35" t="s">
        <v>48</v>
      </c>
      <c r="AI17" s="34" t="s">
        <v>48</v>
      </c>
      <c r="AJ17" s="669" t="s">
        <v>48</v>
      </c>
      <c r="AK17" s="34" t="s">
        <v>48</v>
      </c>
      <c r="AL17" s="34" t="str">
        <f>+AK17</f>
        <v>A</v>
      </c>
      <c r="AM17" s="35" t="s">
        <v>48</v>
      </c>
      <c r="AN17" s="34" t="s">
        <v>48</v>
      </c>
      <c r="AO17" s="34" t="s">
        <v>48</v>
      </c>
      <c r="AP17" s="34" t="s">
        <v>48</v>
      </c>
      <c r="AQ17" s="34" t="str">
        <f>+AP17</f>
        <v>A</v>
      </c>
      <c r="AR17" s="35" t="s">
        <v>48</v>
      </c>
      <c r="AS17" s="34" t="s">
        <v>48</v>
      </c>
      <c r="AT17" s="34" t="s">
        <v>48</v>
      </c>
      <c r="AU17" s="34" t="s">
        <v>48</v>
      </c>
      <c r="AV17" s="34" t="str">
        <f>+AU17</f>
        <v>A</v>
      </c>
      <c r="AW17" s="35" t="s">
        <v>48</v>
      </c>
      <c r="AX17" s="34" t="s">
        <v>48</v>
      </c>
      <c r="AY17" s="34" t="s">
        <v>48</v>
      </c>
      <c r="AZ17" s="34" t="s">
        <v>48</v>
      </c>
      <c r="BA17" s="34" t="str">
        <f>+AZ17</f>
        <v>A</v>
      </c>
      <c r="BB17" s="35" t="s">
        <v>48</v>
      </c>
      <c r="BC17" s="34" t="s">
        <v>48</v>
      </c>
      <c r="BD17" s="34" t="s">
        <v>48</v>
      </c>
      <c r="BE17" s="34" t="s">
        <v>48</v>
      </c>
      <c r="BF17" s="34" t="str">
        <f>+BE17</f>
        <v>A</v>
      </c>
      <c r="BG17" s="35" t="s">
        <v>48</v>
      </c>
      <c r="BH17" s="34" t="s">
        <v>48</v>
      </c>
      <c r="BI17" s="34" t="s">
        <v>48</v>
      </c>
      <c r="BJ17" s="34" t="s">
        <v>48</v>
      </c>
      <c r="BK17" s="34" t="str">
        <f>+BJ17</f>
        <v>A</v>
      </c>
      <c r="BL17" s="35" t="s">
        <v>47</v>
      </c>
      <c r="BM17" s="34" t="s">
        <v>47</v>
      </c>
      <c r="BN17" s="34" t="s">
        <v>47</v>
      </c>
      <c r="BO17" s="34" t="s">
        <v>47</v>
      </c>
      <c r="BP17" s="34" t="str">
        <f>+BO17</f>
        <v>E</v>
      </c>
      <c r="BQ17" s="35" t="s">
        <v>47</v>
      </c>
      <c r="BR17" s="34" t="s">
        <v>47</v>
      </c>
      <c r="BS17" s="34" t="s">
        <v>47</v>
      </c>
      <c r="BT17" s="34" t="s">
        <v>47</v>
      </c>
      <c r="BU17" s="34" t="str">
        <f>+BT17</f>
        <v>E</v>
      </c>
      <c r="BX17" s="11" t="s">
        <v>53</v>
      </c>
    </row>
    <row r="18" spans="1:76" s="38" customFormat="1" ht="30.75">
      <c r="A18" s="32" t="s">
        <v>54</v>
      </c>
      <c r="B18" s="95" t="s">
        <v>58</v>
      </c>
      <c r="C18" s="75"/>
      <c r="D18" s="36" t="str">
        <f>D16&amp;D19</f>
        <v>2014Q1</v>
      </c>
      <c r="E18" s="36" t="str">
        <f>E16&amp;E19</f>
        <v>2014Q2</v>
      </c>
      <c r="F18" s="36" t="str">
        <f>F16&amp;F19</f>
        <v>2014Q3</v>
      </c>
      <c r="G18" s="36" t="str">
        <f>G16&amp;G19</f>
        <v>2014Q4</v>
      </c>
      <c r="H18" s="36">
        <f>H16</f>
        <v>2014</v>
      </c>
      <c r="I18" s="37" t="str">
        <f>I16&amp;I19&amp;I17</f>
        <v>2015Q1A</v>
      </c>
      <c r="J18" s="36" t="str">
        <f>J16&amp;J19&amp;J17</f>
        <v>2015Q2A</v>
      </c>
      <c r="K18" s="36" t="str">
        <f>K16&amp;K19&amp;K17</f>
        <v>2015Q3A</v>
      </c>
      <c r="L18" s="36" t="str">
        <f>L16&amp;L19&amp;L17</f>
        <v>2015Q4A</v>
      </c>
      <c r="M18" s="36" t="str">
        <f>M16&amp;M17</f>
        <v>2015A</v>
      </c>
      <c r="N18" s="37" t="str">
        <f>N16&amp;N19&amp;N17</f>
        <v>2016Q1A</v>
      </c>
      <c r="O18" s="36" t="str">
        <f>O16&amp;O19&amp;O17</f>
        <v>2016Q2A</v>
      </c>
      <c r="P18" s="36" t="str">
        <f>P16&amp;P19&amp;P17</f>
        <v>2016Q3A</v>
      </c>
      <c r="Q18" s="36" t="str">
        <f>Q16&amp;Q19&amp;Q17</f>
        <v>2016Q4A</v>
      </c>
      <c r="R18" s="36" t="str">
        <f>R16&amp;R17</f>
        <v>2016A</v>
      </c>
      <c r="S18" s="37" t="str">
        <f>S16&amp;S19&amp;S17</f>
        <v>2017Q1A</v>
      </c>
      <c r="T18" s="36" t="str">
        <f>T16&amp;T19&amp;T17</f>
        <v>2017Q2A</v>
      </c>
      <c r="U18" s="36" t="str">
        <f>U16&amp;U19&amp;U17</f>
        <v>2017Q3A</v>
      </c>
      <c r="V18" s="36" t="str">
        <f>V16&amp;V19&amp;V17</f>
        <v>2017Q4A</v>
      </c>
      <c r="W18" s="36" t="str">
        <f>W16&amp;W17</f>
        <v>2017A</v>
      </c>
      <c r="X18" s="37" t="str">
        <f>X16&amp;X19&amp;X17</f>
        <v>2018Q1A</v>
      </c>
      <c r="Y18" s="36" t="str">
        <f>Y16&amp;Y19&amp;Y17</f>
        <v>2018Q2A</v>
      </c>
      <c r="Z18" s="36" t="str">
        <f>Z16&amp;Z19&amp;Z17</f>
        <v>2018Q3A</v>
      </c>
      <c r="AA18" s="36" t="str">
        <f>AA16&amp;AA19&amp;AA17</f>
        <v>2018Q4A</v>
      </c>
      <c r="AB18" s="36" t="str">
        <f>AB16&amp;AB17</f>
        <v>2018A</v>
      </c>
      <c r="AC18" s="37" t="str">
        <f>AC16&amp;AC19&amp;AC17</f>
        <v>2019Q1A</v>
      </c>
      <c r="AD18" s="36" t="str">
        <f>AD16&amp;AD19&amp;AD17</f>
        <v>2019Q2A</v>
      </c>
      <c r="AE18" s="36" t="str">
        <f>AE16&amp;AE19&amp;AE17</f>
        <v>2019Q3A</v>
      </c>
      <c r="AF18" s="36" t="str">
        <f>AF16&amp;AF19&amp;AF17</f>
        <v>2019Q4A</v>
      </c>
      <c r="AG18" s="36" t="str">
        <f>AG16&amp;AG17</f>
        <v>2019A</v>
      </c>
      <c r="AH18" s="37" t="str">
        <f>AH16&amp;AH19&amp;AH17</f>
        <v>2020Q1A</v>
      </c>
      <c r="AI18" s="36" t="str">
        <f>AI16&amp;AI19&amp;AI17</f>
        <v>2020Q2A</v>
      </c>
      <c r="AJ18" s="36" t="str">
        <f>AJ16&amp;AJ19&amp;AJ17</f>
        <v>2020Q3A</v>
      </c>
      <c r="AK18" s="36" t="str">
        <f>AK16&amp;AK19&amp;AK17</f>
        <v>2020Q4A</v>
      </c>
      <c r="AL18" s="36" t="str">
        <f>AL16&amp;AL17</f>
        <v>2020A</v>
      </c>
      <c r="AM18" s="37" t="str">
        <f>AM16&amp;AM19&amp;AM17</f>
        <v>2021Q1A</v>
      </c>
      <c r="AN18" s="36" t="str">
        <f>AN16&amp;AN19&amp;AN17</f>
        <v>2021Q2A</v>
      </c>
      <c r="AO18" s="36" t="str">
        <f>AO16&amp;AO19&amp;AO17</f>
        <v>2021Q3A</v>
      </c>
      <c r="AP18" s="36" t="str">
        <f>AP16&amp;AP19&amp;AP17</f>
        <v>2021Q4A</v>
      </c>
      <c r="AQ18" s="36" t="str">
        <f>AQ16&amp;AQ17</f>
        <v>2021A</v>
      </c>
      <c r="AR18" s="37" t="str">
        <f>AR16&amp;AR19&amp;AR17</f>
        <v>2022Q1A</v>
      </c>
      <c r="AS18" s="36" t="str">
        <f>AS16&amp;AS19&amp;AS17</f>
        <v>2022Q2A</v>
      </c>
      <c r="AT18" s="36" t="str">
        <f>AT16&amp;AT19&amp;AT17</f>
        <v>2022Q3A</v>
      </c>
      <c r="AU18" s="36" t="str">
        <f>AU16&amp;AU19&amp;AU17</f>
        <v>2022Q4A</v>
      </c>
      <c r="AV18" s="36" t="str">
        <f>AV16&amp;AV17</f>
        <v>2022A</v>
      </c>
      <c r="AW18" s="37" t="str">
        <f>AW16&amp;AW19&amp;AW17</f>
        <v>2023Q1A</v>
      </c>
      <c r="AX18" s="36" t="str">
        <f>AX16&amp;AX19&amp;AX17</f>
        <v>2023Q2A</v>
      </c>
      <c r="AY18" s="36" t="str">
        <f>AY16&amp;AY19&amp;AY17</f>
        <v>2023Q3A</v>
      </c>
      <c r="AZ18" s="36" t="str">
        <f>AZ16&amp;AZ19&amp;AZ17</f>
        <v>2023Q4A</v>
      </c>
      <c r="BA18" s="36" t="str">
        <f>BA16&amp;BA17</f>
        <v>2023A</v>
      </c>
      <c r="BB18" s="37" t="str">
        <f>BB16&amp;BB19&amp;BB17</f>
        <v>2024Q1A</v>
      </c>
      <c r="BC18" s="36" t="str">
        <f>BC16&amp;BC19&amp;BC17</f>
        <v>2024Q2A</v>
      </c>
      <c r="BD18" s="36" t="str">
        <f>BD16&amp;BD19&amp;BD17</f>
        <v>2024Q3A</v>
      </c>
      <c r="BE18" s="36" t="str">
        <f>BE16&amp;BE19&amp;BE17</f>
        <v>2024Q4A</v>
      </c>
      <c r="BF18" s="36" t="str">
        <f>BF16&amp;BF17</f>
        <v>2024A</v>
      </c>
      <c r="BG18" s="37" t="str">
        <f>BG16&amp;BG19&amp;BG17</f>
        <v>2025Q1A</v>
      </c>
      <c r="BH18" s="36" t="str">
        <f>BH16&amp;BH19&amp;BH17</f>
        <v>2025Q2A</v>
      </c>
      <c r="BI18" s="36" t="str">
        <f>BI16&amp;BI19&amp;BI17</f>
        <v>2025Q3A</v>
      </c>
      <c r="BJ18" s="36" t="str">
        <f>BJ16&amp;BJ19&amp;BJ17</f>
        <v>2025Q4A</v>
      </c>
      <c r="BK18" s="36" t="str">
        <f>BK16&amp;BK17</f>
        <v>2025A</v>
      </c>
      <c r="BL18" s="37" t="str">
        <f>BL16&amp;BL19&amp;BL17</f>
        <v>2026Q1E</v>
      </c>
      <c r="BM18" s="36" t="str">
        <f>BM16&amp;BM19&amp;BM17</f>
        <v>2026Q2E</v>
      </c>
      <c r="BN18" s="36" t="str">
        <f>BN16&amp;BN19&amp;BN17</f>
        <v>2026Q3E</v>
      </c>
      <c r="BO18" s="36" t="str">
        <f>BO16&amp;BO19&amp;BO17</f>
        <v>2026Q4E</v>
      </c>
      <c r="BP18" s="36" t="str">
        <f>BP16&amp;BP17</f>
        <v>2026E</v>
      </c>
      <c r="BQ18" s="37" t="str">
        <f>BQ16&amp;BQ19&amp;BQ17</f>
        <v>2027Q1E</v>
      </c>
      <c r="BR18" s="36" t="str">
        <f>BR16&amp;BR19&amp;BR17</f>
        <v>2027Q2E</v>
      </c>
      <c r="BS18" s="36" t="str">
        <f>BS16&amp;BS19&amp;BS17</f>
        <v>2027Q3E</v>
      </c>
      <c r="BT18" s="36" t="str">
        <f>BT16&amp;BT19&amp;BT17</f>
        <v>2027Q4E</v>
      </c>
      <c r="BU18" s="36" t="str">
        <f>BU16&amp;BU17</f>
        <v>2027E</v>
      </c>
      <c r="BX18" s="11" t="s">
        <v>56</v>
      </c>
    </row>
    <row r="19" spans="1:76" s="43" customFormat="1" ht="16.5" customHeight="1">
      <c r="A19" s="39"/>
      <c r="B19" s="40"/>
      <c r="C19" s="76"/>
      <c r="D19" s="41" t="s">
        <v>57</v>
      </c>
      <c r="E19" s="41" t="s">
        <v>55</v>
      </c>
      <c r="F19" s="41" t="s">
        <v>58</v>
      </c>
      <c r="G19" s="41" t="s">
        <v>59</v>
      </c>
      <c r="H19" s="41" t="s">
        <v>60</v>
      </c>
      <c r="I19" s="42" t="s">
        <v>57</v>
      </c>
      <c r="J19" s="41" t="s">
        <v>55</v>
      </c>
      <c r="K19" s="41" t="s">
        <v>58</v>
      </c>
      <c r="L19" s="41" t="s">
        <v>59</v>
      </c>
      <c r="M19" s="41" t="s">
        <v>60</v>
      </c>
      <c r="N19" s="42" t="s">
        <v>57</v>
      </c>
      <c r="O19" s="41" t="s">
        <v>55</v>
      </c>
      <c r="P19" s="41" t="s">
        <v>58</v>
      </c>
      <c r="Q19" s="41" t="s">
        <v>59</v>
      </c>
      <c r="R19" s="41" t="s">
        <v>60</v>
      </c>
      <c r="S19" s="42" t="s">
        <v>57</v>
      </c>
      <c r="T19" s="41" t="s">
        <v>55</v>
      </c>
      <c r="U19" s="41" t="s">
        <v>58</v>
      </c>
      <c r="V19" s="41" t="s">
        <v>59</v>
      </c>
      <c r="W19" s="41" t="s">
        <v>60</v>
      </c>
      <c r="X19" s="42" t="s">
        <v>57</v>
      </c>
      <c r="Y19" s="41" t="s">
        <v>55</v>
      </c>
      <c r="Z19" s="41" t="s">
        <v>58</v>
      </c>
      <c r="AA19" s="41" t="s">
        <v>59</v>
      </c>
      <c r="AB19" s="41" t="s">
        <v>60</v>
      </c>
      <c r="AC19" s="42" t="s">
        <v>57</v>
      </c>
      <c r="AD19" s="41" t="s">
        <v>55</v>
      </c>
      <c r="AE19" s="41" t="s">
        <v>58</v>
      </c>
      <c r="AF19" s="41" t="s">
        <v>59</v>
      </c>
      <c r="AG19" s="41" t="s">
        <v>60</v>
      </c>
      <c r="AH19" s="42" t="s">
        <v>57</v>
      </c>
      <c r="AI19" s="41" t="s">
        <v>55</v>
      </c>
      <c r="AJ19" s="41" t="s">
        <v>58</v>
      </c>
      <c r="AK19" s="41" t="s">
        <v>59</v>
      </c>
      <c r="AL19" s="41" t="s">
        <v>60</v>
      </c>
      <c r="AM19" s="42" t="s">
        <v>57</v>
      </c>
      <c r="AN19" s="41" t="s">
        <v>55</v>
      </c>
      <c r="AO19" s="41" t="s">
        <v>58</v>
      </c>
      <c r="AP19" s="41" t="s">
        <v>59</v>
      </c>
      <c r="AQ19" s="41" t="s">
        <v>60</v>
      </c>
      <c r="AR19" s="42" t="s">
        <v>57</v>
      </c>
      <c r="AS19" s="41" t="s">
        <v>55</v>
      </c>
      <c r="AT19" s="41" t="s">
        <v>58</v>
      </c>
      <c r="AU19" s="41" t="s">
        <v>59</v>
      </c>
      <c r="AV19" s="41" t="s">
        <v>60</v>
      </c>
      <c r="AW19" s="42" t="s">
        <v>57</v>
      </c>
      <c r="AX19" s="41" t="s">
        <v>55</v>
      </c>
      <c r="AY19" s="41" t="s">
        <v>58</v>
      </c>
      <c r="AZ19" s="41" t="s">
        <v>59</v>
      </c>
      <c r="BA19" s="41" t="s">
        <v>60</v>
      </c>
      <c r="BB19" s="42" t="s">
        <v>57</v>
      </c>
      <c r="BC19" s="41" t="s">
        <v>55</v>
      </c>
      <c r="BD19" s="41" t="s">
        <v>58</v>
      </c>
      <c r="BE19" s="41" t="s">
        <v>59</v>
      </c>
      <c r="BF19" s="41" t="s">
        <v>60</v>
      </c>
      <c r="BG19" s="42" t="s">
        <v>57</v>
      </c>
      <c r="BH19" s="41" t="s">
        <v>55</v>
      </c>
      <c r="BI19" s="41" t="s">
        <v>58</v>
      </c>
      <c r="BJ19" s="41" t="s">
        <v>59</v>
      </c>
      <c r="BK19" s="41" t="s">
        <v>60</v>
      </c>
      <c r="BL19" s="42" t="s">
        <v>57</v>
      </c>
      <c r="BM19" s="41" t="s">
        <v>55</v>
      </c>
      <c r="BN19" s="41" t="s">
        <v>58</v>
      </c>
      <c r="BO19" s="41" t="s">
        <v>59</v>
      </c>
      <c r="BP19" s="41" t="s">
        <v>60</v>
      </c>
      <c r="BQ19" s="42" t="s">
        <v>57</v>
      </c>
      <c r="BR19" s="41" t="s">
        <v>55</v>
      </c>
      <c r="BS19" s="41" t="s">
        <v>58</v>
      </c>
      <c r="BT19" s="41" t="s">
        <v>59</v>
      </c>
      <c r="BU19" s="41" t="s">
        <v>60</v>
      </c>
      <c r="BX19" s="11" t="s">
        <v>61</v>
      </c>
    </row>
    <row r="20" spans="1:76" ht="16.5" customHeight="1">
      <c r="A20" s="44" t="s">
        <v>62</v>
      </c>
      <c r="B20" s="45"/>
      <c r="C20" s="46"/>
      <c r="D20" s="77" t="str">
        <f>($B$45&amp;"/"&amp;31&amp;"/"&amp;(D16+$D$45))</f>
        <v>3/31/2014</v>
      </c>
      <c r="E20" s="78" t="str">
        <f>$B$46&amp;"/"&amp;31&amp;"/"&amp;(E16+$D$46)</f>
        <v>6/31/2014</v>
      </c>
      <c r="F20" s="78" t="str">
        <f>$B$47&amp;"/"&amp;31&amp;"/"&amp;(F16+$D$47)</f>
        <v>9/31/2014</v>
      </c>
      <c r="G20" s="78" t="str">
        <f>$B$48&amp;"/"&amp;31&amp;"/"&amp;(G16+$D$48)</f>
        <v>12/31/2014</v>
      </c>
      <c r="H20" s="79" t="str">
        <f>G20</f>
        <v>12/31/2014</v>
      </c>
      <c r="I20" s="77" t="str">
        <f>($B$45&amp;"/"&amp;31&amp;"/"&amp;(I16+$D$45))</f>
        <v>3/31/2015</v>
      </c>
      <c r="J20" s="78" t="str">
        <f>$B$46&amp;"/"&amp;31&amp;"/"&amp;(J16+$D$46)</f>
        <v>6/31/2015</v>
      </c>
      <c r="K20" s="78" t="str">
        <f>$B$47&amp;"/"&amp;31&amp;"/"&amp;(K16+$D$47)</f>
        <v>9/31/2015</v>
      </c>
      <c r="L20" s="78" t="str">
        <f>$B$48&amp;"/"&amp;31&amp;"/"&amp;(L16+$D$48)</f>
        <v>12/31/2015</v>
      </c>
      <c r="M20" s="79" t="str">
        <f>L20</f>
        <v>12/31/2015</v>
      </c>
      <c r="N20" s="77" t="str">
        <f>($B$45&amp;"/"&amp;31&amp;"/"&amp;(N16+$D$45))</f>
        <v>3/31/2016</v>
      </c>
      <c r="O20" s="78" t="str">
        <f>$B$46&amp;"/"&amp;31&amp;"/"&amp;(O16+$D$46)</f>
        <v>6/31/2016</v>
      </c>
      <c r="P20" s="78" t="str">
        <f>$B$47&amp;"/"&amp;31&amp;"/"&amp;(P16+$D$47)</f>
        <v>9/31/2016</v>
      </c>
      <c r="Q20" s="78" t="str">
        <f>$B$48&amp;"/"&amp;31&amp;"/"&amp;(Q16+$D$48)</f>
        <v>12/31/2016</v>
      </c>
      <c r="R20" s="79" t="str">
        <f>Q20</f>
        <v>12/31/2016</v>
      </c>
      <c r="S20" s="77" t="str">
        <f>($B$45&amp;"/"&amp;31&amp;"/"&amp;(S16+$D$45))</f>
        <v>3/31/2017</v>
      </c>
      <c r="T20" s="78" t="str">
        <f>$B$46&amp;"/"&amp;31&amp;"/"&amp;(T16+$D$46)</f>
        <v>6/31/2017</v>
      </c>
      <c r="U20" s="78" t="str">
        <f>$B$47&amp;"/"&amp;31&amp;"/"&amp;(U16+$D$47)</f>
        <v>9/31/2017</v>
      </c>
      <c r="V20" s="78" t="str">
        <f>$B$48&amp;"/"&amp;31&amp;"/"&amp;(V16+$D$48)</f>
        <v>12/31/2017</v>
      </c>
      <c r="W20" s="79" t="str">
        <f>V20</f>
        <v>12/31/2017</v>
      </c>
      <c r="X20" s="77" t="str">
        <f>($B$45&amp;"/"&amp;31&amp;"/"&amp;(X16+$D$45))</f>
        <v>3/31/2018</v>
      </c>
      <c r="Y20" s="78" t="str">
        <f>$B$46&amp;"/"&amp;31&amp;"/"&amp;(Y16+$D$46)</f>
        <v>6/31/2018</v>
      </c>
      <c r="Z20" s="78" t="str">
        <f>$B$47&amp;"/"&amp;31&amp;"/"&amp;(Z16+$D$47)</f>
        <v>9/31/2018</v>
      </c>
      <c r="AA20" s="78" t="str">
        <f>$B$48&amp;"/"&amp;31&amp;"/"&amp;(AA16+$D$48)</f>
        <v>12/31/2018</v>
      </c>
      <c r="AB20" s="79" t="str">
        <f>AA20</f>
        <v>12/31/2018</v>
      </c>
      <c r="AC20" s="77" t="str">
        <f>($B$45&amp;"/"&amp;31&amp;"/"&amp;(AC16+$D$45))</f>
        <v>3/31/2019</v>
      </c>
      <c r="AD20" s="78" t="str">
        <f>$B$46&amp;"/"&amp;31&amp;"/"&amp;(AD16+$D$46)</f>
        <v>6/31/2019</v>
      </c>
      <c r="AE20" s="78" t="str">
        <f>$B$47&amp;"/"&amp;31&amp;"/"&amp;(AE16+$D$47)</f>
        <v>9/31/2019</v>
      </c>
      <c r="AF20" s="78" t="str">
        <f>$B$48&amp;"/"&amp;31&amp;"/"&amp;(AF16+$D$48)</f>
        <v>12/31/2019</v>
      </c>
      <c r="AG20" s="79" t="str">
        <f>AF20</f>
        <v>12/31/2019</v>
      </c>
      <c r="AH20" s="77" t="str">
        <f>($B$45&amp;"/"&amp;31&amp;"/"&amp;(AH16+$D$45))</f>
        <v>3/31/2020</v>
      </c>
      <c r="AI20" s="78" t="str">
        <f>$B$46&amp;"/"&amp;31&amp;"/"&amp;(AI16+$D$46)</f>
        <v>6/31/2020</v>
      </c>
      <c r="AJ20" s="78" t="str">
        <f>$B$47&amp;"/"&amp;31&amp;"/"&amp;(AJ16+$D$47)</f>
        <v>9/31/2020</v>
      </c>
      <c r="AK20" s="78" t="str">
        <f>$B$48&amp;"/"&amp;31&amp;"/"&amp;(AK16+$D$48)</f>
        <v>12/31/2020</v>
      </c>
      <c r="AL20" s="79" t="str">
        <f>AK20</f>
        <v>12/31/2020</v>
      </c>
      <c r="AM20" s="77" t="str">
        <f>($B$45&amp;"/"&amp;31&amp;"/"&amp;(AM16+$D$45))</f>
        <v>3/31/2021</v>
      </c>
      <c r="AN20" s="78" t="str">
        <f>$B$46&amp;"/"&amp;31&amp;"/"&amp;(AN16+$D$46)</f>
        <v>6/31/2021</v>
      </c>
      <c r="AO20" s="78" t="str">
        <f>$B$47&amp;"/"&amp;31&amp;"/"&amp;(AO16+$D$47)</f>
        <v>9/31/2021</v>
      </c>
      <c r="AP20" s="78" t="str">
        <f>$B$48&amp;"/"&amp;31&amp;"/"&amp;(AP16+$D$48)</f>
        <v>12/31/2021</v>
      </c>
      <c r="AQ20" s="79" t="str">
        <f>AP20</f>
        <v>12/31/2021</v>
      </c>
      <c r="AR20" s="77" t="str">
        <f>($B$45&amp;"/"&amp;31&amp;"/"&amp;(AR16+$D$45))</f>
        <v>3/31/2022</v>
      </c>
      <c r="AS20" s="78" t="str">
        <f>$B$46&amp;"/"&amp;31&amp;"/"&amp;(AS16+$D$46)</f>
        <v>6/31/2022</v>
      </c>
      <c r="AT20" s="78" t="str">
        <f>$B$47&amp;"/"&amp;31&amp;"/"&amp;(AT16+$D$47)</f>
        <v>9/31/2022</v>
      </c>
      <c r="AU20" s="78" t="str">
        <f>$B$48&amp;"/"&amp;31&amp;"/"&amp;(AU16+$D$48)</f>
        <v>12/31/2022</v>
      </c>
      <c r="AV20" s="79" t="str">
        <f>AU20</f>
        <v>12/31/2022</v>
      </c>
      <c r="AW20" s="77" t="str">
        <f>($B$45&amp;"/"&amp;31&amp;"/"&amp;(AW16+$D$45))</f>
        <v>3/31/2023</v>
      </c>
      <c r="AX20" s="78" t="str">
        <f>$B$46&amp;"/"&amp;31&amp;"/"&amp;(AX16+$D$46)</f>
        <v>6/31/2023</v>
      </c>
      <c r="AY20" s="78" t="str">
        <f>$B$47&amp;"/"&amp;31&amp;"/"&amp;(AY16+$D$47)</f>
        <v>9/31/2023</v>
      </c>
      <c r="AZ20" s="78" t="str">
        <f>$B$48&amp;"/"&amp;31&amp;"/"&amp;(AZ16+$D$48)</f>
        <v>12/31/2023</v>
      </c>
      <c r="BA20" s="79" t="str">
        <f>AZ20</f>
        <v>12/31/2023</v>
      </c>
      <c r="BB20" s="77" t="str">
        <f>($B$45&amp;"/"&amp;31&amp;"/"&amp;(BB16+$D$45))</f>
        <v>3/31/2024</v>
      </c>
      <c r="BC20" s="78" t="str">
        <f>$B$46&amp;"/"&amp;31&amp;"/"&amp;(BC16+$D$46)</f>
        <v>6/31/2024</v>
      </c>
      <c r="BD20" s="78" t="str">
        <f>$B$47&amp;"/"&amp;31&amp;"/"&amp;(BD16+$D$47)</f>
        <v>9/31/2024</v>
      </c>
      <c r="BE20" s="78" t="str">
        <f>$B$48&amp;"/"&amp;31&amp;"/"&amp;(BE16+$D$48)</f>
        <v>12/31/2024</v>
      </c>
      <c r="BF20" s="79" t="str">
        <f>BE20</f>
        <v>12/31/2024</v>
      </c>
      <c r="BG20" s="77" t="str">
        <f>($B$45&amp;"/"&amp;31&amp;"/"&amp;(BG16+$D$45))</f>
        <v>3/31/2025</v>
      </c>
      <c r="BH20" s="78" t="str">
        <f>$B$46&amp;"/"&amp;31&amp;"/"&amp;(BH16+$D$46)</f>
        <v>6/31/2025</v>
      </c>
      <c r="BI20" s="78" t="str">
        <f>$B$47&amp;"/"&amp;31&amp;"/"&amp;(BI16+$D$47)</f>
        <v>9/31/2025</v>
      </c>
      <c r="BJ20" s="78" t="str">
        <f>$B$48&amp;"/"&amp;31&amp;"/"&amp;(BJ16+$D$48)</f>
        <v>12/31/2025</v>
      </c>
      <c r="BK20" s="79" t="str">
        <f>BJ20</f>
        <v>12/31/2025</v>
      </c>
      <c r="BL20" s="77" t="str">
        <f>($B$45&amp;"/"&amp;31&amp;"/"&amp;(BL16+$D$45))</f>
        <v>3/31/2026</v>
      </c>
      <c r="BM20" s="78" t="str">
        <f>$B$46&amp;"/"&amp;31&amp;"/"&amp;(BM16+$D$46)</f>
        <v>6/31/2026</v>
      </c>
      <c r="BN20" s="78" t="str">
        <f>$B$47&amp;"/"&amp;31&amp;"/"&amp;(BN16+$D$47)</f>
        <v>9/31/2026</v>
      </c>
      <c r="BO20" s="78" t="str">
        <f>$B$48&amp;"/"&amp;31&amp;"/"&amp;(BO16+$D$48)</f>
        <v>12/31/2026</v>
      </c>
      <c r="BP20" s="79" t="str">
        <f>BO20</f>
        <v>12/31/2026</v>
      </c>
      <c r="BQ20" s="77" t="str">
        <f>($B$45&amp;"/"&amp;31&amp;"/"&amp;(BQ16+$D$45))</f>
        <v>3/31/2027</v>
      </c>
      <c r="BR20" s="78" t="str">
        <f>$B$46&amp;"/"&amp;31&amp;"/"&amp;(BR16+$D$46)</f>
        <v>6/31/2027</v>
      </c>
      <c r="BS20" s="78" t="str">
        <f>$B$47&amp;"/"&amp;31&amp;"/"&amp;(BS16+$D$47)</f>
        <v>9/31/2027</v>
      </c>
      <c r="BT20" s="78" t="str">
        <f>$B$48&amp;"/"&amp;31&amp;"/"&amp;(BT16+$D$48)</f>
        <v>12/31/2027</v>
      </c>
      <c r="BU20" s="79" t="str">
        <f>BT20</f>
        <v>12/31/2027</v>
      </c>
      <c r="BX20" s="11" t="s">
        <v>63</v>
      </c>
    </row>
    <row r="21" spans="1:76" ht="17.649999999999999">
      <c r="A21" s="47" t="s">
        <v>64</v>
      </c>
      <c r="B21" s="80" t="s">
        <v>65</v>
      </c>
      <c r="C21" s="48"/>
      <c r="D21" s="49">
        <f>+IS!D52/1000</f>
        <v>16.736000000000001</v>
      </c>
      <c r="E21" s="49">
        <f>+IS!E52/1000</f>
        <v>17.88</v>
      </c>
      <c r="F21" s="49">
        <f>+IS!F52/1000</f>
        <v>20.329000000000001</v>
      </c>
      <c r="G21" s="49">
        <f>+IS!G52/1000</f>
        <v>21.934999999999999</v>
      </c>
      <c r="H21" s="49">
        <f>+IS!H52/1000</f>
        <v>76.88</v>
      </c>
      <c r="I21" s="49">
        <f>+IS!I52/1000</f>
        <v>23.571000000000002</v>
      </c>
      <c r="J21" s="49">
        <f>+IS!J52/1000</f>
        <v>25.79</v>
      </c>
      <c r="K21" s="49">
        <f>+IS!K52/1000</f>
        <v>28.312000000000001</v>
      </c>
      <c r="L21" s="49">
        <f>+IS!L52/1000</f>
        <v>32.853000000000002</v>
      </c>
      <c r="M21" s="49">
        <f>+IS!M52/1000</f>
        <v>110.526</v>
      </c>
      <c r="N21" s="49">
        <f>+IS!N52/1000</f>
        <v>34.795999999999999</v>
      </c>
      <c r="O21" s="49">
        <f>+IS!O52/1000</f>
        <v>37.268000000000001</v>
      </c>
      <c r="P21" s="49">
        <f>+IS!P52/1000</f>
        <v>40.338999999999999</v>
      </c>
      <c r="Q21" s="49">
        <f>+IS!Q52/1000</f>
        <v>45.033999999999999</v>
      </c>
      <c r="R21" s="49">
        <f>+IS!R52/1000</f>
        <v>157.43700000000001</v>
      </c>
      <c r="S21" s="49">
        <f>+IS!S52/1000</f>
        <v>45.244999999999997</v>
      </c>
      <c r="T21" s="49">
        <f>+IS!T52/1000</f>
        <v>47.442999999999998</v>
      </c>
      <c r="U21" s="49">
        <f>+IS!U52/1000</f>
        <v>50.521000000000001</v>
      </c>
      <c r="V21" s="49">
        <f>+IS!V52/1000</f>
        <v>57.731000000000002</v>
      </c>
      <c r="W21" s="49">
        <f>+IS!W52/1000</f>
        <v>200.94</v>
      </c>
      <c r="X21" s="49">
        <f>+IS!X52/1000</f>
        <v>54.515000000000001</v>
      </c>
      <c r="Y21" s="49">
        <f>+IS!Y52/1000</f>
        <v>58.441000000000003</v>
      </c>
      <c r="Z21" s="49">
        <f>+IS!Z52/1000</f>
        <v>62.365000000000002</v>
      </c>
      <c r="AA21" s="49">
        <f>+IS!AA52/1000</f>
        <v>68.77</v>
      </c>
      <c r="AB21" s="49">
        <f>+IS!AB52/1000</f>
        <v>244.09100000000001</v>
      </c>
      <c r="AC21" s="49">
        <f>+IS!AC52/1000</f>
        <v>73.185000000000002</v>
      </c>
      <c r="AD21" s="49">
        <f>+IS!AD52/1000</f>
        <v>78.959000000000003</v>
      </c>
      <c r="AE21" s="49">
        <f>+IS!AE52/1000</f>
        <v>83.155000000000001</v>
      </c>
      <c r="AF21" s="49">
        <f>+IS!AF52/1000</f>
        <v>91.647999999999996</v>
      </c>
      <c r="AG21" s="49">
        <f>+IS!AG52/1000</f>
        <v>326.947</v>
      </c>
      <c r="AH21" s="49">
        <f>+IS!AH52/1000</f>
        <v>94.34</v>
      </c>
      <c r="AI21" s="49">
        <f>+IS!AI52/1000</f>
        <v>98.912000000000006</v>
      </c>
      <c r="AJ21" s="49">
        <f>+IS!AJ52/1000</f>
        <v>105.075</v>
      </c>
      <c r="AK21" s="49">
        <f>+IS!AK52/1000</f>
        <v>113.15900000000001</v>
      </c>
      <c r="AL21" s="49">
        <f>+IS!AL52/1000</f>
        <v>411.48599999999999</v>
      </c>
      <c r="AM21" s="49">
        <f>+IS!AM52/1000</f>
        <v>117.45099999999999</v>
      </c>
      <c r="AN21" s="49">
        <f>+IS!AN52/1000</f>
        <v>126.42100000000001</v>
      </c>
      <c r="AO21" s="49">
        <f>+IS!AO52/1000</f>
        <v>139.89400000000001</v>
      </c>
      <c r="AP21" s="49">
        <f>+IS!AP52/1000</f>
        <v>151.63800000000001</v>
      </c>
      <c r="AQ21" s="49">
        <f>+IS!AQ52/1000</f>
        <v>535.404</v>
      </c>
      <c r="AR21" s="49">
        <f>+IS!AR52/1000</f>
        <v>157.38399999999999</v>
      </c>
      <c r="AS21" s="49">
        <f>+IS!AS52/1000</f>
        <v>167.45500000000001</v>
      </c>
      <c r="AT21" s="49">
        <f>+IS!AT52/1000</f>
        <v>175.76499999999999</v>
      </c>
      <c r="AU21" s="49">
        <f>+IS!AU52/1000</f>
        <v>184.47900000000001</v>
      </c>
      <c r="AV21" s="49">
        <f>+IS!AV52/1000</f>
        <v>685.08299999999997</v>
      </c>
      <c r="AW21" s="49">
        <f>+IS!AW52/1000</f>
        <v>183.17400000000001</v>
      </c>
      <c r="AX21" s="49">
        <f>+IS!AX52/1000</f>
        <v>190.422</v>
      </c>
      <c r="AY21" s="49">
        <f>+IS!AY52/1000</f>
        <v>198.84299999999999</v>
      </c>
      <c r="AZ21" s="49">
        <f>+IS!AZ52/1000</f>
        <v>205.268</v>
      </c>
      <c r="BA21" s="49">
        <f>+IS!BA52/1000</f>
        <v>777.70699999999999</v>
      </c>
      <c r="BB21" s="49">
        <f>+IS!BB52/1000</f>
        <v>205.101</v>
      </c>
      <c r="BC21" s="49">
        <f>+IS!BC52/1000</f>
        <v>207.99100000000001</v>
      </c>
      <c r="BD21" s="49">
        <f>+IS!BD52/1000</f>
        <v>214.654</v>
      </c>
      <c r="BE21" s="49">
        <f>+IS!BE52/1000</f>
        <v>216.261</v>
      </c>
      <c r="BF21" s="49">
        <f>+IS!BF52/1000</f>
        <v>844.00699999999995</v>
      </c>
      <c r="BG21" s="49">
        <f>+IS!BG52/1000</f>
        <v>210.25299999999999</v>
      </c>
      <c r="BH21" s="49">
        <f>+IS!BH52/1000</f>
        <v>214.19300000000001</v>
      </c>
      <c r="BI21" s="49">
        <f>+IS!BI52/1000</f>
        <v>217.96</v>
      </c>
      <c r="BJ21" s="49">
        <f>+IS!BJ52/1000</f>
        <v>217.38800000000001</v>
      </c>
      <c r="BK21" s="49">
        <f>+IS!BK52/1000</f>
        <v>859.79399999999998</v>
      </c>
      <c r="BL21" s="49">
        <f>+IS!BL52/1000</f>
        <v>207.96972500000001</v>
      </c>
      <c r="BM21" s="49">
        <f>+IS!BM52/1000</f>
        <v>208.93378000000001</v>
      </c>
      <c r="BN21" s="49">
        <f>+IS!BN52/1000</f>
        <v>210.2491</v>
      </c>
      <c r="BO21" s="49">
        <f>+IS!BO52/1000</f>
        <v>211.72167999999999</v>
      </c>
      <c r="BP21" s="49">
        <f>+IS!BP52/1000</f>
        <v>838.87428499999999</v>
      </c>
      <c r="BQ21" s="49">
        <f>+IS!BQ52/1000</f>
        <v>211.5225915</v>
      </c>
      <c r="BR21" s="49">
        <f>+IS!BR52/1000</f>
        <v>212.51260920000001</v>
      </c>
      <c r="BS21" s="49">
        <f>+IS!BS52/1000</f>
        <v>213.6851844</v>
      </c>
      <c r="BT21" s="49">
        <f>+IS!BT52/1000</f>
        <v>215.14519920000001</v>
      </c>
      <c r="BU21" s="49">
        <f>+IS!BU52/1000</f>
        <v>852.86558430000002</v>
      </c>
      <c r="BX21" s="11" t="s">
        <v>66</v>
      </c>
    </row>
    <row r="22" spans="1:76" s="52" customFormat="1" ht="17.649999999999999">
      <c r="A22" s="50"/>
      <c r="B22" s="51" t="s">
        <v>66</v>
      </c>
      <c r="C22" s="81"/>
      <c r="D22" s="82" t="e">
        <f ca="1">_xll.BLUEMATRIX2("/servlet/excelData",D21, $C$14,$B21&amp;":"&amp;D$16&amp;D$17&amp;":"&amp;D$19&amp;":"&amp;$B22)</f>
        <v>#NAME?</v>
      </c>
      <c r="E22" s="82" t="e">
        <f ca="1">_xll.BLUEMATRIX2("/servlet/excelData",E21, $C$14,$B21&amp;":"&amp;E$16&amp;E$17&amp;":"&amp;E$19&amp;":"&amp;$B22)</f>
        <v>#NAME?</v>
      </c>
      <c r="F22" s="82" t="e">
        <f ca="1">_xll.BLUEMATRIX2("/servlet/excelData",F21, $C$14,$B21&amp;":"&amp;F$16&amp;F$17&amp;":"&amp;F$19&amp;":"&amp;$B22)</f>
        <v>#NAME?</v>
      </c>
      <c r="G22" s="82" t="e">
        <f ca="1">_xll.BLUEMATRIX2("/servlet/excelData",G21, $C$14,$B21&amp;":"&amp;G$16&amp;G$17&amp;":"&amp;G$19&amp;":"&amp;$B22)</f>
        <v>#NAME?</v>
      </c>
      <c r="H22" s="83" t="e">
        <f ca="1">_xll.BLUEMATRIX2("/servlet/excelData",H21, $C$14,$B21&amp;":"&amp;H$16&amp;H$17&amp;":"&amp;H$19&amp;":"&amp;$B22)</f>
        <v>#NAME?</v>
      </c>
      <c r="I22" s="82" t="e">
        <f ca="1">_xll.BLUEMATRIX2("/servlet/excelData",I21, $C$14,$B21&amp;":"&amp;I$16&amp;I$17&amp;":"&amp;I$19&amp;":"&amp;$B22)</f>
        <v>#NAME?</v>
      </c>
      <c r="J22" s="82" t="e">
        <f ca="1">_xll.BLUEMATRIX2("/servlet/excelData",J21, $C$14,$B21&amp;":"&amp;J$16&amp;J$17&amp;":"&amp;J$19&amp;":"&amp;$B22)</f>
        <v>#NAME?</v>
      </c>
      <c r="K22" s="82" t="e">
        <f ca="1">_xll.BLUEMATRIX2("/servlet/excelData",K21, $C$14,$B21&amp;":"&amp;K$16&amp;K$17&amp;":"&amp;K$19&amp;":"&amp;$B22)</f>
        <v>#NAME?</v>
      </c>
      <c r="L22" s="82" t="e">
        <f ca="1">_xll.BLUEMATRIX2("/servlet/excelData",L21, $C$14,$B21&amp;":"&amp;L$16&amp;L$17&amp;":"&amp;L$19&amp;":"&amp;$B22)</f>
        <v>#NAME?</v>
      </c>
      <c r="M22" s="83" t="e">
        <f ca="1">_xll.BLUEMATRIX2("/servlet/excelData",M21, $C$14,$B21&amp;":"&amp;M$16&amp;M$17&amp;":"&amp;M$19&amp;":"&amp;$B22)</f>
        <v>#NAME?</v>
      </c>
      <c r="N22" s="82" t="e">
        <f ca="1">_xll.BLUEMATRIX2("/servlet/excelData",N21, $C$14,$B21&amp;":"&amp;N$16&amp;N$17&amp;":"&amp;N$19&amp;":"&amp;$B22)</f>
        <v>#NAME?</v>
      </c>
      <c r="O22" s="82" t="e">
        <f ca="1">_xll.BLUEMATRIX2("/servlet/excelData",O21, $C$14,$B21&amp;":"&amp;O$16&amp;O$17&amp;":"&amp;O$19&amp;":"&amp;$B22)</f>
        <v>#NAME?</v>
      </c>
      <c r="P22" s="82" t="e">
        <f ca="1">_xll.BLUEMATRIX2("/servlet/excelData",P21, $C$14,$B21&amp;":"&amp;P$16&amp;P$17&amp;":"&amp;P$19&amp;":"&amp;$B22)</f>
        <v>#NAME?</v>
      </c>
      <c r="Q22" s="82" t="e">
        <f ca="1">_xll.BLUEMATRIX2("/servlet/excelData",Q21, $C$14,$B21&amp;":"&amp;Q$16&amp;Q$17&amp;":"&amp;Q$19&amp;":"&amp;$B22)</f>
        <v>#NAME?</v>
      </c>
      <c r="R22" s="83" t="e">
        <f ca="1">_xll.BLUEMATRIX2("/servlet/excelData",R21, $C$14,$B21&amp;":"&amp;R$16&amp;R$17&amp;":"&amp;R$19&amp;":"&amp;$B22)</f>
        <v>#NAME?</v>
      </c>
      <c r="S22" s="82" t="e">
        <f ca="1">_xll.BLUEMATRIX2("/servlet/excelData",S21, $C$14,$B21&amp;":"&amp;S$16&amp;S$17&amp;":"&amp;S$19&amp;":"&amp;$B22)</f>
        <v>#NAME?</v>
      </c>
      <c r="T22" s="82" t="e">
        <f ca="1">_xll.BLUEMATRIX2("/servlet/excelData",T21, $C$14,$B21&amp;":"&amp;T$16&amp;T$17&amp;":"&amp;T$19&amp;":"&amp;$B22)</f>
        <v>#NAME?</v>
      </c>
      <c r="U22" s="82" t="e">
        <f ca="1">_xll.BLUEMATRIX2("/servlet/excelData",U21, $C$14,$B21&amp;":"&amp;U$16&amp;U$17&amp;":"&amp;U$19&amp;":"&amp;$B22)</f>
        <v>#NAME?</v>
      </c>
      <c r="V22" s="82" t="e">
        <f ca="1">_xll.BLUEMATRIX2("/servlet/excelData",V21, $C$14,$B21&amp;":"&amp;V$16&amp;V$17&amp;":"&amp;V$19&amp;":"&amp;$B22)</f>
        <v>#NAME?</v>
      </c>
      <c r="W22" s="83" t="e">
        <f ca="1">_xll.BLUEMATRIX2("/servlet/excelData",W21, $C$14,$B21&amp;":"&amp;W$16&amp;W$17&amp;":"&amp;W$19&amp;":"&amp;$B22)</f>
        <v>#NAME?</v>
      </c>
      <c r="X22" s="82" t="e">
        <f ca="1">_xll.BLUEMATRIX2("/servlet/excelData",X21, $C$14,$B21&amp;":"&amp;X$16&amp;X$17&amp;":"&amp;X$19&amp;":"&amp;$B22)</f>
        <v>#NAME?</v>
      </c>
      <c r="Y22" s="82" t="e">
        <f ca="1">_xll.BLUEMATRIX2("/servlet/excelData",Y21, $C$14,$B21&amp;":"&amp;Y$16&amp;Y$17&amp;":"&amp;Y$19&amp;":"&amp;$B22)</f>
        <v>#NAME?</v>
      </c>
      <c r="Z22" s="82" t="e">
        <f ca="1">_xll.BLUEMATRIX2("/servlet/excelData",Z21, $C$14,$B21&amp;":"&amp;Z$16&amp;Z$17&amp;":"&amp;Z$19&amp;":"&amp;$B22)</f>
        <v>#NAME?</v>
      </c>
      <c r="AA22" s="82" t="e">
        <f ca="1">_xll.BLUEMATRIX2("/servlet/excelData",AA21, $C$14,$B21&amp;":"&amp;AA$16&amp;AA$17&amp;":"&amp;AA$19&amp;":"&amp;$B22)</f>
        <v>#NAME?</v>
      </c>
      <c r="AB22" s="83" t="e">
        <f ca="1">_xll.BLUEMATRIX2("/servlet/excelData",AB21, $C$14,$B21&amp;":"&amp;AB$16&amp;AB$17&amp;":"&amp;AB$19&amp;":"&amp;$B22)</f>
        <v>#NAME?</v>
      </c>
      <c r="AC22" s="82" t="e">
        <f ca="1">_xll.BLUEMATRIX2("/servlet/excelData",AC21, $C$14,$B21&amp;":"&amp;AC$16&amp;AC$17&amp;":"&amp;AC$19&amp;":"&amp;$B22)</f>
        <v>#NAME?</v>
      </c>
      <c r="AD22" s="82" t="e">
        <f ca="1">_xll.BLUEMATRIX2("/servlet/excelData",AD21, $C$14,$B21&amp;":"&amp;AD$16&amp;AD$17&amp;":"&amp;AD$19&amp;":"&amp;$B22)</f>
        <v>#NAME?</v>
      </c>
      <c r="AE22" s="82" t="e">
        <f ca="1">_xll.BLUEMATRIX2("/servlet/excelData",AE21, $C$14,$B21&amp;":"&amp;AE$16&amp;AE$17&amp;":"&amp;AE$19&amp;":"&amp;$B22)</f>
        <v>#NAME?</v>
      </c>
      <c r="AF22" s="82" t="e">
        <f ca="1">_xll.BLUEMATRIX2("/servlet/excelData",AF21, $C$14,$B21&amp;":"&amp;AF$16&amp;AF$17&amp;":"&amp;AF$19&amp;":"&amp;$B22)</f>
        <v>#NAME?</v>
      </c>
      <c r="AG22" s="83" t="e">
        <f ca="1">_xll.BLUEMATRIX2("/servlet/excelData",AG21, $C$14,$B21&amp;":"&amp;AG$16&amp;AG$17&amp;":"&amp;AG$19&amp;":"&amp;$B22)</f>
        <v>#NAME?</v>
      </c>
      <c r="AH22" s="83" t="e">
        <f ca="1">_xll.BLUEMATRIX2("/servlet/excelData",AH21, $C$14,$B21&amp;":"&amp;AH$16&amp;AH$17&amp;":"&amp;AH$19&amp;":"&amp;$B22)</f>
        <v>#NAME?</v>
      </c>
      <c r="AI22" s="83" t="e">
        <f ca="1">_xll.BLUEMATRIX2("/servlet/excelData",AI21, $C$14,$B21&amp;":"&amp;AI$16&amp;AI$17&amp;":"&amp;AI$19&amp;":"&amp;$B22)</f>
        <v>#NAME?</v>
      </c>
      <c r="AJ22" s="83" t="e">
        <f ca="1">_xll.BLUEMATRIX2("/servlet/excelData",AJ21, $C$14,$B21&amp;":"&amp;AJ$16&amp;AJ$17&amp;":"&amp;AJ$19&amp;":"&amp;$B22)</f>
        <v>#NAME?</v>
      </c>
      <c r="AK22" s="83" t="e">
        <f ca="1">_xll.BLUEMATRIX2("/servlet/excelData",AK21, $C$14,$B21&amp;":"&amp;AK$16&amp;AK$17&amp;":"&amp;AK$19&amp;":"&amp;$B22)</f>
        <v>#NAME?</v>
      </c>
      <c r="AL22" s="83" t="e">
        <f ca="1">_xll.BLUEMATRIX2("/servlet/excelData",AL21, $C$14,$B21&amp;":"&amp;AL$16&amp;AL$17&amp;":"&amp;AL$19&amp;":"&amp;$B22)</f>
        <v>#NAME?</v>
      </c>
      <c r="AM22" s="83" t="e">
        <f ca="1">_xll.BLUEMATRIX2("/servlet/excelData",AM21, $C$14,$B21&amp;":"&amp;AM$16&amp;AM$17&amp;":"&amp;AM$19&amp;":"&amp;$B22)</f>
        <v>#NAME?</v>
      </c>
      <c r="AN22" s="83" t="e">
        <f ca="1">_xll.BLUEMATRIX2("/servlet/excelData",AN21, $C$14,$B21&amp;":"&amp;AN$16&amp;AN$17&amp;":"&amp;AN$19&amp;":"&amp;$B22)</f>
        <v>#NAME?</v>
      </c>
      <c r="AO22" s="83" t="e">
        <f ca="1">_xll.BLUEMATRIX2("/servlet/excelData",AO21, $C$14,$B21&amp;":"&amp;AO$16&amp;AO$17&amp;":"&amp;AO$19&amp;":"&amp;$B22)</f>
        <v>#NAME?</v>
      </c>
      <c r="AP22" s="83" t="e">
        <f ca="1">_xll.BLUEMATRIX2("/servlet/excelData",AP21, $C$14,$B21&amp;":"&amp;AP$16&amp;AP$17&amp;":"&amp;AP$19&amp;":"&amp;$B22)</f>
        <v>#NAME?</v>
      </c>
      <c r="AQ22" s="83" t="e">
        <f ca="1">_xll.BLUEMATRIX2("/servlet/excelData",AQ21, $C$14,$B21&amp;":"&amp;AQ$16&amp;AQ$17&amp;":"&amp;AQ$19&amp;":"&amp;$B22)</f>
        <v>#NAME?</v>
      </c>
      <c r="AR22" s="83" t="e">
        <f ca="1">_xll.BLUEMATRIX2("/servlet/excelData",AR21, $C$14,$B21&amp;":"&amp;AR$16&amp;AR$17&amp;":"&amp;AR$19&amp;":"&amp;$B22)</f>
        <v>#NAME?</v>
      </c>
      <c r="AS22" s="83" t="e">
        <f ca="1">_xll.BLUEMATRIX2("/servlet/excelData",AS21, $C$14,$B21&amp;":"&amp;AS$16&amp;AS$17&amp;":"&amp;AS$19&amp;":"&amp;$B22)</f>
        <v>#NAME?</v>
      </c>
      <c r="AT22" s="83" t="e">
        <f ca="1">_xll.BLUEMATRIX2("/servlet/excelData",AT21, $C$14,$B21&amp;":"&amp;AT$16&amp;AT$17&amp;":"&amp;AT$19&amp;":"&amp;$B22)</f>
        <v>#NAME?</v>
      </c>
      <c r="AU22" s="83" t="e">
        <f ca="1">_xll.BLUEMATRIX2("/servlet/excelData",AU21, $C$14,$B21&amp;":"&amp;AU$16&amp;AU$17&amp;":"&amp;AU$19&amp;":"&amp;$B22)</f>
        <v>#NAME?</v>
      </c>
      <c r="AV22" s="83" t="e">
        <f ca="1">_xll.BLUEMATRIX2("/servlet/excelData",AV21, $C$14,$B21&amp;":"&amp;AV$16&amp;AV$17&amp;":"&amp;AV$19&amp;":"&amp;$B22)</f>
        <v>#NAME?</v>
      </c>
      <c r="AW22" s="83" t="e">
        <f ca="1">_xll.BLUEMATRIX2("/servlet/excelData",AW21, $C$14,$B21&amp;":"&amp;AW$16&amp;AW$17&amp;":"&amp;AW$19&amp;":"&amp;$B22)</f>
        <v>#NAME?</v>
      </c>
      <c r="AX22" s="83" t="e">
        <f ca="1">_xll.BLUEMATRIX2("/servlet/excelData",AX21, $C$14,$B21&amp;":"&amp;AX$16&amp;AX$17&amp;":"&amp;AX$19&amp;":"&amp;$B22)</f>
        <v>#NAME?</v>
      </c>
      <c r="AY22" s="83" t="e">
        <f ca="1">_xll.BLUEMATRIX2("/servlet/excelData",AY21, $C$14,$B21&amp;":"&amp;AY$16&amp;AY$17&amp;":"&amp;AY$19&amp;":"&amp;$B22)</f>
        <v>#NAME?</v>
      </c>
      <c r="AZ22" s="83" t="e">
        <f ca="1">_xll.BLUEMATRIX2("/servlet/excelData",AZ21, $C$14,$B21&amp;":"&amp;AZ$16&amp;AZ$17&amp;":"&amp;AZ$19&amp;":"&amp;$B22)</f>
        <v>#NAME?</v>
      </c>
      <c r="BA22" s="83" t="e">
        <f ca="1">_xll.BLUEMATRIX2("/servlet/excelData",BA21, $C$14,$B21&amp;":"&amp;BA$16&amp;BA$17&amp;":"&amp;BA$19&amp;":"&amp;$B22)</f>
        <v>#NAME?</v>
      </c>
      <c r="BB22" s="83" t="e">
        <f ca="1">_xll.BLUEMATRIX2("/servlet/excelData",BB21, $C$14,$B21&amp;":"&amp;BB$16&amp;BB$17&amp;":"&amp;BB$19&amp;":"&amp;$B22)</f>
        <v>#NAME?</v>
      </c>
      <c r="BC22" s="83" t="e">
        <f ca="1">_xll.BLUEMATRIX2("/servlet/excelData",BC21, $C$14,$B21&amp;":"&amp;BC$16&amp;BC$17&amp;":"&amp;BC$19&amp;":"&amp;$B22)</f>
        <v>#NAME?</v>
      </c>
      <c r="BD22" s="83" t="e">
        <f ca="1">_xll.BLUEMATRIX2("/servlet/excelData",BD21, $C$14,$B21&amp;":"&amp;BD$16&amp;BD$17&amp;":"&amp;BD$19&amp;":"&amp;$B22)</f>
        <v>#NAME?</v>
      </c>
      <c r="BE22" s="83" t="e">
        <f ca="1">_xll.BLUEMATRIX2("/servlet/excelData",BE21, $C$14,$B21&amp;":"&amp;BE$16&amp;BE$17&amp;":"&amp;BE$19&amp;":"&amp;$B22)</f>
        <v>#NAME?</v>
      </c>
      <c r="BF22" s="83" t="e">
        <f ca="1">_xll.BLUEMATRIX2("/servlet/excelData",BF21, $C$14,$B21&amp;":"&amp;BF$16&amp;BF$17&amp;":"&amp;BF$19&amp;":"&amp;$B22)</f>
        <v>#NAME?</v>
      </c>
      <c r="BG22" s="83" t="e">
        <f ca="1">_xll.BLUEMATRIX2("/servlet/excelData",BG21, $C$14,$B21&amp;":"&amp;BG$16&amp;BG$17&amp;":"&amp;BG$19&amp;":"&amp;$B22)</f>
        <v>#NAME?</v>
      </c>
      <c r="BH22" s="83" t="e">
        <f ca="1">_xll.BLUEMATRIX2("/servlet/excelData",BH21, $C$14,$B21&amp;":"&amp;BH$16&amp;BH$17&amp;":"&amp;BH$19&amp;":"&amp;$B22)</f>
        <v>#NAME?</v>
      </c>
      <c r="BI22" s="83" t="e">
        <f ca="1">_xll.BLUEMATRIX2("/servlet/excelData",BI21, $C$14,$B21&amp;":"&amp;BI$16&amp;BI$17&amp;":"&amp;BI$19&amp;":"&amp;$B22)</f>
        <v>#NAME?</v>
      </c>
      <c r="BJ22" s="83" t="e">
        <f ca="1">_xll.BLUEMATRIX2("/servlet/excelData",BJ21, $C$14,$B21&amp;":"&amp;BJ$16&amp;BJ$17&amp;":"&amp;BJ$19&amp;":"&amp;$B22)</f>
        <v>#NAME?</v>
      </c>
      <c r="BK22" s="83" t="e">
        <f ca="1">_xll.BLUEMATRIX2("/servlet/excelData",BK21, $C$14,$B21&amp;":"&amp;BK$16&amp;BK$17&amp;":"&amp;BK$19&amp;":"&amp;$B22)</f>
        <v>#NAME?</v>
      </c>
      <c r="BL22" s="83" t="e">
        <f ca="1">_xll.BLUEMATRIX2("/servlet/excelData",BL21, $C$14,$B21&amp;":"&amp;BL$16&amp;BL$17&amp;":"&amp;BL$19&amp;":"&amp;$B22)</f>
        <v>#NAME?</v>
      </c>
      <c r="BM22" s="83" t="e">
        <f ca="1">_xll.BLUEMATRIX2("/servlet/excelData",BM21, $C$14,$B21&amp;":"&amp;BM$16&amp;BM$17&amp;":"&amp;BM$19&amp;":"&amp;$B22)</f>
        <v>#NAME?</v>
      </c>
      <c r="BN22" s="83" t="e">
        <f ca="1">_xll.BLUEMATRIX2("/servlet/excelData",BN21, $C$14,$B21&amp;":"&amp;BN$16&amp;BN$17&amp;":"&amp;BN$19&amp;":"&amp;$B22)</f>
        <v>#NAME?</v>
      </c>
      <c r="BO22" s="83" t="e">
        <f ca="1">_xll.BLUEMATRIX2("/servlet/excelData",BO21, $C$14,$B21&amp;":"&amp;BO$16&amp;BO$17&amp;":"&amp;BO$19&amp;":"&amp;$B22)</f>
        <v>#NAME?</v>
      </c>
      <c r="BP22" s="83" t="e">
        <f ca="1">_xll.BLUEMATRIX2("/servlet/excelData",BP21, $C$14,$B21&amp;":"&amp;BP$16&amp;BP$17&amp;":"&amp;BP$19&amp;":"&amp;$B22)</f>
        <v>#NAME?</v>
      </c>
      <c r="BQ22" s="83" t="e">
        <f ca="1">_xll.BLUEMATRIX2("/servlet/excelData",BQ21, $C$14,$B21&amp;":"&amp;BQ$16&amp;BQ$17&amp;":"&amp;BQ$19&amp;":"&amp;$B22)</f>
        <v>#NAME?</v>
      </c>
      <c r="BR22" s="83" t="e">
        <f ca="1">_xll.BLUEMATRIX2("/servlet/excelData",BR21, $C$14,$B21&amp;":"&amp;BR$16&amp;BR$17&amp;":"&amp;BR$19&amp;":"&amp;$B22)</f>
        <v>#NAME?</v>
      </c>
      <c r="BS22" s="83" t="e">
        <f ca="1">_xll.BLUEMATRIX2("/servlet/excelData",BS21, $C$14,$B21&amp;":"&amp;BS$16&amp;BS$17&amp;":"&amp;BS$19&amp;":"&amp;$B22)</f>
        <v>#NAME?</v>
      </c>
      <c r="BT22" s="83" t="e">
        <f ca="1">_xll.BLUEMATRIX2("/servlet/excelData",BT21, $C$14,$B21&amp;":"&amp;BT$16&amp;BT$17&amp;":"&amp;BT$19&amp;":"&amp;$B22)</f>
        <v>#NAME?</v>
      </c>
      <c r="BU22" s="83" t="e">
        <f ca="1">_xll.BLUEMATRIX2("/servlet/excelData",BU21, $C$14,$B21&amp;":"&amp;BU$16&amp;BU$17&amp;":"&amp;BU$19&amp;":"&amp;$B22)</f>
        <v>#NAME?</v>
      </c>
      <c r="BX22" s="11" t="s">
        <v>67</v>
      </c>
    </row>
    <row r="23" spans="1:76" ht="17.649999999999999">
      <c r="A23" s="53" t="s">
        <v>68</v>
      </c>
      <c r="B23" s="85" t="s">
        <v>68</v>
      </c>
      <c r="C23" s="54"/>
      <c r="D23" s="55">
        <f>+IS!D117</f>
        <v>-0.53622507455761825</v>
      </c>
      <c r="E23" s="55">
        <f>+IS!E117</f>
        <v>-0.57502434000697955</v>
      </c>
      <c r="F23" s="55">
        <f>+IS!F117</f>
        <v>-0.5437446343557325</v>
      </c>
      <c r="G23" s="55">
        <f>+IS!G117</f>
        <v>-0.70322602888535124</v>
      </c>
      <c r="H23" s="55">
        <f>+IS!H117</f>
        <v>-2.3584839176766961</v>
      </c>
      <c r="I23" s="55">
        <f>+IS!I117</f>
        <v>-0.54167838668433033</v>
      </c>
      <c r="J23" s="55">
        <f>+IS!J117</f>
        <v>-0.61019763671404692</v>
      </c>
      <c r="K23" s="55">
        <f>+IS!K117</f>
        <v>-0.27495054282063219</v>
      </c>
      <c r="L23" s="55">
        <f>+IS!L117</f>
        <v>-0.30803307559803478</v>
      </c>
      <c r="M23" s="55">
        <f>+IS!M117</f>
        <v>-1.4640561314192013</v>
      </c>
      <c r="N23" s="55">
        <f>+IS!N117</f>
        <v>-0.23374956523394722</v>
      </c>
      <c r="O23" s="55">
        <f>+IS!O117</f>
        <v>-0.22472450244453648</v>
      </c>
      <c r="P23" s="55">
        <f>+IS!P117</f>
        <v>-0.12651217668852593</v>
      </c>
      <c r="Q23" s="55">
        <f>+IS!Q117</f>
        <v>-0.12631952222385756</v>
      </c>
      <c r="R23" s="55">
        <f>+IS!R117</f>
        <v>-0.70904887134377204</v>
      </c>
      <c r="S23" s="55">
        <f>+IS!S117</f>
        <v>-0.13756392051556673</v>
      </c>
      <c r="T23" s="55">
        <f>+IS!T117</f>
        <v>-0.1383041706310309</v>
      </c>
      <c r="U23" s="55">
        <f>+IS!U117</f>
        <v>-0.15358479078491255</v>
      </c>
      <c r="V23" s="55">
        <f>+IS!V117</f>
        <v>-0.17388740421212331</v>
      </c>
      <c r="W23" s="55">
        <f>+IS!W117</f>
        <v>-0.60414381551158303</v>
      </c>
      <c r="X23" s="55">
        <f>+IS!X117</f>
        <v>-0.19128405615983102</v>
      </c>
      <c r="Y23" s="55">
        <f>+IS!Y117</f>
        <v>-0.1293216692750318</v>
      </c>
      <c r="Z23" s="55">
        <f>+IS!Z117</f>
        <v>-4.3824799110936362E-2</v>
      </c>
      <c r="AA23" s="55">
        <f>+IS!AA117</f>
        <v>-4.9960932154531019E-2</v>
      </c>
      <c r="AB23" s="55">
        <f>+IS!AB117</f>
        <v>-0.41026621836268229</v>
      </c>
      <c r="AC23" s="55">
        <f>+IS!AC117</f>
        <v>2.2624079890588542E-2</v>
      </c>
      <c r="AD23" s="55">
        <f>+IS!AD117</f>
        <v>2.1004742344261463E-2</v>
      </c>
      <c r="AE23" s="55">
        <f>+IS!AE117</f>
        <v>1.0895978195220321E-2</v>
      </c>
      <c r="AF23" s="55">
        <f>+IS!AF117</f>
        <v>2.8221087728579165E-2</v>
      </c>
      <c r="AG23" s="55">
        <f>+IS!AG117</f>
        <v>8.271526912918821E-2</v>
      </c>
      <c r="AH23" s="55">
        <f>+IS!AH117</f>
        <v>-8.5661887701534351E-2</v>
      </c>
      <c r="AI23" s="55">
        <f>+IS!AI117</f>
        <v>5.2672978390830523E-2</v>
      </c>
      <c r="AJ23" s="55">
        <f>+IS!AJ117</f>
        <v>4.6387179088392479E-4</v>
      </c>
      <c r="AK23" s="55">
        <f>+IS!AK117</f>
        <v>-7.1629777171221043E-2</v>
      </c>
      <c r="AL23" s="55">
        <f>+IS!AL117</f>
        <v>-0.10188721774693503</v>
      </c>
      <c r="AM23" s="55">
        <f>+IS!AM117</f>
        <v>-2.6935132884997888E-2</v>
      </c>
      <c r="AN23" s="55">
        <f>+IS!AN117</f>
        <v>6.80735264757691E-2</v>
      </c>
      <c r="AO23" s="55">
        <f>+IS!AO117</f>
        <v>5.8978715450086913E-2</v>
      </c>
      <c r="AP23" s="55">
        <f>+IS!AP117</f>
        <v>-0.15736808529064772</v>
      </c>
      <c r="AQ23" s="55">
        <f>+IS!AQ117</f>
        <v>-5.4039855072463769E-2</v>
      </c>
      <c r="AR23" s="55">
        <f>+IS!AR117</f>
        <v>-0.16041626183648106</v>
      </c>
      <c r="AS23" s="55">
        <f>+IS!AS117</f>
        <v>-7.9155276863352129E-3</v>
      </c>
      <c r="AT23" s="55">
        <f>+IS!AT117</f>
        <v>0.13680322033622097</v>
      </c>
      <c r="AU23" s="55">
        <f>+IS!AU117</f>
        <v>0.34705746725191944</v>
      </c>
      <c r="AV23" s="55">
        <f>+IS!AV117</f>
        <v>0.37284173177435842</v>
      </c>
      <c r="AW23" s="55">
        <f>+IS!AW117</f>
        <v>0.15680693136034107</v>
      </c>
      <c r="AX23" s="55">
        <f>+IS!AX117</f>
        <v>0.17692598135353357</v>
      </c>
      <c r="AY23" s="55">
        <f>+IS!AY117</f>
        <v>0.50200857858755754</v>
      </c>
      <c r="AZ23" s="55">
        <f>+IS!AZ117</f>
        <v>0.72240317339824578</v>
      </c>
      <c r="BA23" s="55">
        <f>+IS!BA117</f>
        <v>1.5285796182085265</v>
      </c>
      <c r="BB23" s="55">
        <f>+IS!BB117</f>
        <v>0.55333770754588407</v>
      </c>
      <c r="BC23" s="55">
        <f>+IS!BC117</f>
        <v>0.58204431601409068</v>
      </c>
      <c r="BD23" s="55">
        <f>+IS!BD117</f>
        <v>0.66185845609604932</v>
      </c>
      <c r="BE23" s="55">
        <f>+IS!BE117</f>
        <v>0.47829864246451292</v>
      </c>
      <c r="BF23" s="55">
        <f>+IS!BF117</f>
        <v>2.2749297261025738</v>
      </c>
      <c r="BG23" s="55">
        <f>+IS!BG117</f>
        <v>0.49263986180144986</v>
      </c>
      <c r="BH23" s="55">
        <f>+IS!BH117</f>
        <v>0.57824213726996088</v>
      </c>
      <c r="BI23" s="55">
        <f>+IS!BI117</f>
        <v>0.5716433375136315</v>
      </c>
      <c r="BJ23" s="55">
        <f>+IS!BJ117</f>
        <v>0.43753514538500471</v>
      </c>
      <c r="BK23" s="55">
        <f>+IS!BK117</f>
        <v>2.0791959996391061</v>
      </c>
      <c r="BL23" s="55">
        <f>+IS!BL117</f>
        <v>0.3039267646725034</v>
      </c>
      <c r="BM23" s="55">
        <f>+IS!BM117</f>
        <v>0.39888963549973683</v>
      </c>
      <c r="BN23" s="55">
        <f>+IS!BN117</f>
        <v>0.43408738938198266</v>
      </c>
      <c r="BO23" s="55">
        <f>+IS!BO117</f>
        <v>0.43814342057212496</v>
      </c>
      <c r="BP23" s="55">
        <f>+IS!BP117</f>
        <v>1.5770887532168074</v>
      </c>
      <c r="BQ23" s="55">
        <f>+IS!BQ117</f>
        <v>0.41907213780824054</v>
      </c>
      <c r="BR23" s="55">
        <f>+IS!BR117</f>
        <v>0.41993850555515616</v>
      </c>
      <c r="BS23" s="55">
        <f>+IS!BS117</f>
        <v>0.43119722011196288</v>
      </c>
      <c r="BT23" s="55">
        <f>+IS!BT117</f>
        <v>0.43329278505801122</v>
      </c>
      <c r="BU23" s="55">
        <f>+IS!BU117</f>
        <v>1.7035275959957206</v>
      </c>
      <c r="BX23" s="11" t="s">
        <v>69</v>
      </c>
    </row>
    <row r="24" spans="1:76" s="52" customFormat="1" ht="17.649999999999999">
      <c r="A24" s="56"/>
      <c r="B24" s="57" t="s">
        <v>66</v>
      </c>
      <c r="C24" s="86"/>
      <c r="D24" s="87" t="e">
        <f ca="1">_xll.BLUEMATRIX2("/servlet/excelData",D23, $C$14,$B23&amp;":"&amp;D$16&amp;D$17&amp;":"&amp;D$19&amp;":"&amp;$B24)</f>
        <v>#NAME?</v>
      </c>
      <c r="E24" s="84" t="e">
        <f ca="1">_xll.BLUEMATRIX2("/servlet/excelData",E23, $C$14,$B23&amp;":"&amp;E$16&amp;E$17&amp;":"&amp;E$19&amp;":"&amp;$B24)</f>
        <v>#NAME?</v>
      </c>
      <c r="F24" s="84" t="e">
        <f ca="1">_xll.BLUEMATRIX2("/servlet/excelData",F23, $C$14,$B23&amp;":"&amp;F$16&amp;F$17&amp;":"&amp;F$19&amp;":"&amp;$B24)</f>
        <v>#NAME?</v>
      </c>
      <c r="G24" s="84" t="e">
        <f ca="1">_xll.BLUEMATRIX2("/servlet/excelData",G23, $C$14,$B23&amp;":"&amp;G$16&amp;G$17&amp;":"&amp;G$19&amp;":"&amp;$B24)</f>
        <v>#NAME?</v>
      </c>
      <c r="H24" s="72" t="e">
        <f ca="1">_xll.BLUEMATRIX2("/servlet/excelData",H23, $C$14,$B23&amp;":"&amp;H$16&amp;H$17&amp;":"&amp;H$19&amp;":"&amp;$B24)</f>
        <v>#NAME?</v>
      </c>
      <c r="I24" s="84" t="e">
        <f ca="1">_xll.BLUEMATRIX2("/servlet/excelData",I23, $C$14,$B23&amp;":"&amp;I$16&amp;I$17&amp;":"&amp;I$19&amp;":"&amp;$B24)</f>
        <v>#NAME?</v>
      </c>
      <c r="J24" s="84" t="e">
        <f ca="1">_xll.BLUEMATRIX2("/servlet/excelData",J23, $C$14,$B23&amp;":"&amp;J$16&amp;J$17&amp;":"&amp;J$19&amp;":"&amp;$B24)</f>
        <v>#NAME?</v>
      </c>
      <c r="K24" s="84" t="e">
        <f ca="1">_xll.BLUEMATRIX2("/servlet/excelData",K23, $C$14,$B23&amp;":"&amp;K$16&amp;K$17&amp;":"&amp;K$19&amp;":"&amp;$B24)</f>
        <v>#NAME?</v>
      </c>
      <c r="L24" s="84" t="e">
        <f ca="1">_xll.BLUEMATRIX2("/servlet/excelData",L23, $C$14,$B23&amp;":"&amp;L$16&amp;L$17&amp;":"&amp;L$19&amp;":"&amp;$B24)</f>
        <v>#NAME?</v>
      </c>
      <c r="M24" s="72" t="e">
        <f ca="1">_xll.BLUEMATRIX2("/servlet/excelData",M23, $C$14,$B23&amp;":"&amp;M$16&amp;M$17&amp;":"&amp;M$19&amp;":"&amp;$B24)</f>
        <v>#NAME?</v>
      </c>
      <c r="N24" s="84" t="e">
        <f ca="1">_xll.BLUEMATRIX2("/servlet/excelData",N23, $C$14,$B23&amp;":"&amp;N$16&amp;N$17&amp;":"&amp;N$19&amp;":"&amp;$B24)</f>
        <v>#NAME?</v>
      </c>
      <c r="O24" s="84" t="e">
        <f ca="1">_xll.BLUEMATRIX2("/servlet/excelData",O23, $C$14,$B23&amp;":"&amp;O$16&amp;O$17&amp;":"&amp;O$19&amp;":"&amp;$B24)</f>
        <v>#NAME?</v>
      </c>
      <c r="P24" s="84" t="e">
        <f ca="1">_xll.BLUEMATRIX2("/servlet/excelData",P23, $C$14,$B23&amp;":"&amp;P$16&amp;P$17&amp;":"&amp;P$19&amp;":"&amp;$B24)</f>
        <v>#NAME?</v>
      </c>
      <c r="Q24" s="84" t="e">
        <f ca="1">_xll.BLUEMATRIX2("/servlet/excelData",Q23, $C$14,$B23&amp;":"&amp;Q$16&amp;Q$17&amp;":"&amp;Q$19&amp;":"&amp;$B24)</f>
        <v>#NAME?</v>
      </c>
      <c r="R24" s="72" t="e">
        <f ca="1">_xll.BLUEMATRIX2("/servlet/excelData",R23, $C$14,$B23&amp;":"&amp;R$16&amp;R$17&amp;":"&amp;R$19&amp;":"&amp;$B24)</f>
        <v>#NAME?</v>
      </c>
      <c r="S24" s="84" t="e">
        <f ca="1">_xll.BLUEMATRIX2("/servlet/excelData",S23, $C$14,$B23&amp;":"&amp;S$16&amp;S$17&amp;":"&amp;S$19&amp;":"&amp;$B24)</f>
        <v>#NAME?</v>
      </c>
      <c r="T24" s="84" t="e">
        <f ca="1">_xll.BLUEMATRIX2("/servlet/excelData",T23, $C$14,$B23&amp;":"&amp;T$16&amp;T$17&amp;":"&amp;T$19&amp;":"&amp;$B24)</f>
        <v>#NAME?</v>
      </c>
      <c r="U24" s="84" t="e">
        <f ca="1">_xll.BLUEMATRIX2("/servlet/excelData",U23, $C$14,$B23&amp;":"&amp;U$16&amp;U$17&amp;":"&amp;U$19&amp;":"&amp;$B24)</f>
        <v>#NAME?</v>
      </c>
      <c r="V24" s="84" t="e">
        <f ca="1">_xll.BLUEMATRIX2("/servlet/excelData",V23, $C$14,$B23&amp;":"&amp;V$16&amp;V$17&amp;":"&amp;V$19&amp;":"&amp;$B24)</f>
        <v>#NAME?</v>
      </c>
      <c r="W24" s="72" t="e">
        <f ca="1">_xll.BLUEMATRIX2("/servlet/excelData",W23, $C$14,$B23&amp;":"&amp;W$16&amp;W$17&amp;":"&amp;W$19&amp;":"&amp;$B24)</f>
        <v>#NAME?</v>
      </c>
      <c r="X24" s="84" t="e">
        <f ca="1">_xll.BLUEMATRIX2("/servlet/excelData",X23, $C$14,$B23&amp;":"&amp;X$16&amp;X$17&amp;":"&amp;X$19&amp;":"&amp;$B24)</f>
        <v>#NAME?</v>
      </c>
      <c r="Y24" s="84" t="e">
        <f ca="1">_xll.BLUEMATRIX2("/servlet/excelData",Y23, $C$14,$B23&amp;":"&amp;Y$16&amp;Y$17&amp;":"&amp;Y$19&amp;":"&amp;$B24)</f>
        <v>#NAME?</v>
      </c>
      <c r="Z24" s="84" t="e">
        <f ca="1">_xll.BLUEMATRIX2("/servlet/excelData",Z23, $C$14,$B23&amp;":"&amp;Z$16&amp;Z$17&amp;":"&amp;Z$19&amp;":"&amp;$B24)</f>
        <v>#NAME?</v>
      </c>
      <c r="AA24" s="84" t="e">
        <f ca="1">_xll.BLUEMATRIX2("/servlet/excelData",AA23, $C$14,$B23&amp;":"&amp;AA$16&amp;AA$17&amp;":"&amp;AA$19&amp;":"&amp;$B24)</f>
        <v>#NAME?</v>
      </c>
      <c r="AB24" s="72" t="e">
        <f ca="1">_xll.BLUEMATRIX2("/servlet/excelData",AB23, $C$14,$B23&amp;":"&amp;AB$16&amp;AB$17&amp;":"&amp;AB$19&amp;":"&amp;$B24)</f>
        <v>#NAME?</v>
      </c>
      <c r="AC24" s="84" t="e">
        <f ca="1">_xll.BLUEMATRIX2("/servlet/excelData",AC23, $C$14,$B23&amp;":"&amp;AC$16&amp;AC$17&amp;":"&amp;AC$19&amp;":"&amp;$B24)</f>
        <v>#NAME?</v>
      </c>
      <c r="AD24" s="84" t="e">
        <f ca="1">_xll.BLUEMATRIX2("/servlet/excelData",AD23, $C$14,$B23&amp;":"&amp;AD$16&amp;AD$17&amp;":"&amp;AD$19&amp;":"&amp;$B24)</f>
        <v>#NAME?</v>
      </c>
      <c r="AE24" s="84" t="e">
        <f ca="1">_xll.BLUEMATRIX2("/servlet/excelData",AE23, $C$14,$B23&amp;":"&amp;AE$16&amp;AE$17&amp;":"&amp;AE$19&amp;":"&amp;$B24)</f>
        <v>#NAME?</v>
      </c>
      <c r="AF24" s="84" t="e">
        <f ca="1">_xll.BLUEMATRIX2("/servlet/excelData",AF23, $C$14,$B23&amp;":"&amp;AF$16&amp;AF$17&amp;":"&amp;AF$19&amp;":"&amp;$B24)</f>
        <v>#NAME?</v>
      </c>
      <c r="AG24" s="72" t="e">
        <f ca="1">_xll.BLUEMATRIX2("/servlet/excelData",AG23, $C$14,$B23&amp;":"&amp;AG$16&amp;AG$17&amp;":"&amp;AG$19&amp;":"&amp;$B24)</f>
        <v>#NAME?</v>
      </c>
      <c r="AH24" s="72" t="e">
        <f ca="1">_xll.BLUEMATRIX2("/servlet/excelData",AH23, $C$14,$B23&amp;":"&amp;AH$16&amp;AH$17&amp;":"&amp;AH$19&amp;":"&amp;$B24)</f>
        <v>#NAME?</v>
      </c>
      <c r="AI24" s="72" t="e">
        <f ca="1">_xll.BLUEMATRIX2("/servlet/excelData",AI23, $C$14,$B23&amp;":"&amp;AI$16&amp;AI$17&amp;":"&amp;AI$19&amp;":"&amp;$B24)</f>
        <v>#NAME?</v>
      </c>
      <c r="AJ24" s="72" t="e">
        <f ca="1">_xll.BLUEMATRIX2("/servlet/excelData",AJ23, $C$14,$B23&amp;":"&amp;AJ$16&amp;AJ$17&amp;":"&amp;AJ$19&amp;":"&amp;$B24)</f>
        <v>#NAME?</v>
      </c>
      <c r="AK24" s="72" t="e">
        <f ca="1">_xll.BLUEMATRIX2("/servlet/excelData",AK23, $C$14,$B23&amp;":"&amp;AK$16&amp;AK$17&amp;":"&amp;AK$19&amp;":"&amp;$B24)</f>
        <v>#NAME?</v>
      </c>
      <c r="AL24" s="72" t="e">
        <f ca="1">_xll.BLUEMATRIX2("/servlet/excelData",AL23, $C$14,$B23&amp;":"&amp;AL$16&amp;AL$17&amp;":"&amp;AL$19&amp;":"&amp;$B24)</f>
        <v>#NAME?</v>
      </c>
      <c r="AM24" s="72" t="e">
        <f ca="1">_xll.BLUEMATRIX2("/servlet/excelData",AM23, $C$14,$B23&amp;":"&amp;AM$16&amp;AM$17&amp;":"&amp;AM$19&amp;":"&amp;$B24)</f>
        <v>#NAME?</v>
      </c>
      <c r="AN24" s="72" t="e">
        <f ca="1">_xll.BLUEMATRIX2("/servlet/excelData",AN23, $C$14,$B23&amp;":"&amp;AN$16&amp;AN$17&amp;":"&amp;AN$19&amp;":"&amp;$B24)</f>
        <v>#NAME?</v>
      </c>
      <c r="AO24" s="72" t="e">
        <f ca="1">_xll.BLUEMATRIX2("/servlet/excelData",AO23, $C$14,$B23&amp;":"&amp;AO$16&amp;AO$17&amp;":"&amp;AO$19&amp;":"&amp;$B24)</f>
        <v>#NAME?</v>
      </c>
      <c r="AP24" s="72" t="e">
        <f ca="1">_xll.BLUEMATRIX2("/servlet/excelData",AP23, $C$14,$B23&amp;":"&amp;AP$16&amp;AP$17&amp;":"&amp;AP$19&amp;":"&amp;$B24)</f>
        <v>#NAME?</v>
      </c>
      <c r="AQ24" s="72" t="e">
        <f ca="1">_xll.BLUEMATRIX2("/servlet/excelData",AQ23, $C$14,$B23&amp;":"&amp;AQ$16&amp;AQ$17&amp;":"&amp;AQ$19&amp;":"&amp;$B24)</f>
        <v>#NAME?</v>
      </c>
      <c r="AR24" s="72" t="e">
        <f ca="1">_xll.BLUEMATRIX2("/servlet/excelData",AR23, $C$14,$B23&amp;":"&amp;AR$16&amp;AR$17&amp;":"&amp;AR$19&amp;":"&amp;$B24)</f>
        <v>#NAME?</v>
      </c>
      <c r="AS24" s="72" t="e">
        <f ca="1">_xll.BLUEMATRIX2("/servlet/excelData",AS23, $C$14,$B23&amp;":"&amp;AS$16&amp;AS$17&amp;":"&amp;AS$19&amp;":"&amp;$B24)</f>
        <v>#NAME?</v>
      </c>
      <c r="AT24" s="72" t="e">
        <f ca="1">_xll.BLUEMATRIX2("/servlet/excelData",AT23, $C$14,$B23&amp;":"&amp;AT$16&amp;AT$17&amp;":"&amp;AT$19&amp;":"&amp;$B24)</f>
        <v>#NAME?</v>
      </c>
      <c r="AU24" s="72" t="e">
        <f ca="1">_xll.BLUEMATRIX2("/servlet/excelData",AU23, $C$14,$B23&amp;":"&amp;AU$16&amp;AU$17&amp;":"&amp;AU$19&amp;":"&amp;$B24)</f>
        <v>#NAME?</v>
      </c>
      <c r="AV24" s="72" t="e">
        <f ca="1">_xll.BLUEMATRIX2("/servlet/excelData",AV23, $C$14,$B23&amp;":"&amp;AV$16&amp;AV$17&amp;":"&amp;AV$19&amp;":"&amp;$B24)</f>
        <v>#NAME?</v>
      </c>
      <c r="AW24" s="72" t="e">
        <f ca="1">_xll.BLUEMATRIX2("/servlet/excelData",AW23, $C$14,$B23&amp;":"&amp;AW$16&amp;AW$17&amp;":"&amp;AW$19&amp;":"&amp;$B24)</f>
        <v>#NAME?</v>
      </c>
      <c r="AX24" s="72" t="e">
        <f ca="1">_xll.BLUEMATRIX2("/servlet/excelData",AX23, $C$14,$B23&amp;":"&amp;AX$16&amp;AX$17&amp;":"&amp;AX$19&amp;":"&amp;$B24)</f>
        <v>#NAME?</v>
      </c>
      <c r="AY24" s="72" t="e">
        <f ca="1">_xll.BLUEMATRIX2("/servlet/excelData",AY23, $C$14,$B23&amp;":"&amp;AY$16&amp;AY$17&amp;":"&amp;AY$19&amp;":"&amp;$B24)</f>
        <v>#NAME?</v>
      </c>
      <c r="AZ24" s="72" t="e">
        <f ca="1">_xll.BLUEMATRIX2("/servlet/excelData",AZ23, $C$14,$B23&amp;":"&amp;AZ$16&amp;AZ$17&amp;":"&amp;AZ$19&amp;":"&amp;$B24)</f>
        <v>#NAME?</v>
      </c>
      <c r="BA24" s="72" t="e">
        <f ca="1">_xll.BLUEMATRIX2("/servlet/excelData",BA23, $C$14,$B23&amp;":"&amp;BA$16&amp;BA$17&amp;":"&amp;BA$19&amp;":"&amp;$B24)</f>
        <v>#NAME?</v>
      </c>
      <c r="BB24" s="72" t="e">
        <f ca="1">_xll.BLUEMATRIX2("/servlet/excelData",BB23, $C$14,$B23&amp;":"&amp;BB$16&amp;BB$17&amp;":"&amp;BB$19&amp;":"&amp;$B24)</f>
        <v>#NAME?</v>
      </c>
      <c r="BC24" s="72" t="e">
        <f ca="1">_xll.BLUEMATRIX2("/servlet/excelData",BC23, $C$14,$B23&amp;":"&amp;BC$16&amp;BC$17&amp;":"&amp;BC$19&amp;":"&amp;$B24)</f>
        <v>#NAME?</v>
      </c>
      <c r="BD24" s="72" t="e">
        <f ca="1">_xll.BLUEMATRIX2("/servlet/excelData",BD23, $C$14,$B23&amp;":"&amp;BD$16&amp;BD$17&amp;":"&amp;BD$19&amp;":"&amp;$B24)</f>
        <v>#NAME?</v>
      </c>
      <c r="BE24" s="72" t="e">
        <f ca="1">_xll.BLUEMATRIX2("/servlet/excelData",BE23, $C$14,$B23&amp;":"&amp;BE$16&amp;BE$17&amp;":"&amp;BE$19&amp;":"&amp;$B24)</f>
        <v>#NAME?</v>
      </c>
      <c r="BF24" s="72" t="e">
        <f ca="1">_xll.BLUEMATRIX2("/servlet/excelData",BF23, $C$14,$B23&amp;":"&amp;BF$16&amp;BF$17&amp;":"&amp;BF$19&amp;":"&amp;$B24)</f>
        <v>#NAME?</v>
      </c>
      <c r="BG24" s="72" t="e">
        <f ca="1">_xll.BLUEMATRIX2("/servlet/excelData",BG23, $C$14,$B23&amp;":"&amp;BG$16&amp;BG$17&amp;":"&amp;BG$19&amp;":"&amp;$B24)</f>
        <v>#NAME?</v>
      </c>
      <c r="BH24" s="72" t="e">
        <f ca="1">_xll.BLUEMATRIX2("/servlet/excelData",BH23, $C$14,$B23&amp;":"&amp;BH$16&amp;BH$17&amp;":"&amp;BH$19&amp;":"&amp;$B24)</f>
        <v>#NAME?</v>
      </c>
      <c r="BI24" s="72" t="e">
        <f ca="1">_xll.BLUEMATRIX2("/servlet/excelData",BI23, $C$14,$B23&amp;":"&amp;BI$16&amp;BI$17&amp;":"&amp;BI$19&amp;":"&amp;$B24)</f>
        <v>#NAME?</v>
      </c>
      <c r="BJ24" s="72" t="e">
        <f ca="1">_xll.BLUEMATRIX2("/servlet/excelData",BJ23, $C$14,$B23&amp;":"&amp;BJ$16&amp;BJ$17&amp;":"&amp;BJ$19&amp;":"&amp;$B24)</f>
        <v>#NAME?</v>
      </c>
      <c r="BK24" s="72" t="e">
        <f ca="1">_xll.BLUEMATRIX2("/servlet/excelData",BK23, $C$14,$B23&amp;":"&amp;BK$16&amp;BK$17&amp;":"&amp;BK$19&amp;":"&amp;$B24)</f>
        <v>#NAME?</v>
      </c>
      <c r="BL24" s="72" t="e">
        <f ca="1">_xll.BLUEMATRIX2("/servlet/excelData",BL23, $C$14,$B23&amp;":"&amp;BL$16&amp;BL$17&amp;":"&amp;BL$19&amp;":"&amp;$B24)</f>
        <v>#NAME?</v>
      </c>
      <c r="BM24" s="72" t="e">
        <f ca="1">_xll.BLUEMATRIX2("/servlet/excelData",BM23, $C$14,$B23&amp;":"&amp;BM$16&amp;BM$17&amp;":"&amp;BM$19&amp;":"&amp;$B24)</f>
        <v>#NAME?</v>
      </c>
      <c r="BN24" s="72" t="e">
        <f ca="1">_xll.BLUEMATRIX2("/servlet/excelData",BN23, $C$14,$B23&amp;":"&amp;BN$16&amp;BN$17&amp;":"&amp;BN$19&amp;":"&amp;$B24)</f>
        <v>#NAME?</v>
      </c>
      <c r="BO24" s="72" t="e">
        <f ca="1">_xll.BLUEMATRIX2("/servlet/excelData",BO23, $C$14,$B23&amp;":"&amp;BO$16&amp;BO$17&amp;":"&amp;BO$19&amp;":"&amp;$B24)</f>
        <v>#NAME?</v>
      </c>
      <c r="BP24" s="72" t="e">
        <f ca="1">_xll.BLUEMATRIX2("/servlet/excelData",BP23, $C$14,$B23&amp;":"&amp;BP$16&amp;BP$17&amp;":"&amp;BP$19&amp;":"&amp;$B24)</f>
        <v>#NAME?</v>
      </c>
      <c r="BQ24" s="72" t="e">
        <f ca="1">_xll.BLUEMATRIX2("/servlet/excelData",BQ23, $C$14,$B23&amp;":"&amp;BQ$16&amp;BQ$17&amp;":"&amp;BQ$19&amp;":"&amp;$B24)</f>
        <v>#NAME?</v>
      </c>
      <c r="BR24" s="72" t="e">
        <f ca="1">_xll.BLUEMATRIX2("/servlet/excelData",BR23, $C$14,$B23&amp;":"&amp;BR$16&amp;BR$17&amp;":"&amp;BR$19&amp;":"&amp;$B24)</f>
        <v>#NAME?</v>
      </c>
      <c r="BS24" s="72" t="e">
        <f ca="1">_xll.BLUEMATRIX2("/servlet/excelData",BS23, $C$14,$B23&amp;":"&amp;BS$16&amp;BS$17&amp;":"&amp;BS$19&amp;":"&amp;$B24)</f>
        <v>#NAME?</v>
      </c>
      <c r="BT24" s="72" t="e">
        <f ca="1">_xll.BLUEMATRIX2("/servlet/excelData",BT23, $C$14,$B23&amp;":"&amp;BT$16&amp;BT$17&amp;":"&amp;BT$19&amp;":"&amp;$B24)</f>
        <v>#NAME?</v>
      </c>
      <c r="BU24" s="72" t="e">
        <f ca="1">_xll.BLUEMATRIX2("/servlet/excelData",BU23, $C$14,$B23&amp;":"&amp;BU$16&amp;BU$17&amp;":"&amp;BU$19&amp;":"&amp;$B24)</f>
        <v>#NAME?</v>
      </c>
      <c r="BX24" s="11" t="s">
        <v>70</v>
      </c>
    </row>
    <row r="25" spans="1:76" hidden="1">
      <c r="A25" s="58" t="s">
        <v>71</v>
      </c>
      <c r="B25" s="80" t="s">
        <v>71</v>
      </c>
      <c r="C25" s="48"/>
      <c r="D25" s="59"/>
      <c r="E25" s="60"/>
      <c r="F25" s="60"/>
      <c r="G25" s="60"/>
      <c r="H25" s="61"/>
      <c r="I25" s="60"/>
      <c r="J25" s="60"/>
      <c r="K25" s="60"/>
      <c r="L25" s="60"/>
      <c r="M25" s="61"/>
      <c r="N25" s="60"/>
      <c r="O25" s="60"/>
      <c r="P25" s="60"/>
      <c r="Q25" s="60"/>
      <c r="R25" s="61"/>
      <c r="S25" s="60"/>
      <c r="T25" s="60"/>
      <c r="U25" s="60"/>
      <c r="V25" s="60"/>
      <c r="W25" s="61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11" t="s">
        <v>72</v>
      </c>
      <c r="BG25" s="73"/>
      <c r="BH25" s="73"/>
      <c r="BI25" s="73"/>
      <c r="BJ25" s="73"/>
      <c r="BK25" s="11" t="s">
        <v>72</v>
      </c>
    </row>
    <row r="26" spans="1:76" s="52" customFormat="1" hidden="1">
      <c r="A26" s="88"/>
      <c r="B26" s="51"/>
      <c r="C26" s="81"/>
      <c r="D26" s="89" t="e">
        <f ca="1">_xll.BLUEMATRIX2("/servlet/excelData",D25, $C$14,$B25&amp;":"&amp;D$16&amp;D$17&amp;":"&amp;D$19&amp;":"&amp;$B26)</f>
        <v>#NAME?</v>
      </c>
      <c r="E26" s="82" t="e">
        <f ca="1">_xll.BLUEMATRIX2("/servlet/excelData",E25, $C$14,$B25&amp;":"&amp;E$16&amp;E$17&amp;":"&amp;E$19&amp;":"&amp;$B26)</f>
        <v>#NAME?</v>
      </c>
      <c r="F26" s="82" t="e">
        <f ca="1">_xll.BLUEMATRIX2("/servlet/excelData",F25, $C$14,$B25&amp;":"&amp;F$16&amp;F$17&amp;":"&amp;F$19&amp;":"&amp;$B26)</f>
        <v>#NAME?</v>
      </c>
      <c r="G26" s="82" t="e">
        <f ca="1">_xll.BLUEMATRIX2("/servlet/excelData",G25, $C$14,$B25&amp;":"&amp;G$16&amp;G$17&amp;":"&amp;G$19&amp;":"&amp;$B26)</f>
        <v>#NAME?</v>
      </c>
      <c r="H26" s="83" t="e">
        <f ca="1">_xll.BLUEMATRIX2("/servlet/excelData",H25, $C$14,$B25&amp;":"&amp;H$16&amp;H$17&amp;":"&amp;H$19&amp;":"&amp;$B26)</f>
        <v>#NAME?</v>
      </c>
      <c r="I26" s="82" t="e">
        <f ca="1">_xll.BLUEMATRIX2("/servlet/excelData",I25, $C$14,$B25&amp;":"&amp;I$16&amp;I$17&amp;":"&amp;I$19&amp;":"&amp;$B26)</f>
        <v>#NAME?</v>
      </c>
      <c r="J26" s="82" t="e">
        <f ca="1">_xll.BLUEMATRIX2("/servlet/excelData",J25, $C$14,$B25&amp;":"&amp;J$16&amp;J$17&amp;":"&amp;J$19&amp;":"&amp;$B26)</f>
        <v>#NAME?</v>
      </c>
      <c r="K26" s="82" t="e">
        <f ca="1">_xll.BLUEMATRIX2("/servlet/excelData",K25, $C$14,$B25&amp;":"&amp;K$16&amp;K$17&amp;":"&amp;K$19&amp;":"&amp;$B26)</f>
        <v>#NAME?</v>
      </c>
      <c r="L26" s="82" t="e">
        <f ca="1">_xll.BLUEMATRIX2("/servlet/excelData",L25, $C$14,$B25&amp;":"&amp;L$16&amp;L$17&amp;":"&amp;L$19&amp;":"&amp;$B26)</f>
        <v>#NAME?</v>
      </c>
      <c r="M26" s="83" t="e">
        <f ca="1">_xll.BLUEMATRIX2("/servlet/excelData",M25, $C$14,$B25&amp;":"&amp;M$16&amp;M$17&amp;":"&amp;M$19&amp;":"&amp;$B26)</f>
        <v>#NAME?</v>
      </c>
      <c r="N26" s="82" t="e">
        <f ca="1">_xll.BLUEMATRIX2("/servlet/excelData",N25, $C$14,$B25&amp;":"&amp;N$16&amp;N$17&amp;":"&amp;N$19&amp;":"&amp;$B26)</f>
        <v>#NAME?</v>
      </c>
      <c r="O26" s="82" t="e">
        <f ca="1">_xll.BLUEMATRIX2("/servlet/excelData",O25, $C$14,$B25&amp;":"&amp;O$16&amp;O$17&amp;":"&amp;O$19&amp;":"&amp;$B26)</f>
        <v>#NAME?</v>
      </c>
      <c r="P26" s="82" t="e">
        <f ca="1">_xll.BLUEMATRIX2("/servlet/excelData",P25, $C$14,$B25&amp;":"&amp;P$16&amp;P$17&amp;":"&amp;P$19&amp;":"&amp;$B26)</f>
        <v>#NAME?</v>
      </c>
      <c r="Q26" s="82" t="e">
        <f ca="1">_xll.BLUEMATRIX2("/servlet/excelData",Q25, $C$14,$B25&amp;":"&amp;Q$16&amp;Q$17&amp;":"&amp;Q$19&amp;":"&amp;$B26)</f>
        <v>#NAME?</v>
      </c>
      <c r="R26" s="83" t="e">
        <f ca="1">_xll.BLUEMATRIX2("/servlet/excelData",R25, $C$14,$B25&amp;":"&amp;R$16&amp;R$17&amp;":"&amp;R$19&amp;":"&amp;$B26)</f>
        <v>#NAME?</v>
      </c>
      <c r="S26" s="82" t="e">
        <f ca="1">_xll.BLUEMATRIX2("/servlet/excelData",S25, $C$14,$B25&amp;":"&amp;S$16&amp;S$17&amp;":"&amp;S$19&amp;":"&amp;$B26)</f>
        <v>#NAME?</v>
      </c>
      <c r="T26" s="82" t="e">
        <f ca="1">_xll.BLUEMATRIX2("/servlet/excelData",T25, $C$14,$B25&amp;":"&amp;T$16&amp;T$17&amp;":"&amp;T$19&amp;":"&amp;$B26)</f>
        <v>#NAME?</v>
      </c>
      <c r="U26" s="82" t="e">
        <f ca="1">_xll.BLUEMATRIX2("/servlet/excelData",U25, $C$14,$B25&amp;":"&amp;U$16&amp;U$17&amp;":"&amp;U$19&amp;":"&amp;$B26)</f>
        <v>#NAME?</v>
      </c>
      <c r="V26" s="82" t="e">
        <f ca="1">_xll.BLUEMATRIX2("/servlet/excelData",V25, $C$14,$B25&amp;":"&amp;V$16&amp;V$17&amp;":"&amp;V$19&amp;":"&amp;$B26)</f>
        <v>#NAME?</v>
      </c>
      <c r="W26" s="83" t="e">
        <f ca="1">_xll.BLUEMATRIX2("/servlet/excelData",W25, $C$14,$B25&amp;":"&amp;W$16&amp;W$17&amp;":"&amp;W$19&amp;":"&amp;$B26)</f>
        <v>#NAME?</v>
      </c>
      <c r="BF26" s="11" t="s">
        <v>73</v>
      </c>
      <c r="BK26" s="11" t="s">
        <v>73</v>
      </c>
    </row>
    <row r="27" spans="1:76" hidden="1">
      <c r="A27" s="62" t="s">
        <v>74</v>
      </c>
      <c r="B27" s="85" t="s">
        <v>74</v>
      </c>
      <c r="C27" s="54"/>
      <c r="D27" s="63"/>
      <c r="E27" s="52"/>
      <c r="F27" s="52"/>
      <c r="G27" s="52"/>
      <c r="H27" s="64"/>
      <c r="I27" s="52"/>
      <c r="J27" s="52"/>
      <c r="K27" s="52"/>
      <c r="L27" s="52"/>
      <c r="M27" s="64"/>
      <c r="N27" s="52"/>
      <c r="O27" s="52"/>
      <c r="P27" s="52"/>
      <c r="Q27" s="52"/>
      <c r="R27" s="64"/>
      <c r="S27" s="52"/>
      <c r="T27" s="52"/>
      <c r="U27" s="52"/>
      <c r="V27" s="52"/>
      <c r="W27" s="64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12"/>
      <c r="BG27" s="73"/>
      <c r="BH27" s="73"/>
      <c r="BI27" s="73"/>
      <c r="BJ27" s="73"/>
      <c r="BK27" s="12"/>
    </row>
    <row r="28" spans="1:76" s="52" customFormat="1" ht="15" hidden="1">
      <c r="A28" s="90"/>
      <c r="B28" s="57"/>
      <c r="C28" s="86"/>
      <c r="D28" s="87" t="e">
        <f ca="1">_xll.BLUEMATRIX2("/servlet/excelData",D27, $C$14,$B27&amp;":"&amp;D$16&amp;D$17&amp;":"&amp;D$19&amp;":"&amp;$B28)</f>
        <v>#NAME?</v>
      </c>
      <c r="E28" s="84" t="e">
        <f ca="1">_xll.BLUEMATRIX2("/servlet/excelData",E27, $C$14,$B27&amp;":"&amp;E$16&amp;E$17&amp;":"&amp;E$19&amp;":"&amp;$B28)</f>
        <v>#NAME?</v>
      </c>
      <c r="F28" s="84" t="e">
        <f ca="1">_xll.BLUEMATRIX2("/servlet/excelData",F27, $C$14,$B27&amp;":"&amp;F$16&amp;F$17&amp;":"&amp;F$19&amp;":"&amp;$B28)</f>
        <v>#NAME?</v>
      </c>
      <c r="G28" s="84" t="e">
        <f ca="1">_xll.BLUEMATRIX2("/servlet/excelData",G27, $C$14,$B27&amp;":"&amp;G$16&amp;G$17&amp;":"&amp;G$19&amp;":"&amp;$B28)</f>
        <v>#NAME?</v>
      </c>
      <c r="H28" s="72" t="e">
        <f ca="1">_xll.BLUEMATRIX2("/servlet/excelData",H27, $C$14,$B27&amp;":"&amp;H$16&amp;H$17&amp;":"&amp;H$19&amp;":"&amp;$B28)</f>
        <v>#NAME?</v>
      </c>
      <c r="I28" s="84" t="e">
        <f ca="1">_xll.BLUEMATRIX2("/servlet/excelData",I27, $C$14,$B27&amp;":"&amp;I$16&amp;I$17&amp;":"&amp;I$19&amp;":"&amp;$B28)</f>
        <v>#NAME?</v>
      </c>
      <c r="J28" s="84" t="e">
        <f ca="1">_xll.BLUEMATRIX2("/servlet/excelData",J27, $C$14,$B27&amp;":"&amp;J$16&amp;J$17&amp;":"&amp;J$19&amp;":"&amp;$B28)</f>
        <v>#NAME?</v>
      </c>
      <c r="K28" s="84" t="e">
        <f ca="1">_xll.BLUEMATRIX2("/servlet/excelData",K27, $C$14,$B27&amp;":"&amp;K$16&amp;K$17&amp;":"&amp;K$19&amp;":"&amp;$B28)</f>
        <v>#NAME?</v>
      </c>
      <c r="L28" s="84" t="e">
        <f ca="1">_xll.BLUEMATRIX2("/servlet/excelData",L27, $C$14,$B27&amp;":"&amp;L$16&amp;L$17&amp;":"&amp;L$19&amp;":"&amp;$B28)</f>
        <v>#NAME?</v>
      </c>
      <c r="M28" s="72" t="e">
        <f ca="1">_xll.BLUEMATRIX2("/servlet/excelData",M27, $C$14,$B27&amp;":"&amp;M$16&amp;M$17&amp;":"&amp;M$19&amp;":"&amp;$B28)</f>
        <v>#NAME?</v>
      </c>
      <c r="N28" s="84" t="e">
        <f ca="1">_xll.BLUEMATRIX2("/servlet/excelData",N27, $C$14,$B27&amp;":"&amp;N$16&amp;N$17&amp;":"&amp;N$19&amp;":"&amp;$B28)</f>
        <v>#NAME?</v>
      </c>
      <c r="O28" s="84" t="e">
        <f ca="1">_xll.BLUEMATRIX2("/servlet/excelData",O27, $C$14,$B27&amp;":"&amp;O$16&amp;O$17&amp;":"&amp;O$19&amp;":"&amp;$B28)</f>
        <v>#NAME?</v>
      </c>
      <c r="P28" s="84" t="e">
        <f ca="1">_xll.BLUEMATRIX2("/servlet/excelData",P27, $C$14,$B27&amp;":"&amp;P$16&amp;P$17&amp;":"&amp;P$19&amp;":"&amp;$B28)</f>
        <v>#NAME?</v>
      </c>
      <c r="Q28" s="84" t="e">
        <f ca="1">_xll.BLUEMATRIX2("/servlet/excelData",Q27, $C$14,$B27&amp;":"&amp;Q$16&amp;Q$17&amp;":"&amp;Q$19&amp;":"&amp;$B28)</f>
        <v>#NAME?</v>
      </c>
      <c r="R28" s="72" t="e">
        <f ca="1">_xll.BLUEMATRIX2("/servlet/excelData",R27, $C$14,$B27&amp;":"&amp;R$16&amp;R$17&amp;":"&amp;R$19&amp;":"&amp;$B28)</f>
        <v>#NAME?</v>
      </c>
      <c r="S28" s="84" t="e">
        <f ca="1">_xll.BLUEMATRIX2("/servlet/excelData",S27, $C$14,$B27&amp;":"&amp;S$16&amp;S$17&amp;":"&amp;S$19&amp;":"&amp;$B28)</f>
        <v>#NAME?</v>
      </c>
      <c r="T28" s="84" t="e">
        <f ca="1">_xll.BLUEMATRIX2("/servlet/excelData",T27, $C$14,$B27&amp;":"&amp;T$16&amp;T$17&amp;":"&amp;T$19&amp;":"&amp;$B28)</f>
        <v>#NAME?</v>
      </c>
      <c r="U28" s="84" t="e">
        <f ca="1">_xll.BLUEMATRIX2("/servlet/excelData",U27, $C$14,$B27&amp;":"&amp;U$16&amp;U$17&amp;":"&amp;U$19&amp;":"&amp;$B28)</f>
        <v>#NAME?</v>
      </c>
      <c r="V28" s="84" t="e">
        <f ca="1">_xll.BLUEMATRIX2("/servlet/excelData",V27, $C$14,$B27&amp;":"&amp;V$16&amp;V$17&amp;":"&amp;V$19&amp;":"&amp;$B28)</f>
        <v>#NAME?</v>
      </c>
      <c r="W28" s="72" t="e">
        <f ca="1">_xll.BLUEMATRIX2("/servlet/excelData",W27, $C$14,$B27&amp;":"&amp;W$16&amp;W$17&amp;":"&amp;W$19&amp;":"&amp;$B28)</f>
        <v>#NAME?</v>
      </c>
      <c r="BF28" s="12"/>
      <c r="BK28" s="12"/>
    </row>
    <row r="29" spans="1:76" hidden="1">
      <c r="A29" s="58" t="s">
        <v>75</v>
      </c>
      <c r="B29" s="80" t="s">
        <v>76</v>
      </c>
      <c r="C29" s="48"/>
      <c r="D29" s="59"/>
      <c r="E29" s="60"/>
      <c r="F29" s="60"/>
      <c r="G29" s="60"/>
      <c r="H29" s="61"/>
      <c r="I29" s="60"/>
      <c r="J29" s="60"/>
      <c r="K29" s="60"/>
      <c r="L29" s="60"/>
      <c r="M29" s="61"/>
      <c r="N29" s="60"/>
      <c r="O29" s="60"/>
      <c r="P29" s="60"/>
      <c r="Q29" s="60"/>
      <c r="R29" s="61"/>
      <c r="S29" s="60"/>
      <c r="T29" s="60"/>
      <c r="U29" s="60"/>
      <c r="V29" s="60"/>
      <c r="W29" s="61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12"/>
      <c r="BG29" s="73"/>
      <c r="BH29" s="73"/>
      <c r="BI29" s="73"/>
      <c r="BJ29" s="73"/>
      <c r="BK29" s="12"/>
    </row>
    <row r="30" spans="1:76" s="52" customFormat="1" ht="15" hidden="1">
      <c r="A30" s="88"/>
      <c r="B30" s="51"/>
      <c r="C30" s="81"/>
      <c r="D30" s="89" t="e">
        <f ca="1">_xll.BLUEMATRIX2("/servlet/excelData",D29, $C$14,$B29&amp;":"&amp;D$16&amp;D$17&amp;":"&amp;D$19&amp;":"&amp;$B30)</f>
        <v>#NAME?</v>
      </c>
      <c r="E30" s="82" t="e">
        <f ca="1">_xll.BLUEMATRIX2("/servlet/excelData",E29, $C$14,$B29&amp;":"&amp;E$16&amp;E$17&amp;":"&amp;E$19&amp;":"&amp;$B30)</f>
        <v>#NAME?</v>
      </c>
      <c r="F30" s="82" t="e">
        <f ca="1">_xll.BLUEMATRIX2("/servlet/excelData",F29, $C$14,$B29&amp;":"&amp;F$16&amp;F$17&amp;":"&amp;F$19&amp;":"&amp;$B30)</f>
        <v>#NAME?</v>
      </c>
      <c r="G30" s="82" t="e">
        <f ca="1">_xll.BLUEMATRIX2("/servlet/excelData",G29, $C$14,$B29&amp;":"&amp;G$16&amp;G$17&amp;":"&amp;G$19&amp;":"&amp;$B30)</f>
        <v>#NAME?</v>
      </c>
      <c r="H30" s="83" t="e">
        <f ca="1">_xll.BLUEMATRIX2("/servlet/excelData",H29, $C$14,$B29&amp;":"&amp;H$16&amp;H$17&amp;":"&amp;H$19&amp;":"&amp;$B30)</f>
        <v>#NAME?</v>
      </c>
      <c r="I30" s="82" t="e">
        <f ca="1">_xll.BLUEMATRIX2("/servlet/excelData",I29, $C$14,$B29&amp;":"&amp;I$16&amp;I$17&amp;":"&amp;I$19&amp;":"&amp;$B30)</f>
        <v>#NAME?</v>
      </c>
      <c r="J30" s="82" t="e">
        <f ca="1">_xll.BLUEMATRIX2("/servlet/excelData",J29, $C$14,$B29&amp;":"&amp;J$16&amp;J$17&amp;":"&amp;J$19&amp;":"&amp;$B30)</f>
        <v>#NAME?</v>
      </c>
      <c r="K30" s="82" t="e">
        <f ca="1">_xll.BLUEMATRIX2("/servlet/excelData",K29, $C$14,$B29&amp;":"&amp;K$16&amp;K$17&amp;":"&amp;K$19&amp;":"&amp;$B30)</f>
        <v>#NAME?</v>
      </c>
      <c r="L30" s="82" t="e">
        <f ca="1">_xll.BLUEMATRIX2("/servlet/excelData",L29, $C$14,$B29&amp;":"&amp;L$16&amp;L$17&amp;":"&amp;L$19&amp;":"&amp;$B30)</f>
        <v>#NAME?</v>
      </c>
      <c r="M30" s="83" t="e">
        <f ca="1">_xll.BLUEMATRIX2("/servlet/excelData",M29, $C$14,$B29&amp;":"&amp;M$16&amp;M$17&amp;":"&amp;M$19&amp;":"&amp;$B30)</f>
        <v>#NAME?</v>
      </c>
      <c r="N30" s="82" t="e">
        <f ca="1">_xll.BLUEMATRIX2("/servlet/excelData",N29, $C$14,$B29&amp;":"&amp;N$16&amp;N$17&amp;":"&amp;N$19&amp;":"&amp;$B30)</f>
        <v>#NAME?</v>
      </c>
      <c r="O30" s="82" t="e">
        <f ca="1">_xll.BLUEMATRIX2("/servlet/excelData",O29, $C$14,$B29&amp;":"&amp;O$16&amp;O$17&amp;":"&amp;O$19&amp;":"&amp;$B30)</f>
        <v>#NAME?</v>
      </c>
      <c r="P30" s="82" t="e">
        <f ca="1">_xll.BLUEMATRIX2("/servlet/excelData",P29, $C$14,$B29&amp;":"&amp;P$16&amp;P$17&amp;":"&amp;P$19&amp;":"&amp;$B30)</f>
        <v>#NAME?</v>
      </c>
      <c r="Q30" s="82" t="e">
        <f ca="1">_xll.BLUEMATRIX2("/servlet/excelData",Q29, $C$14,$B29&amp;":"&amp;Q$16&amp;Q$17&amp;":"&amp;Q$19&amp;":"&amp;$B30)</f>
        <v>#NAME?</v>
      </c>
      <c r="R30" s="83" t="e">
        <f ca="1">_xll.BLUEMATRIX2("/servlet/excelData",R29, $C$14,$B29&amp;":"&amp;R$16&amp;R$17&amp;":"&amp;R$19&amp;":"&amp;$B30)</f>
        <v>#NAME?</v>
      </c>
      <c r="S30" s="82" t="e">
        <f ca="1">_xll.BLUEMATRIX2("/servlet/excelData",S29, $C$14,$B29&amp;":"&amp;S$16&amp;S$17&amp;":"&amp;S$19&amp;":"&amp;$B30)</f>
        <v>#NAME?</v>
      </c>
      <c r="T30" s="82" t="e">
        <f ca="1">_xll.BLUEMATRIX2("/servlet/excelData",T29, $C$14,$B29&amp;":"&amp;T$16&amp;T$17&amp;":"&amp;T$19&amp;":"&amp;$B30)</f>
        <v>#NAME?</v>
      </c>
      <c r="U30" s="82" t="e">
        <f ca="1">_xll.BLUEMATRIX2("/servlet/excelData",U29, $C$14,$B29&amp;":"&amp;U$16&amp;U$17&amp;":"&amp;U$19&amp;":"&amp;$B30)</f>
        <v>#NAME?</v>
      </c>
      <c r="V30" s="82" t="e">
        <f ca="1">_xll.BLUEMATRIX2("/servlet/excelData",V29, $C$14,$B29&amp;":"&amp;V$16&amp;V$17&amp;":"&amp;V$19&amp;":"&amp;$B30)</f>
        <v>#NAME?</v>
      </c>
      <c r="W30" s="83" t="e">
        <f ca="1">_xll.BLUEMATRIX2("/servlet/excelData",W29, $C$14,$B29&amp;":"&amp;W$16&amp;W$17&amp;":"&amp;W$19&amp;":"&amp;$B30)</f>
        <v>#NAME?</v>
      </c>
      <c r="BF30" s="73"/>
      <c r="BK30" s="73"/>
    </row>
    <row r="31" spans="1:76" hidden="1">
      <c r="A31" s="62" t="s">
        <v>77</v>
      </c>
      <c r="B31" s="85" t="s">
        <v>78</v>
      </c>
      <c r="C31" s="54"/>
      <c r="D31" s="63"/>
      <c r="E31" s="52"/>
      <c r="F31" s="52"/>
      <c r="G31" s="52"/>
      <c r="H31" s="64"/>
      <c r="I31" s="52"/>
      <c r="J31" s="52"/>
      <c r="K31" s="52"/>
      <c r="L31" s="52"/>
      <c r="M31" s="64"/>
      <c r="N31" s="52"/>
      <c r="O31" s="52"/>
      <c r="P31" s="52"/>
      <c r="Q31" s="52"/>
      <c r="R31" s="64"/>
      <c r="S31" s="52"/>
      <c r="T31" s="52"/>
      <c r="U31" s="52"/>
      <c r="V31" s="52"/>
      <c r="W31" s="64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</row>
    <row r="32" spans="1:76" s="52" customFormat="1" ht="15" hidden="1">
      <c r="A32" s="90"/>
      <c r="B32" s="57"/>
      <c r="C32" s="86"/>
      <c r="D32" s="87" t="e">
        <f ca="1">_xll.BLUEMATRIX2("/servlet/excelData",D31, $C$14,$B31&amp;":"&amp;D$16&amp;D$17&amp;":"&amp;D$19&amp;":"&amp;$B32)</f>
        <v>#NAME?</v>
      </c>
      <c r="E32" s="84" t="e">
        <f ca="1">_xll.BLUEMATRIX2("/servlet/excelData",E31, $C$14,$B31&amp;":"&amp;E$16&amp;E$17&amp;":"&amp;E$19&amp;":"&amp;$B32)</f>
        <v>#NAME?</v>
      </c>
      <c r="F32" s="84" t="e">
        <f ca="1">_xll.BLUEMATRIX2("/servlet/excelData",F31, $C$14,$B31&amp;":"&amp;F$16&amp;F$17&amp;":"&amp;F$19&amp;":"&amp;$B32)</f>
        <v>#NAME?</v>
      </c>
      <c r="G32" s="84" t="e">
        <f ca="1">_xll.BLUEMATRIX2("/servlet/excelData",G31, $C$14,$B31&amp;":"&amp;G$16&amp;G$17&amp;":"&amp;G$19&amp;":"&amp;$B32)</f>
        <v>#NAME?</v>
      </c>
      <c r="H32" s="72" t="e">
        <f ca="1">_xll.BLUEMATRIX2("/servlet/excelData",H31, $C$14,$B31&amp;":"&amp;H$16&amp;H$17&amp;":"&amp;H$19&amp;":"&amp;$B32)</f>
        <v>#NAME?</v>
      </c>
      <c r="I32" s="84" t="e">
        <f ca="1">_xll.BLUEMATRIX2("/servlet/excelData",I31, $C$14,$B31&amp;":"&amp;I$16&amp;I$17&amp;":"&amp;I$19&amp;":"&amp;$B32)</f>
        <v>#NAME?</v>
      </c>
      <c r="J32" s="84" t="e">
        <f ca="1">_xll.BLUEMATRIX2("/servlet/excelData",J31, $C$14,$B31&amp;":"&amp;J$16&amp;J$17&amp;":"&amp;J$19&amp;":"&amp;$B32)</f>
        <v>#NAME?</v>
      </c>
      <c r="K32" s="84" t="e">
        <f ca="1">_xll.BLUEMATRIX2("/servlet/excelData",K31, $C$14,$B31&amp;":"&amp;K$16&amp;K$17&amp;":"&amp;K$19&amp;":"&amp;$B32)</f>
        <v>#NAME?</v>
      </c>
      <c r="L32" s="84" t="e">
        <f ca="1">_xll.BLUEMATRIX2("/servlet/excelData",L31, $C$14,$B31&amp;":"&amp;L$16&amp;L$17&amp;":"&amp;L$19&amp;":"&amp;$B32)</f>
        <v>#NAME?</v>
      </c>
      <c r="M32" s="72" t="e">
        <f ca="1">_xll.BLUEMATRIX2("/servlet/excelData",M31, $C$14,$B31&amp;":"&amp;M$16&amp;M$17&amp;":"&amp;M$19&amp;":"&amp;$B32)</f>
        <v>#NAME?</v>
      </c>
      <c r="N32" s="84" t="e">
        <f ca="1">_xll.BLUEMATRIX2("/servlet/excelData",N31, $C$14,$B31&amp;":"&amp;N$16&amp;N$17&amp;":"&amp;N$19&amp;":"&amp;$B32)</f>
        <v>#NAME?</v>
      </c>
      <c r="O32" s="84" t="e">
        <f ca="1">_xll.BLUEMATRIX2("/servlet/excelData",O31, $C$14,$B31&amp;":"&amp;O$16&amp;O$17&amp;":"&amp;O$19&amp;":"&amp;$B32)</f>
        <v>#NAME?</v>
      </c>
      <c r="P32" s="84" t="e">
        <f ca="1">_xll.BLUEMATRIX2("/servlet/excelData",P31, $C$14,$B31&amp;":"&amp;P$16&amp;P$17&amp;":"&amp;P$19&amp;":"&amp;$B32)</f>
        <v>#NAME?</v>
      </c>
      <c r="Q32" s="84" t="e">
        <f ca="1">_xll.BLUEMATRIX2("/servlet/excelData",Q31, $C$14,$B31&amp;":"&amp;Q$16&amp;Q$17&amp;":"&amp;Q$19&amp;":"&amp;$B32)</f>
        <v>#NAME?</v>
      </c>
      <c r="R32" s="72" t="e">
        <f ca="1">_xll.BLUEMATRIX2("/servlet/excelData",R31, $C$14,$B31&amp;":"&amp;R$16&amp;R$17&amp;":"&amp;R$19&amp;":"&amp;$B32)</f>
        <v>#NAME?</v>
      </c>
      <c r="S32" s="84" t="e">
        <f ca="1">_xll.BLUEMATRIX2("/servlet/excelData",S31, $C$14,$B31&amp;":"&amp;S$16&amp;S$17&amp;":"&amp;S$19&amp;":"&amp;$B32)</f>
        <v>#NAME?</v>
      </c>
      <c r="T32" s="84" t="e">
        <f ca="1">_xll.BLUEMATRIX2("/servlet/excelData",T31, $C$14,$B31&amp;":"&amp;T$16&amp;T$17&amp;":"&amp;T$19&amp;":"&amp;$B32)</f>
        <v>#NAME?</v>
      </c>
      <c r="U32" s="84" t="e">
        <f ca="1">_xll.BLUEMATRIX2("/servlet/excelData",U31, $C$14,$B31&amp;":"&amp;U$16&amp;U$17&amp;":"&amp;U$19&amp;":"&amp;$B32)</f>
        <v>#NAME?</v>
      </c>
      <c r="V32" s="84" t="e">
        <f ca="1">_xll.BLUEMATRIX2("/servlet/excelData",V31, $C$14,$B31&amp;":"&amp;V$16&amp;V$17&amp;":"&amp;V$19&amp;":"&amp;$B32)</f>
        <v>#NAME?</v>
      </c>
      <c r="W32" s="72" t="e">
        <f ca="1">_xll.BLUEMATRIX2("/servlet/excelData",W31, $C$14,$B31&amp;":"&amp;W$16&amp;W$17&amp;":"&amp;W$19&amp;":"&amp;$B32)</f>
        <v>#NAME?</v>
      </c>
      <c r="BF32" s="73"/>
      <c r="BK32" s="73"/>
    </row>
    <row r="33" spans="1:63" hidden="1">
      <c r="A33" s="58" t="s">
        <v>64</v>
      </c>
      <c r="B33" s="80" t="s">
        <v>65</v>
      </c>
      <c r="C33" s="48"/>
      <c r="D33" s="59"/>
      <c r="E33" s="60"/>
      <c r="F33" s="60"/>
      <c r="G33" s="60"/>
      <c r="H33" s="61"/>
      <c r="I33" s="60"/>
      <c r="J33" s="60"/>
      <c r="K33" s="60"/>
      <c r="L33" s="60"/>
      <c r="M33" s="61"/>
      <c r="N33" s="60"/>
      <c r="O33" s="60"/>
      <c r="P33" s="60"/>
      <c r="Q33" s="60"/>
      <c r="R33" s="61"/>
      <c r="S33" s="60"/>
      <c r="T33" s="60"/>
      <c r="U33" s="60"/>
      <c r="V33" s="60"/>
      <c r="W33" s="61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</row>
    <row r="34" spans="1:63" s="52" customFormat="1" ht="15" hidden="1">
      <c r="A34" s="88"/>
      <c r="B34" s="51"/>
      <c r="C34" s="81"/>
      <c r="D34" s="89" t="e">
        <f ca="1">_xll.BLUEMATRIX2("/servlet/excelData",D33, $C$14,$B33&amp;":"&amp;D$16&amp;D$17&amp;":"&amp;D$19&amp;":"&amp;$B34)</f>
        <v>#NAME?</v>
      </c>
      <c r="E34" s="82" t="e">
        <f ca="1">_xll.BLUEMATRIX2("/servlet/excelData",E33, $C$14,$B33&amp;":"&amp;E$16&amp;E$17&amp;":"&amp;E$19&amp;":"&amp;$B34)</f>
        <v>#NAME?</v>
      </c>
      <c r="F34" s="82" t="e">
        <f ca="1">_xll.BLUEMATRIX2("/servlet/excelData",F33, $C$14,$B33&amp;":"&amp;F$16&amp;F$17&amp;":"&amp;F$19&amp;":"&amp;$B34)</f>
        <v>#NAME?</v>
      </c>
      <c r="G34" s="82" t="e">
        <f ca="1">_xll.BLUEMATRIX2("/servlet/excelData",G33, $C$14,$B33&amp;":"&amp;G$16&amp;G$17&amp;":"&amp;G$19&amp;":"&amp;$B34)</f>
        <v>#NAME?</v>
      </c>
      <c r="H34" s="83" t="e">
        <f ca="1">_xll.BLUEMATRIX2("/servlet/excelData",H33, $C$14,$B33&amp;":"&amp;H$16&amp;H$17&amp;":"&amp;H$19&amp;":"&amp;$B34)</f>
        <v>#NAME?</v>
      </c>
      <c r="I34" s="82" t="e">
        <f ca="1">_xll.BLUEMATRIX2("/servlet/excelData",I33, $C$14,$B33&amp;":"&amp;I$16&amp;I$17&amp;":"&amp;I$19&amp;":"&amp;$B34)</f>
        <v>#NAME?</v>
      </c>
      <c r="J34" s="82" t="e">
        <f ca="1">_xll.BLUEMATRIX2("/servlet/excelData",J33, $C$14,$B33&amp;":"&amp;J$16&amp;J$17&amp;":"&amp;J$19&amp;":"&amp;$B34)</f>
        <v>#NAME?</v>
      </c>
      <c r="K34" s="82" t="e">
        <f ca="1">_xll.BLUEMATRIX2("/servlet/excelData",K33, $C$14,$B33&amp;":"&amp;K$16&amp;K$17&amp;":"&amp;K$19&amp;":"&amp;$B34)</f>
        <v>#NAME?</v>
      </c>
      <c r="L34" s="82" t="e">
        <f ca="1">_xll.BLUEMATRIX2("/servlet/excelData",L33, $C$14,$B33&amp;":"&amp;L$16&amp;L$17&amp;":"&amp;L$19&amp;":"&amp;$B34)</f>
        <v>#NAME?</v>
      </c>
      <c r="M34" s="83" t="e">
        <f ca="1">_xll.BLUEMATRIX2("/servlet/excelData",M33, $C$14,$B33&amp;":"&amp;M$16&amp;M$17&amp;":"&amp;M$19&amp;":"&amp;$B34)</f>
        <v>#NAME?</v>
      </c>
      <c r="N34" s="82" t="e">
        <f ca="1">_xll.BLUEMATRIX2("/servlet/excelData",N33, $C$14,$B33&amp;":"&amp;N$16&amp;N$17&amp;":"&amp;N$19&amp;":"&amp;$B34)</f>
        <v>#NAME?</v>
      </c>
      <c r="O34" s="82" t="e">
        <f ca="1">_xll.BLUEMATRIX2("/servlet/excelData",O33, $C$14,$B33&amp;":"&amp;O$16&amp;O$17&amp;":"&amp;O$19&amp;":"&amp;$B34)</f>
        <v>#NAME?</v>
      </c>
      <c r="P34" s="82" t="e">
        <f ca="1">_xll.BLUEMATRIX2("/servlet/excelData",P33, $C$14,$B33&amp;":"&amp;P$16&amp;P$17&amp;":"&amp;P$19&amp;":"&amp;$B34)</f>
        <v>#NAME?</v>
      </c>
      <c r="Q34" s="82" t="e">
        <f ca="1">_xll.BLUEMATRIX2("/servlet/excelData",Q33, $C$14,$B33&amp;":"&amp;Q$16&amp;Q$17&amp;":"&amp;Q$19&amp;":"&amp;$B34)</f>
        <v>#NAME?</v>
      </c>
      <c r="R34" s="83" t="e">
        <f ca="1">_xll.BLUEMATRIX2("/servlet/excelData",R33, $C$14,$B33&amp;":"&amp;R$16&amp;R$17&amp;":"&amp;R$19&amp;":"&amp;$B34)</f>
        <v>#NAME?</v>
      </c>
      <c r="S34" s="82" t="e">
        <f ca="1">_xll.BLUEMATRIX2("/servlet/excelData",S33, $C$14,$B33&amp;":"&amp;S$16&amp;S$17&amp;":"&amp;S$19&amp;":"&amp;$B34)</f>
        <v>#NAME?</v>
      </c>
      <c r="T34" s="82" t="e">
        <f ca="1">_xll.BLUEMATRIX2("/servlet/excelData",T33, $C$14,$B33&amp;":"&amp;T$16&amp;T$17&amp;":"&amp;T$19&amp;":"&amp;$B34)</f>
        <v>#NAME?</v>
      </c>
      <c r="U34" s="82" t="e">
        <f ca="1">_xll.BLUEMATRIX2("/servlet/excelData",U33, $C$14,$B33&amp;":"&amp;U$16&amp;U$17&amp;":"&amp;U$19&amp;":"&amp;$B34)</f>
        <v>#NAME?</v>
      </c>
      <c r="V34" s="82" t="e">
        <f ca="1">_xll.BLUEMATRIX2("/servlet/excelData",V33, $C$14,$B33&amp;":"&amp;V$16&amp;V$17&amp;":"&amp;V$19&amp;":"&amp;$B34)</f>
        <v>#NAME?</v>
      </c>
      <c r="W34" s="83" t="e">
        <f ca="1">_xll.BLUEMATRIX2("/servlet/excelData",W33, $C$14,$B33&amp;":"&amp;W$16&amp;W$17&amp;":"&amp;W$19&amp;":"&amp;$B34)</f>
        <v>#NAME?</v>
      </c>
      <c r="BF34" s="73"/>
      <c r="BK34" s="73"/>
    </row>
    <row r="35" spans="1:63" hidden="1">
      <c r="A35" s="65" t="s">
        <v>79</v>
      </c>
      <c r="B35" s="91" t="s">
        <v>79</v>
      </c>
      <c r="C35" s="66"/>
      <c r="D35" s="59"/>
      <c r="E35" s="60"/>
      <c r="F35" s="60"/>
      <c r="G35" s="60"/>
      <c r="H35" s="61"/>
      <c r="I35" s="60"/>
      <c r="J35" s="60"/>
      <c r="K35" s="60"/>
      <c r="L35" s="60"/>
      <c r="M35" s="61"/>
      <c r="N35" s="60"/>
      <c r="O35" s="60"/>
      <c r="P35" s="60"/>
      <c r="Q35" s="60"/>
      <c r="R35" s="61"/>
      <c r="S35" s="60"/>
      <c r="T35" s="60"/>
      <c r="U35" s="60"/>
      <c r="V35" s="60"/>
      <c r="W35" s="61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</row>
    <row r="36" spans="1:63" s="52" customFormat="1" ht="15" hidden="1">
      <c r="A36" s="92"/>
      <c r="B36" s="51"/>
      <c r="C36" s="93"/>
      <c r="D36" s="89" t="e">
        <f ca="1">_xll.BLUEMATRIX2("/servlet/excelData",D35, $C$14,$B35&amp;":"&amp;D$16&amp;D$17&amp;":"&amp;D$19&amp;":"&amp;$B36)</f>
        <v>#NAME?</v>
      </c>
      <c r="E36" s="82" t="e">
        <f ca="1">_xll.BLUEMATRIX2("/servlet/excelData",E35, $C$14,$B35&amp;":"&amp;E$16&amp;E$17&amp;":"&amp;E$19&amp;":"&amp;$B36)</f>
        <v>#NAME?</v>
      </c>
      <c r="F36" s="82" t="e">
        <f ca="1">_xll.BLUEMATRIX2("/servlet/excelData",F35, $C$14,$B35&amp;":"&amp;F$16&amp;F$17&amp;":"&amp;F$19&amp;":"&amp;$B36)</f>
        <v>#NAME?</v>
      </c>
      <c r="G36" s="82" t="e">
        <f ca="1">_xll.BLUEMATRIX2("/servlet/excelData",G35, $C$14,$B35&amp;":"&amp;G$16&amp;G$17&amp;":"&amp;G$19&amp;":"&amp;$B36)</f>
        <v>#NAME?</v>
      </c>
      <c r="H36" s="83" t="e">
        <f ca="1">_xll.BLUEMATRIX2("/servlet/excelData",H35, $C$14,$B35&amp;":"&amp;H$16&amp;H$17&amp;":"&amp;H$19&amp;":"&amp;$B36)</f>
        <v>#NAME?</v>
      </c>
      <c r="I36" s="82" t="e">
        <f ca="1">_xll.BLUEMATRIX2("/servlet/excelData",I35, $C$14,$B35&amp;":"&amp;I$16&amp;I$17&amp;":"&amp;I$19&amp;":"&amp;$B36)</f>
        <v>#NAME?</v>
      </c>
      <c r="J36" s="82" t="e">
        <f ca="1">_xll.BLUEMATRIX2("/servlet/excelData",J35, $C$14,$B35&amp;":"&amp;J$16&amp;J$17&amp;":"&amp;J$19&amp;":"&amp;$B36)</f>
        <v>#NAME?</v>
      </c>
      <c r="K36" s="82" t="e">
        <f ca="1">_xll.BLUEMATRIX2("/servlet/excelData",K35, $C$14,$B35&amp;":"&amp;K$16&amp;K$17&amp;":"&amp;K$19&amp;":"&amp;$B36)</f>
        <v>#NAME?</v>
      </c>
      <c r="L36" s="82" t="e">
        <f ca="1">_xll.BLUEMATRIX2("/servlet/excelData",L35, $C$14,$B35&amp;":"&amp;L$16&amp;L$17&amp;":"&amp;L$19&amp;":"&amp;$B36)</f>
        <v>#NAME?</v>
      </c>
      <c r="M36" s="83" t="e">
        <f ca="1">_xll.BLUEMATRIX2("/servlet/excelData",M35, $C$14,$B35&amp;":"&amp;M$16&amp;M$17&amp;":"&amp;M$19&amp;":"&amp;$B36)</f>
        <v>#NAME?</v>
      </c>
      <c r="N36" s="82" t="e">
        <f ca="1">_xll.BLUEMATRIX2("/servlet/excelData",N35, $C$14,$B35&amp;":"&amp;N$16&amp;N$17&amp;":"&amp;N$19&amp;":"&amp;$B36)</f>
        <v>#NAME?</v>
      </c>
      <c r="O36" s="82" t="e">
        <f ca="1">_xll.BLUEMATRIX2("/servlet/excelData",O35, $C$14,$B35&amp;":"&amp;O$16&amp;O$17&amp;":"&amp;O$19&amp;":"&amp;$B36)</f>
        <v>#NAME?</v>
      </c>
      <c r="P36" s="82" t="e">
        <f ca="1">_xll.BLUEMATRIX2("/servlet/excelData",P35, $C$14,$B35&amp;":"&amp;P$16&amp;P$17&amp;":"&amp;P$19&amp;":"&amp;$B36)</f>
        <v>#NAME?</v>
      </c>
      <c r="Q36" s="82" t="e">
        <f ca="1">_xll.BLUEMATRIX2("/servlet/excelData",Q35, $C$14,$B35&amp;":"&amp;Q$16&amp;Q$17&amp;":"&amp;Q$19&amp;":"&amp;$B36)</f>
        <v>#NAME?</v>
      </c>
      <c r="R36" s="83" t="e">
        <f ca="1">_xll.BLUEMATRIX2("/servlet/excelData",R35, $C$14,$B35&amp;":"&amp;R$16&amp;R$17&amp;":"&amp;R$19&amp;":"&amp;$B36)</f>
        <v>#NAME?</v>
      </c>
      <c r="S36" s="82" t="e">
        <f ca="1">_xll.BLUEMATRIX2("/servlet/excelData",S35, $C$14,$B35&amp;":"&amp;S$16&amp;S$17&amp;":"&amp;S$19&amp;":"&amp;$B36)</f>
        <v>#NAME?</v>
      </c>
      <c r="T36" s="82" t="e">
        <f ca="1">_xll.BLUEMATRIX2("/servlet/excelData",T35, $C$14,$B35&amp;":"&amp;T$16&amp;T$17&amp;":"&amp;T$19&amp;":"&amp;$B36)</f>
        <v>#NAME?</v>
      </c>
      <c r="U36" s="82" t="e">
        <f ca="1">_xll.BLUEMATRIX2("/servlet/excelData",U35, $C$14,$B35&amp;":"&amp;U$16&amp;U$17&amp;":"&amp;U$19&amp;":"&amp;$B36)</f>
        <v>#NAME?</v>
      </c>
      <c r="V36" s="82" t="e">
        <f ca="1">_xll.BLUEMATRIX2("/servlet/excelData",V35, $C$14,$B35&amp;":"&amp;V$16&amp;V$17&amp;":"&amp;V$19&amp;":"&amp;$B36)</f>
        <v>#NAME?</v>
      </c>
      <c r="W36" s="83" t="e">
        <f ca="1">_xll.BLUEMATRIX2("/servlet/excelData",W35, $C$14,$B35&amp;":"&amp;W$16&amp;W$17&amp;":"&amp;W$19&amp;":"&amp;$B36)</f>
        <v>#NAME?</v>
      </c>
      <c r="BF36" s="73"/>
      <c r="BK36" s="73"/>
    </row>
    <row r="37" spans="1:63">
      <c r="B37" s="73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</row>
    <row r="38" spans="1:63">
      <c r="A38" s="67"/>
      <c r="B38" s="67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</row>
    <row r="39" spans="1:63">
      <c r="A39" s="67"/>
      <c r="B39" s="67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</row>
    <row r="40" spans="1:63">
      <c r="A40" s="67"/>
      <c r="B40" s="67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</row>
    <row r="41" spans="1:63">
      <c r="A41" s="67"/>
      <c r="B41" s="67"/>
      <c r="C41" s="75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</row>
    <row r="42" spans="1:63">
      <c r="A42" s="67"/>
      <c r="B42" s="67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</row>
    <row r="43" spans="1:63">
      <c r="A43" s="67"/>
      <c r="B43" s="67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</row>
    <row r="44" spans="1:63">
      <c r="C44" s="75"/>
      <c r="D44" s="21" t="s">
        <v>80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</row>
    <row r="45" spans="1:63">
      <c r="A45" s="21" t="s">
        <v>81</v>
      </c>
      <c r="B45" s="21">
        <v>3</v>
      </c>
      <c r="C45" s="94"/>
      <c r="D45" s="73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</row>
    <row r="46" spans="1:63">
      <c r="A46" s="21" t="s">
        <v>82</v>
      </c>
      <c r="B46" s="21">
        <v>6</v>
      </c>
      <c r="C46" s="94"/>
      <c r="D46" s="73">
        <v>0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</row>
    <row r="47" spans="1:63">
      <c r="A47" s="21" t="s">
        <v>83</v>
      </c>
      <c r="B47" s="21">
        <v>9</v>
      </c>
      <c r="C47" s="94"/>
      <c r="D47" s="73">
        <v>0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</row>
    <row r="48" spans="1:63">
      <c r="A48" s="21" t="s">
        <v>84</v>
      </c>
      <c r="B48" s="21">
        <v>12</v>
      </c>
      <c r="C48" s="94"/>
      <c r="D48" s="73">
        <v>0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</row>
    <row r="49" spans="3:63"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</row>
    <row r="50" spans="3:63"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</row>
    <row r="51" spans="3:63"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</row>
    <row r="52" spans="3:63"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</row>
    <row r="53" spans="3:63"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</row>
    <row r="54" spans="3:63">
      <c r="C54" s="75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</row>
    <row r="55" spans="3:63"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</row>
    <row r="56" spans="3:63"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</row>
    <row r="57" spans="3:63">
      <c r="C57" s="75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</row>
    <row r="58" spans="3:63">
      <c r="C58" s="75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</row>
    <row r="59" spans="3:63">
      <c r="C59" s="75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</row>
    <row r="60" spans="3:63">
      <c r="C60" s="75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</row>
  </sheetData>
  <dataValidations disablePrompts="1" count="2">
    <dataValidation type="list" allowBlank="1" showInputMessage="1" showErrorMessage="1" sqref="C10" xr:uid="{00000000-0002-0000-0100-000000000000}">
      <formula1>$BW$5:$BW$12</formula1>
    </dataValidation>
    <dataValidation type="list" allowBlank="1" showInputMessage="1" showErrorMessage="1" sqref="B36 B30 B28 B22 B24 B26 B32 B34" xr:uid="{00000000-0002-0000-0100-000001000000}">
      <formula1>$BF$1:$BF$26</formula1>
    </dataValidation>
  </dataValidations>
  <hyperlinks>
    <hyperlink ref="A4" r:id="rId1" xr:uid="{00000000-0004-0000-0100-000000000000}"/>
    <hyperlink ref="B18" r:id="rId2" display="Q@" xr:uid="{00000000-0004-0000-0100-000001000000}"/>
  </hyperlinks>
  <pageMargins left="0.7" right="0.7" top="0.75" bottom="0.75" header="0.3" footer="0.3"/>
  <pageSetup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V102"/>
  <sheetViews>
    <sheetView showGridLines="0" view="pageBreakPreview" zoomScale="80" zoomScaleNormal="70" zoomScaleSheetLayoutView="80" workbookViewId="0"/>
  </sheetViews>
  <sheetFormatPr defaultColWidth="9.265625" defaultRowHeight="15.4" outlineLevelRow="1"/>
  <cols>
    <col min="1" max="1" width="2.73046875" style="101" customWidth="1"/>
    <col min="2" max="2" width="31" style="3" customWidth="1"/>
    <col min="3" max="3" width="1.265625" style="3" customWidth="1"/>
    <col min="4" max="5" width="12.265625" style="3" bestFit="1" customWidth="1"/>
    <col min="6" max="6" width="11.73046875" style="3" bestFit="1" customWidth="1"/>
    <col min="7" max="7" width="13" style="3" customWidth="1"/>
    <col min="8" max="8" width="2.265625" style="71" customWidth="1"/>
    <col min="9" max="9" width="9" style="71" bestFit="1" customWidth="1"/>
    <col min="10" max="10" width="10" style="71" bestFit="1" customWidth="1"/>
    <col min="11" max="11" width="4.59765625" style="71" bestFit="1" customWidth="1"/>
    <col min="12" max="13" width="10" style="1" bestFit="1" customWidth="1"/>
    <col min="14" max="14" width="4.59765625" style="1" customWidth="1"/>
    <col min="15" max="15" width="8.73046875" style="1" bestFit="1" customWidth="1"/>
    <col min="16" max="16" width="10" style="1" bestFit="1" customWidth="1"/>
    <col min="17" max="17" width="4.59765625" style="1" bestFit="1" customWidth="1"/>
    <col min="18" max="20" width="8.73046875" customWidth="1"/>
    <col min="21" max="16384" width="9.265625" style="1"/>
  </cols>
  <sheetData>
    <row r="2" spans="2:17" ht="15.75" thickBot="1"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3"/>
      <c r="N2" s="586"/>
      <c r="O2" s="586"/>
      <c r="P2" s="583"/>
      <c r="Q2" s="586"/>
    </row>
    <row r="3" spans="2:17" ht="17.649999999999999">
      <c r="B3" s="154" t="s">
        <v>363</v>
      </c>
      <c r="C3" s="69"/>
      <c r="D3" s="69"/>
      <c r="E3" s="2"/>
      <c r="F3" s="2"/>
      <c r="G3" s="2"/>
      <c r="H3" s="2"/>
      <c r="I3" s="2"/>
      <c r="J3" s="2"/>
      <c r="K3" s="2"/>
      <c r="L3" s="2"/>
      <c r="M3" s="2"/>
      <c r="N3" s="70"/>
      <c r="O3" s="2"/>
      <c r="P3" s="2"/>
      <c r="Q3" s="70"/>
    </row>
    <row r="4" spans="2:17">
      <c r="B4" s="155" t="s">
        <v>317</v>
      </c>
      <c r="C4" s="155"/>
      <c r="D4" s="155"/>
      <c r="E4" s="142"/>
      <c r="F4" s="142"/>
      <c r="G4" s="142"/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2:17" ht="15.75" thickBot="1">
      <c r="B5" s="155"/>
      <c r="C5" s="155"/>
      <c r="D5" s="222" t="s">
        <v>85</v>
      </c>
      <c r="E5" s="222" t="s">
        <v>85</v>
      </c>
      <c r="F5" s="222" t="s">
        <v>470</v>
      </c>
      <c r="G5" s="222" t="s">
        <v>85</v>
      </c>
      <c r="H5" s="155"/>
      <c r="I5" s="871" t="s">
        <v>86</v>
      </c>
      <c r="J5" s="871"/>
      <c r="K5" s="155"/>
      <c r="L5" s="871" t="s">
        <v>88</v>
      </c>
      <c r="M5" s="871"/>
      <c r="N5" s="155"/>
      <c r="O5" s="871" t="s">
        <v>87</v>
      </c>
      <c r="P5" s="871"/>
      <c r="Q5" s="155"/>
    </row>
    <row r="6" spans="2:17">
      <c r="B6" s="270" t="s">
        <v>146</v>
      </c>
      <c r="C6" s="155"/>
      <c r="D6" s="292" t="str">
        <f>+IS!BE23</f>
        <v>4Q-Dec 24A</v>
      </c>
      <c r="E6" s="292" t="s">
        <v>560</v>
      </c>
      <c r="F6" s="292" t="s">
        <v>400</v>
      </c>
      <c r="G6" s="292" t="str">
        <f>+IS!BJ23</f>
        <v>4Q-Dec 25A</v>
      </c>
      <c r="H6" s="155"/>
      <c r="I6" s="156" t="s">
        <v>89</v>
      </c>
      <c r="J6" s="156" t="s">
        <v>90</v>
      </c>
      <c r="K6" s="155"/>
      <c r="L6" s="156" t="s">
        <v>89</v>
      </c>
      <c r="M6" s="156" t="s">
        <v>90</v>
      </c>
      <c r="N6" s="155"/>
      <c r="O6" s="156" t="s">
        <v>89</v>
      </c>
      <c r="P6" s="156" t="s">
        <v>90</v>
      </c>
      <c r="Q6" s="155"/>
    </row>
    <row r="7" spans="2:17">
      <c r="B7" s="270"/>
      <c r="C7" s="155"/>
      <c r="D7" s="292"/>
      <c r="E7" s="292"/>
      <c r="F7" s="292"/>
      <c r="G7" s="292"/>
      <c r="H7" s="155"/>
      <c r="I7" s="156"/>
      <c r="J7" s="156"/>
      <c r="K7" s="155"/>
      <c r="L7" s="156"/>
      <c r="M7" s="156"/>
      <c r="N7" s="155"/>
      <c r="O7" s="156"/>
      <c r="P7" s="156"/>
      <c r="Q7" s="155"/>
    </row>
    <row r="8" spans="2:17" collapsed="1">
      <c r="B8" s="202" t="s">
        <v>173</v>
      </c>
      <c r="C8" s="155"/>
      <c r="D8" s="698">
        <f>+IS!BE25</f>
        <v>252578</v>
      </c>
      <c r="E8" s="698">
        <v>193374</v>
      </c>
      <c r="F8" s="698">
        <v>252966.34400000004</v>
      </c>
      <c r="G8" s="698">
        <f>+IS!BJ25</f>
        <v>247229</v>
      </c>
      <c r="H8" s="155"/>
      <c r="I8" s="159">
        <f>+G8/F8-1</f>
        <v>-2.2680266114768366E-2</v>
      </c>
      <c r="J8" s="267">
        <f>+G8-F8</f>
        <v>-5737.344000000041</v>
      </c>
      <c r="K8" s="155"/>
      <c r="L8" s="159">
        <f>+G8/D8-1</f>
        <v>-2.1177616419482348E-2</v>
      </c>
      <c r="M8" s="267">
        <f>+G8-D8</f>
        <v>-5349</v>
      </c>
      <c r="N8" s="155"/>
      <c r="O8" s="159">
        <f>+G8/E8-1</f>
        <v>0.2785017634221767</v>
      </c>
      <c r="P8" s="267">
        <f>+G8-E8</f>
        <v>53855</v>
      </c>
      <c r="Q8" s="155"/>
    </row>
    <row r="9" spans="2:17" ht="9.75" customHeight="1">
      <c r="B9" s="272"/>
      <c r="C9" s="155"/>
      <c r="D9" s="159"/>
      <c r="E9" s="159"/>
      <c r="F9" s="159"/>
      <c r="G9" s="159"/>
      <c r="H9" s="155"/>
      <c r="I9" s="159"/>
      <c r="J9" s="267"/>
      <c r="K9" s="155"/>
      <c r="L9" s="159"/>
      <c r="M9" s="267"/>
      <c r="N9" s="155"/>
      <c r="O9" s="159"/>
      <c r="P9" s="267"/>
      <c r="Q9" s="155"/>
    </row>
    <row r="10" spans="2:17" ht="15.6" customHeight="1">
      <c r="B10" s="225" t="s">
        <v>384</v>
      </c>
      <c r="C10" s="155"/>
      <c r="D10" s="698">
        <f>Metrics!BE41*1000</f>
        <v>839819</v>
      </c>
      <c r="E10" s="698">
        <v>837730</v>
      </c>
      <c r="F10" s="698">
        <v>836459.72399999993</v>
      </c>
      <c r="G10" s="698">
        <f>Metrics!BJ41*1000</f>
        <v>839900</v>
      </c>
      <c r="H10" s="155"/>
      <c r="I10" s="159">
        <f>+G10/F10-1</f>
        <v>4.1129009577991482E-3</v>
      </c>
      <c r="J10" s="267">
        <f>+G10-F10</f>
        <v>3440.2760000000708</v>
      </c>
      <c r="K10" s="155"/>
      <c r="L10" s="159">
        <f>+G10/D10-1</f>
        <v>9.6449353967908991E-5</v>
      </c>
      <c r="M10" s="267">
        <f>+G10-D10</f>
        <v>81</v>
      </c>
      <c r="N10" s="155"/>
      <c r="O10" s="159">
        <f>+G10/E10-1</f>
        <v>2.5903334009764745E-3</v>
      </c>
      <c r="P10" s="267">
        <f>+G10-E10</f>
        <v>2170</v>
      </c>
      <c r="Q10" s="155"/>
    </row>
    <row r="11" spans="2:17" ht="6.75" customHeight="1">
      <c r="B11" s="224"/>
      <c r="C11" s="155"/>
      <c r="D11" s="358"/>
      <c r="E11" s="358"/>
      <c r="F11" s="358"/>
      <c r="G11" s="358"/>
      <c r="H11" s="155"/>
      <c r="I11" s="159"/>
      <c r="J11" s="267"/>
      <c r="K11" s="155"/>
      <c r="L11" s="159"/>
      <c r="M11" s="267"/>
      <c r="N11" s="155"/>
      <c r="O11" s="159"/>
      <c r="P11" s="267"/>
      <c r="Q11" s="155"/>
    </row>
    <row r="12" spans="2:17">
      <c r="B12" s="202" t="s">
        <v>4</v>
      </c>
      <c r="C12" s="155"/>
      <c r="D12" s="359"/>
      <c r="E12" s="359"/>
      <c r="F12" s="359"/>
      <c r="G12" s="359"/>
      <c r="H12" s="155"/>
      <c r="I12" s="157"/>
      <c r="J12" s="268"/>
      <c r="K12" s="155"/>
      <c r="L12" s="157"/>
      <c r="M12" s="268"/>
      <c r="N12" s="155"/>
      <c r="O12" s="157"/>
      <c r="P12" s="268"/>
      <c r="Q12" s="155"/>
    </row>
    <row r="13" spans="2:17">
      <c r="B13" s="201" t="s">
        <v>451</v>
      </c>
      <c r="C13" s="158"/>
      <c r="D13" s="267">
        <f>+IS!BE39</f>
        <v>206328</v>
      </c>
      <c r="E13" s="267">
        <v>210146</v>
      </c>
      <c r="F13" s="267">
        <v>207978.62400000001</v>
      </c>
      <c r="G13" s="267">
        <f>+IS!BJ39</f>
        <v>209147</v>
      </c>
      <c r="H13" s="155"/>
      <c r="I13" s="159">
        <f>+G13/F13-1</f>
        <v>5.6177696415569134E-3</v>
      </c>
      <c r="J13" s="267">
        <f>+G13-F13</f>
        <v>1168.3759999999893</v>
      </c>
      <c r="K13" s="155"/>
      <c r="L13" s="159">
        <f>+G13/D13-1</f>
        <v>1.3662711798689386E-2</v>
      </c>
      <c r="M13" s="267">
        <f>+G13-D13</f>
        <v>2819</v>
      </c>
      <c r="N13" s="155"/>
      <c r="O13" s="159">
        <f>+G13/E13-1</f>
        <v>-4.7538378080002053E-3</v>
      </c>
      <c r="P13" s="267">
        <f>+G13-E13</f>
        <v>-999</v>
      </c>
      <c r="Q13" s="155"/>
    </row>
    <row r="14" spans="2:17" ht="15.75" hidden="1" customHeight="1" outlineLevel="1">
      <c r="B14" s="272" t="s">
        <v>244</v>
      </c>
      <c r="C14" s="158"/>
      <c r="D14" s="159">
        <f>+IS!BE31</f>
        <v>0.92237240081276783</v>
      </c>
      <c r="E14" s="159">
        <v>0.93364297320152734</v>
      </c>
      <c r="F14" s="159">
        <v>0.93240441848465372</v>
      </c>
      <c r="G14" s="159">
        <f>+IS!BJ31</f>
        <v>0.93150414208238219</v>
      </c>
      <c r="H14" s="155"/>
      <c r="I14" s="159"/>
      <c r="J14" s="267"/>
      <c r="K14" s="155"/>
      <c r="L14" s="159"/>
      <c r="M14" s="267"/>
      <c r="N14" s="155"/>
      <c r="O14" s="159"/>
      <c r="P14" s="267"/>
      <c r="Q14" s="155"/>
    </row>
    <row r="15" spans="2:17" ht="15.75" hidden="1" customHeight="1" outlineLevel="1">
      <c r="B15" s="224" t="s">
        <v>243</v>
      </c>
      <c r="C15" s="158"/>
      <c r="D15" s="360">
        <f>+IS!BE32</f>
        <v>6.242806475323559E-2</v>
      </c>
      <c r="E15" s="360">
        <v>2.3944290524239964E-2</v>
      </c>
      <c r="F15" s="360">
        <v>9.3058559931054052E-3</v>
      </c>
      <c r="G15" s="360">
        <f>+IS!BJ32</f>
        <v>1.5163164795467088E-2</v>
      </c>
      <c r="H15" s="155"/>
      <c r="I15" s="159"/>
      <c r="J15" s="267"/>
      <c r="K15" s="155"/>
      <c r="L15" s="159"/>
      <c r="M15" s="267"/>
      <c r="N15" s="155"/>
      <c r="O15" s="159"/>
      <c r="P15" s="267"/>
      <c r="Q15" s="155"/>
    </row>
    <row r="16" spans="2:17" ht="15.75" hidden="1" customHeight="1" outlineLevel="1">
      <c r="B16" s="224" t="s">
        <v>245</v>
      </c>
      <c r="C16" s="158"/>
      <c r="D16" s="358">
        <f>+IS!BE33</f>
        <v>3.6983331951578879E-3</v>
      </c>
      <c r="E16" s="358">
        <v>1.0148246056555399E-2</v>
      </c>
      <c r="F16" s="358">
        <v>-1.0650662619803963E-2</v>
      </c>
      <c r="G16" s="358">
        <f>+IS!BJ33</f>
        <v>-4.9091675635349885E-3</v>
      </c>
      <c r="H16" s="155"/>
      <c r="I16" s="159"/>
      <c r="J16" s="267"/>
      <c r="K16" s="155"/>
      <c r="L16" s="159"/>
      <c r="M16" s="267"/>
      <c r="N16" s="155"/>
      <c r="O16" s="159"/>
      <c r="P16" s="267"/>
      <c r="Q16" s="155"/>
    </row>
    <row r="17" spans="1:20" hidden="1" collapsed="1">
      <c r="A17" s="103"/>
      <c r="B17" s="186" t="s">
        <v>156</v>
      </c>
      <c r="D17" s="267">
        <f>+IS!BE34</f>
        <v>6854.82222783</v>
      </c>
      <c r="E17" s="267">
        <v>6649.1775609951001</v>
      </c>
      <c r="F17" s="267">
        <v>6649.1775609951001</v>
      </c>
      <c r="G17" s="267">
        <f>+IS!BJ34</f>
        <v>6649.1775609951001</v>
      </c>
      <c r="H17" s="155"/>
      <c r="I17" s="159">
        <f>+G17/F17-1</f>
        <v>0</v>
      </c>
      <c r="J17" s="267">
        <f>+G17-F17</f>
        <v>0</v>
      </c>
      <c r="K17" s="155"/>
      <c r="L17" s="159">
        <f>+G17/D17-1</f>
        <v>-3.0000000000000027E-2</v>
      </c>
      <c r="M17" s="267">
        <f>+G17-D17</f>
        <v>-205.64466683489991</v>
      </c>
      <c r="N17" s="155"/>
      <c r="O17" s="159">
        <f>+G17/E17-1</f>
        <v>0</v>
      </c>
      <c r="P17" s="267">
        <f>+G17-E17</f>
        <v>0</v>
      </c>
      <c r="Q17" s="155"/>
    </row>
    <row r="18" spans="1:20" ht="15.75" hidden="1" customHeight="1" outlineLevel="1">
      <c r="A18" s="103"/>
      <c r="B18" s="272" t="s">
        <v>244</v>
      </c>
      <c r="D18" s="159">
        <f>+IS!BE35</f>
        <v>3.1696987565164314E-2</v>
      </c>
      <c r="E18" s="159">
        <v>3.0506412006767757E-2</v>
      </c>
      <c r="F18" s="159">
        <v>3.0793918360268888E-2</v>
      </c>
      <c r="G18" s="159">
        <f>+IS!BJ35</f>
        <v>3.0586681698139273E-2</v>
      </c>
      <c r="H18" s="155"/>
      <c r="I18" s="159"/>
      <c r="J18" s="267"/>
      <c r="K18" s="155"/>
      <c r="L18" s="159"/>
      <c r="M18" s="267"/>
      <c r="N18" s="155"/>
      <c r="O18" s="159"/>
      <c r="P18" s="267"/>
      <c r="Q18" s="155"/>
    </row>
    <row r="19" spans="1:20" ht="15.75" hidden="1" customHeight="1" outlineLevel="1">
      <c r="A19" s="103"/>
      <c r="B19" s="224" t="s">
        <v>243</v>
      </c>
      <c r="D19" s="360">
        <f>+IS!BE36</f>
        <v>-0.03</v>
      </c>
      <c r="E19" s="360">
        <v>-0.03</v>
      </c>
      <c r="F19" s="360">
        <v>-0.03</v>
      </c>
      <c r="G19" s="360">
        <f>+IS!BJ36</f>
        <v>-0.03</v>
      </c>
      <c r="H19" s="155"/>
      <c r="I19" s="159"/>
      <c r="J19" s="267"/>
      <c r="K19" s="155"/>
      <c r="L19" s="159"/>
      <c r="M19" s="267"/>
      <c r="N19" s="155"/>
      <c r="O19" s="159"/>
      <c r="P19" s="267"/>
      <c r="Q19" s="155"/>
    </row>
    <row r="20" spans="1:20" ht="15.75" hidden="1" customHeight="1" outlineLevel="1">
      <c r="A20" s="103"/>
      <c r="B20" s="224" t="s">
        <v>245</v>
      </c>
      <c r="D20" s="358">
        <f>+IS!BE37</f>
        <v>0</v>
      </c>
      <c r="E20" s="358">
        <v>6.9397084771938289E-4</v>
      </c>
      <c r="F20" s="358">
        <v>0</v>
      </c>
      <c r="G20" s="358">
        <f>+IS!BJ37</f>
        <v>0</v>
      </c>
      <c r="H20" s="155"/>
      <c r="I20" s="159"/>
      <c r="J20" s="267"/>
      <c r="K20" s="155"/>
      <c r="L20" s="159"/>
      <c r="M20" s="267"/>
      <c r="N20" s="155"/>
      <c r="O20" s="159"/>
      <c r="P20" s="267"/>
      <c r="Q20" s="155"/>
    </row>
    <row r="21" spans="1:20" collapsed="1">
      <c r="B21" s="186" t="s">
        <v>157</v>
      </c>
      <c r="C21" s="155"/>
      <c r="D21" s="267">
        <f>+IS!BE47</f>
        <v>9933</v>
      </c>
      <c r="E21" s="267">
        <v>7814</v>
      </c>
      <c r="F21" s="267">
        <v>7946.4000000000005</v>
      </c>
      <c r="G21" s="267">
        <f>+IS!BJ47</f>
        <v>8241</v>
      </c>
      <c r="H21" s="161"/>
      <c r="I21" s="159">
        <f>+G21/F21-1</f>
        <v>3.7073391724554483E-2</v>
      </c>
      <c r="J21" s="267">
        <f>+G21-F21</f>
        <v>294.59999999999945</v>
      </c>
      <c r="K21" s="155"/>
      <c r="L21" s="159">
        <f>+G21/D21-1</f>
        <v>-0.17034128662035641</v>
      </c>
      <c r="M21" s="267">
        <f>+G21-D21</f>
        <v>-1692</v>
      </c>
      <c r="N21" s="155"/>
      <c r="O21" s="159">
        <f>+G21/E21-1</f>
        <v>5.4645508062451942E-2</v>
      </c>
      <c r="P21" s="267">
        <f>+G21-E21</f>
        <v>427</v>
      </c>
      <c r="Q21" s="155"/>
    </row>
    <row r="22" spans="1:20" ht="15.75" hidden="1" customHeight="1" outlineLevel="1">
      <c r="B22" s="272" t="s">
        <v>244</v>
      </c>
      <c r="C22" s="155"/>
      <c r="D22" s="159">
        <f>+IS!BE50</f>
        <v>4.5930611622067782E-2</v>
      </c>
      <c r="E22" s="159">
        <v>3.5850614791704899E-2</v>
      </c>
      <c r="F22" s="159">
        <v>3.6801663155077387E-2</v>
      </c>
      <c r="G22" s="159">
        <f>+IS!BJ50</f>
        <v>3.7909176219478535E-2</v>
      </c>
      <c r="H22" s="161"/>
      <c r="I22" s="159"/>
      <c r="J22" s="267"/>
      <c r="K22" s="155"/>
      <c r="L22" s="159"/>
      <c r="M22" s="267"/>
      <c r="N22" s="155"/>
      <c r="O22" s="159"/>
      <c r="P22" s="267"/>
      <c r="Q22" s="155"/>
    </row>
    <row r="23" spans="1:20" ht="15.75" hidden="1" customHeight="1" outlineLevel="1">
      <c r="B23" s="224" t="s">
        <v>243</v>
      </c>
      <c r="C23" s="155"/>
      <c r="D23" s="360">
        <f>+IS!BE48</f>
        <v>-4.9382716049382713E-2</v>
      </c>
      <c r="E23" s="360">
        <v>-0.13762277894272157</v>
      </c>
      <c r="F23" s="360">
        <v>-0.2</v>
      </c>
      <c r="G23" s="360">
        <f>+IS!BJ48</f>
        <v>-0.17034128662035641</v>
      </c>
      <c r="H23" s="161"/>
      <c r="I23" s="159"/>
      <c r="J23" s="267"/>
      <c r="K23" s="155"/>
      <c r="L23" s="159"/>
      <c r="M23" s="267"/>
      <c r="N23" s="155"/>
      <c r="O23" s="159"/>
      <c r="P23" s="267"/>
      <c r="Q23" s="155"/>
    </row>
    <row r="24" spans="1:20" ht="15.75" hidden="1" customHeight="1" outlineLevel="1">
      <c r="B24" s="224" t="s">
        <v>245</v>
      </c>
      <c r="C24" s="155"/>
      <c r="D24" s="358">
        <f>+IS!BE49</f>
        <v>9.6236618474782043E-2</v>
      </c>
      <c r="E24" s="358">
        <v>0.28182414698162739</v>
      </c>
      <c r="F24" s="358">
        <v>1.6943946762221662E-2</v>
      </c>
      <c r="G24" s="358">
        <f>+IS!BJ49</f>
        <v>5.4645508062451942E-2</v>
      </c>
      <c r="H24" s="161"/>
      <c r="I24" s="159"/>
      <c r="J24" s="267"/>
      <c r="K24" s="155"/>
      <c r="L24" s="159"/>
      <c r="M24" s="267"/>
      <c r="N24" s="155"/>
      <c r="O24" s="159"/>
      <c r="P24" s="267"/>
      <c r="Q24" s="155"/>
    </row>
    <row r="25" spans="1:20" ht="6" customHeight="1" collapsed="1">
      <c r="B25" s="186"/>
      <c r="C25" s="155"/>
      <c r="D25" s="200" t="s">
        <v>1</v>
      </c>
      <c r="E25" s="200" t="s">
        <v>1</v>
      </c>
      <c r="F25" s="200" t="s">
        <v>1</v>
      </c>
      <c r="G25" s="200" t="s">
        <v>1</v>
      </c>
      <c r="H25" s="155"/>
      <c r="I25" s="162" t="s">
        <v>1</v>
      </c>
      <c r="J25" s="173" t="s">
        <v>1</v>
      </c>
      <c r="K25" s="155"/>
      <c r="L25" s="162" t="s">
        <v>1</v>
      </c>
      <c r="M25" s="173" t="s">
        <v>1</v>
      </c>
      <c r="N25" s="155"/>
      <c r="O25" s="162" t="s">
        <v>1</v>
      </c>
      <c r="P25" s="173" t="s">
        <v>1</v>
      </c>
      <c r="Q25" s="155"/>
    </row>
    <row r="26" spans="1:20">
      <c r="B26" s="191" t="s">
        <v>128</v>
      </c>
      <c r="C26" s="163"/>
      <c r="D26" s="199">
        <f>+IS!BE52</f>
        <v>216261</v>
      </c>
      <c r="E26" s="199">
        <v>217960</v>
      </c>
      <c r="F26" s="199">
        <v>215925.024</v>
      </c>
      <c r="G26" s="199">
        <f>+IS!BJ52</f>
        <v>217388</v>
      </c>
      <c r="H26" s="164"/>
      <c r="I26" s="159">
        <f>+G26/F26-1</f>
        <v>6.7753888497887882E-3</v>
      </c>
      <c r="J26" s="267">
        <f>+G26-F26</f>
        <v>1462.9759999999951</v>
      </c>
      <c r="K26" s="155"/>
      <c r="L26" s="159">
        <f>+G26/D26-1</f>
        <v>5.2112956103966823E-3</v>
      </c>
      <c r="M26" s="267">
        <f>+G26-D26</f>
        <v>1127</v>
      </c>
      <c r="N26" s="155"/>
      <c r="O26" s="159">
        <f>+G26/E26-1</f>
        <v>-2.6243347403193118E-3</v>
      </c>
      <c r="P26" s="267">
        <f>+G26-E26</f>
        <v>-572</v>
      </c>
      <c r="Q26" s="155"/>
      <c r="T26" s="418"/>
    </row>
    <row r="27" spans="1:20" ht="15">
      <c r="B27" s="191"/>
      <c r="C27" s="417" t="s">
        <v>568</v>
      </c>
      <c r="D27" s="199"/>
      <c r="E27" s="199"/>
      <c r="F27" s="418">
        <v>215020</v>
      </c>
      <c r="G27" s="199"/>
      <c r="H27" s="155"/>
      <c r="I27" s="159">
        <f>+G26/F27-1</f>
        <v>1.1012929029857732E-2</v>
      </c>
      <c r="J27" s="267">
        <f>+G26-F27</f>
        <v>2368</v>
      </c>
      <c r="K27" s="155"/>
      <c r="L27" s="159"/>
      <c r="M27" s="206"/>
      <c r="N27" s="155"/>
      <c r="O27" s="159"/>
      <c r="P27" s="206"/>
      <c r="Q27" s="155"/>
      <c r="R27" s="160"/>
      <c r="S27" s="1"/>
      <c r="T27" s="1"/>
    </row>
    <row r="28" spans="1:20" ht="15" hidden="1" customHeight="1" outlineLevel="1">
      <c r="B28" s="224" t="s">
        <v>243</v>
      </c>
      <c r="C28" s="160"/>
      <c r="D28" s="360">
        <f>+IS!BE53</f>
        <v>5.3554377691603205E-2</v>
      </c>
      <c r="E28" s="360">
        <v>1.5401529903938505E-2</v>
      </c>
      <c r="F28" s="360">
        <v>3.4211335912075924E-2</v>
      </c>
      <c r="G28" s="360">
        <f>+IS!BJ53</f>
        <v>5.2112956103966823E-3</v>
      </c>
      <c r="H28" s="155"/>
      <c r="I28" s="159"/>
      <c r="J28" s="267"/>
      <c r="K28" s="155"/>
      <c r="L28" s="159"/>
      <c r="M28" s="206"/>
      <c r="N28" s="155"/>
      <c r="O28" s="159"/>
      <c r="P28" s="206"/>
      <c r="Q28" s="155"/>
      <c r="R28" s="1"/>
      <c r="S28" s="1"/>
      <c r="T28" s="1"/>
    </row>
    <row r="29" spans="1:20" ht="15" hidden="1" customHeight="1" outlineLevel="1">
      <c r="B29" s="224" t="s">
        <v>245</v>
      </c>
      <c r="C29" s="160"/>
      <c r="D29" s="358">
        <f>+IS!BE54</f>
        <v>7.486466592749208E-3</v>
      </c>
      <c r="E29" s="358">
        <v>1.7586942617172419E-2</v>
      </c>
      <c r="F29" s="358">
        <v>-1.1010777809870698E-2</v>
      </c>
      <c r="G29" s="358">
        <f>+IS!BJ54</f>
        <v>-2.6243347403193118E-3</v>
      </c>
      <c r="H29" s="155"/>
      <c r="I29" s="159"/>
      <c r="J29" s="267"/>
      <c r="K29" s="155"/>
      <c r="L29" s="159"/>
      <c r="M29" s="206"/>
      <c r="N29" s="155"/>
      <c r="O29" s="159"/>
      <c r="P29" s="206"/>
      <c r="Q29" s="155"/>
      <c r="R29" s="1"/>
      <c r="S29" s="1"/>
      <c r="T29" s="1"/>
    </row>
    <row r="30" spans="1:20" s="6" customFormat="1" ht="15.75" hidden="1" customHeight="1" outlineLevel="1">
      <c r="A30" s="102"/>
      <c r="B30" s="269"/>
      <c r="C30" s="158"/>
      <c r="D30" s="199"/>
      <c r="E30" s="199"/>
      <c r="F30" s="199"/>
      <c r="G30" s="199"/>
      <c r="H30" s="158"/>
      <c r="I30" s="159"/>
      <c r="J30" s="206"/>
      <c r="K30" s="155"/>
      <c r="L30" s="159"/>
      <c r="M30" s="206"/>
      <c r="N30" s="155"/>
      <c r="O30" s="159"/>
      <c r="P30" s="206"/>
      <c r="Q30" s="155"/>
    </row>
    <row r="31" spans="1:20" collapsed="1">
      <c r="B31" s="186" t="s">
        <v>158</v>
      </c>
      <c r="C31" s="158"/>
      <c r="D31" s="199"/>
      <c r="E31" s="199"/>
      <c r="F31" s="199"/>
      <c r="G31" s="199"/>
      <c r="H31" s="155"/>
      <c r="I31" s="167"/>
      <c r="J31" s="167"/>
      <c r="K31" s="155"/>
      <c r="L31" s="167"/>
      <c r="M31" s="167"/>
      <c r="N31" s="155"/>
      <c r="O31" s="167"/>
      <c r="P31" s="167"/>
      <c r="Q31" s="155"/>
    </row>
    <row r="32" spans="1:20" ht="15">
      <c r="B32" s="201" t="s">
        <v>451</v>
      </c>
      <c r="C32" s="163"/>
      <c r="D32" s="193">
        <f>+IS!BE65</f>
        <v>51932</v>
      </c>
      <c r="E32" s="193">
        <v>51908</v>
      </c>
      <c r="F32" s="193">
        <v>53034.549120000003</v>
      </c>
      <c r="G32" s="193">
        <f>+IS!BJ65</f>
        <v>54081</v>
      </c>
      <c r="H32" s="155"/>
      <c r="I32" s="159">
        <f>+G32/F32-1</f>
        <v>1.973149385379358E-2</v>
      </c>
      <c r="J32" s="206">
        <f>+G32-F32</f>
        <v>1046.4508799999967</v>
      </c>
      <c r="K32" s="155"/>
      <c r="L32" s="159">
        <f>+G32/D32-1</f>
        <v>4.1381036740352872E-2</v>
      </c>
      <c r="M32" s="205">
        <f>+G32-D32</f>
        <v>2149</v>
      </c>
      <c r="N32" s="155"/>
      <c r="O32" s="159">
        <f>+G32/E32-1</f>
        <v>4.1862526007551804E-2</v>
      </c>
      <c r="P32" s="205">
        <f>+G32-E32</f>
        <v>2173</v>
      </c>
      <c r="Q32" s="155"/>
      <c r="R32" s="1"/>
      <c r="S32" s="1"/>
      <c r="T32" s="1"/>
    </row>
    <row r="33" spans="1:19" s="1" customFormat="1" ht="15" hidden="1" customHeight="1" outlineLevel="1">
      <c r="A33" s="101"/>
      <c r="B33" s="272" t="s">
        <v>244</v>
      </c>
      <c r="C33" s="163"/>
      <c r="D33" s="159">
        <f>+IS!BE58</f>
        <v>0</v>
      </c>
      <c r="E33" s="159">
        <v>0</v>
      </c>
      <c r="F33" s="159">
        <v>0</v>
      </c>
      <c r="G33" s="159">
        <f>+IS!BJ58</f>
        <v>0</v>
      </c>
      <c r="H33" s="155"/>
      <c r="I33" s="159"/>
      <c r="J33" s="206"/>
      <c r="K33" s="155"/>
      <c r="L33" s="159"/>
      <c r="M33" s="205"/>
      <c r="N33" s="155"/>
      <c r="O33" s="159"/>
      <c r="P33" s="205"/>
      <c r="Q33" s="155"/>
    </row>
    <row r="34" spans="1:19" s="1" customFormat="1" ht="15" hidden="1" customHeight="1" outlineLevel="1">
      <c r="A34" s="101"/>
      <c r="B34" s="224" t="s">
        <v>243</v>
      </c>
      <c r="C34" s="163"/>
      <c r="D34" s="360">
        <f>+IS!BE59</f>
        <v>0</v>
      </c>
      <c r="E34" s="360">
        <v>0</v>
      </c>
      <c r="F34" s="360">
        <v>0</v>
      </c>
      <c r="G34" s="360">
        <f>+IS!BJ59</f>
        <v>0</v>
      </c>
      <c r="H34" s="155"/>
      <c r="I34" s="159"/>
      <c r="J34" s="206"/>
      <c r="K34" s="155"/>
      <c r="L34" s="159"/>
      <c r="M34" s="205"/>
      <c r="N34" s="155"/>
      <c r="O34" s="159"/>
      <c r="P34" s="205"/>
      <c r="Q34" s="155"/>
    </row>
    <row r="35" spans="1:19" s="1" customFormat="1" ht="15" hidden="1" customHeight="1" outlineLevel="1">
      <c r="A35" s="101"/>
      <c r="B35" s="224" t="s">
        <v>245</v>
      </c>
      <c r="C35" s="163"/>
      <c r="D35" s="358">
        <f>+IS!BE60</f>
        <v>0</v>
      </c>
      <c r="E35" s="358">
        <v>0</v>
      </c>
      <c r="F35" s="358">
        <v>0</v>
      </c>
      <c r="G35" s="358">
        <f>+IS!BJ60</f>
        <v>0</v>
      </c>
      <c r="H35" s="155"/>
      <c r="I35" s="159"/>
      <c r="J35" s="206"/>
      <c r="K35" s="155"/>
      <c r="L35" s="159"/>
      <c r="M35" s="205"/>
      <c r="N35" s="155"/>
      <c r="O35" s="159"/>
      <c r="P35" s="205"/>
      <c r="Q35" s="155"/>
    </row>
    <row r="36" spans="1:19" s="1" customFormat="1" ht="15" hidden="1" collapsed="1">
      <c r="A36" s="101"/>
      <c r="B36" s="186" t="s">
        <v>156</v>
      </c>
      <c r="C36" s="163"/>
      <c r="D36" s="193">
        <f>+IS!BE61</f>
        <v>0</v>
      </c>
      <c r="E36" s="193">
        <v>0</v>
      </c>
      <c r="F36" s="193">
        <v>0</v>
      </c>
      <c r="G36" s="193">
        <f>+IS!BJ61</f>
        <v>0</v>
      </c>
      <c r="H36" s="155"/>
      <c r="I36" s="159" t="e">
        <f>+G36/F36-1</f>
        <v>#DIV/0!</v>
      </c>
      <c r="J36" s="206">
        <f>+G36-F36</f>
        <v>0</v>
      </c>
      <c r="K36" s="155"/>
      <c r="L36" s="159" t="e">
        <f>+G36/D36-1</f>
        <v>#DIV/0!</v>
      </c>
      <c r="M36" s="205">
        <f>+G36-D36</f>
        <v>0</v>
      </c>
      <c r="N36" s="155"/>
      <c r="O36" s="159" t="str">
        <f>IFERROR(+G36/E36-1, "N/A")</f>
        <v>N/A</v>
      </c>
      <c r="P36" s="205">
        <f>+G36-E36</f>
        <v>0</v>
      </c>
      <c r="Q36" s="155"/>
    </row>
    <row r="37" spans="1:19" s="1" customFormat="1" ht="15" hidden="1" customHeight="1" outlineLevel="1">
      <c r="A37" s="101"/>
      <c r="B37" s="272" t="s">
        <v>244</v>
      </c>
      <c r="C37" s="163"/>
      <c r="D37" s="159">
        <f>+IS!BE62</f>
        <v>0</v>
      </c>
      <c r="E37" s="159">
        <v>0</v>
      </c>
      <c r="F37" s="159">
        <v>0</v>
      </c>
      <c r="G37" s="159">
        <f>+IS!BJ62</f>
        <v>0</v>
      </c>
      <c r="H37" s="155"/>
      <c r="I37" s="159"/>
      <c r="J37" s="206"/>
      <c r="K37" s="155"/>
      <c r="L37" s="159"/>
      <c r="M37" s="205"/>
      <c r="N37" s="155"/>
      <c r="O37" s="159"/>
      <c r="P37" s="205"/>
      <c r="Q37" s="155"/>
    </row>
    <row r="38" spans="1:19" s="1" customFormat="1" ht="15" hidden="1" customHeight="1" outlineLevel="1">
      <c r="A38" s="101"/>
      <c r="B38" s="224" t="s">
        <v>243</v>
      </c>
      <c r="C38" s="163"/>
      <c r="D38" s="360">
        <f>+IS!BE63</f>
        <v>0</v>
      </c>
      <c r="E38" s="360">
        <v>0</v>
      </c>
      <c r="F38" s="360">
        <v>0</v>
      </c>
      <c r="G38" s="360">
        <f>+IS!BJ63</f>
        <v>0</v>
      </c>
      <c r="H38" s="155"/>
      <c r="I38" s="159"/>
      <c r="J38" s="206"/>
      <c r="K38" s="155"/>
      <c r="L38" s="159"/>
      <c r="M38" s="205"/>
      <c r="N38" s="155"/>
      <c r="O38" s="159"/>
      <c r="P38" s="205"/>
      <c r="Q38" s="155"/>
    </row>
    <row r="39" spans="1:19" s="1" customFormat="1" ht="15" hidden="1" customHeight="1" outlineLevel="1">
      <c r="A39" s="101"/>
      <c r="B39" s="224" t="s">
        <v>245</v>
      </c>
      <c r="C39" s="163"/>
      <c r="D39" s="358">
        <f>+IS!BE64</f>
        <v>0</v>
      </c>
      <c r="E39" s="358">
        <v>0</v>
      </c>
      <c r="F39" s="358">
        <v>0</v>
      </c>
      <c r="G39" s="358">
        <f>+IS!BJ64</f>
        <v>0</v>
      </c>
      <c r="H39" s="155"/>
      <c r="I39" s="159"/>
      <c r="J39" s="206"/>
      <c r="K39" s="155"/>
      <c r="L39" s="159"/>
      <c r="M39" s="205"/>
      <c r="N39" s="155"/>
      <c r="O39" s="159"/>
      <c r="P39" s="205"/>
      <c r="Q39" s="155"/>
    </row>
    <row r="40" spans="1:19" collapsed="1">
      <c r="B40" s="186" t="s">
        <v>157</v>
      </c>
      <c r="C40" s="169"/>
      <c r="D40" s="193">
        <f>+IS!BE69</f>
        <v>6427</v>
      </c>
      <c r="E40" s="193">
        <v>6195</v>
      </c>
      <c r="F40" s="193">
        <v>6357.1200000000008</v>
      </c>
      <c r="G40" s="193">
        <f>+IS!BJ69</f>
        <v>6673</v>
      </c>
      <c r="H40" s="155"/>
      <c r="I40" s="159">
        <f>+G40/F40-1</f>
        <v>4.9689167421725466E-2</v>
      </c>
      <c r="J40" s="206">
        <f>+G40-F40</f>
        <v>315.8799999999992</v>
      </c>
      <c r="K40" s="155"/>
      <c r="L40" s="159">
        <f>+G40/D40-1</f>
        <v>3.8276023027851158E-2</v>
      </c>
      <c r="M40" s="205">
        <f>+G40-D40</f>
        <v>246</v>
      </c>
      <c r="N40" s="155"/>
      <c r="O40" s="159">
        <f>+G40/E40-1</f>
        <v>7.7158999192897593E-2</v>
      </c>
      <c r="P40" s="205">
        <f>+G40-E40</f>
        <v>478</v>
      </c>
      <c r="Q40" s="155"/>
    </row>
    <row r="41" spans="1:19" ht="15.75" hidden="1" customHeight="1" outlineLevel="1">
      <c r="B41" s="272" t="s">
        <v>244</v>
      </c>
      <c r="C41" s="169"/>
      <c r="D41" s="159">
        <f>+IS!BE70</f>
        <v>2.9718719510221446E-2</v>
      </c>
      <c r="E41" s="159">
        <v>2.8422646357129749E-2</v>
      </c>
      <c r="F41" s="159">
        <v>2.944133052406191E-2</v>
      </c>
      <c r="G41" s="159">
        <f>+IS!BJ70</f>
        <v>3.0696266583252065E-2</v>
      </c>
      <c r="H41" s="155"/>
      <c r="I41" s="159"/>
      <c r="J41" s="206"/>
      <c r="K41" s="155"/>
      <c r="L41" s="159"/>
      <c r="M41" s="205"/>
      <c r="N41" s="155"/>
      <c r="O41" s="159"/>
      <c r="P41" s="205"/>
      <c r="Q41" s="155"/>
    </row>
    <row r="42" spans="1:19" ht="15.75" hidden="1" customHeight="1" outlineLevel="1">
      <c r="B42" s="224" t="s">
        <v>243</v>
      </c>
      <c r="C42" s="169"/>
      <c r="D42" s="360">
        <f>+IS!BE71</f>
        <v>-7.6447765483546481E-2</v>
      </c>
      <c r="E42" s="360">
        <v>4.5216804454192738E-2</v>
      </c>
      <c r="F42" s="360">
        <v>-1.0872880037342325E-2</v>
      </c>
      <c r="G42" s="360">
        <f>+IS!BJ71</f>
        <v>3.8276023027851158E-2</v>
      </c>
      <c r="H42" s="155"/>
      <c r="I42" s="159"/>
      <c r="J42" s="206"/>
      <c r="K42" s="155"/>
      <c r="L42" s="159"/>
      <c r="M42" s="205"/>
      <c r="N42" s="155"/>
      <c r="O42" s="159"/>
      <c r="P42" s="205"/>
      <c r="Q42" s="155"/>
    </row>
    <row r="43" spans="1:19" ht="15.75" hidden="1" customHeight="1" outlineLevel="1">
      <c r="B43" s="224" t="s">
        <v>245</v>
      </c>
      <c r="C43" s="169"/>
      <c r="D43" s="358">
        <f>+IS!BE72</f>
        <v>8.4359709802598326E-2</v>
      </c>
      <c r="E43" s="358">
        <v>0.16952992259769673</v>
      </c>
      <c r="F43" s="358">
        <v>2.6169491525423805E-2</v>
      </c>
      <c r="G43" s="358">
        <f>+IS!BJ72</f>
        <v>7.7158999192897593E-2</v>
      </c>
      <c r="H43" s="155"/>
      <c r="I43" s="159"/>
      <c r="J43" s="206"/>
      <c r="K43" s="155"/>
      <c r="L43" s="159"/>
      <c r="M43" s="205"/>
      <c r="N43" s="155"/>
      <c r="O43" s="159"/>
      <c r="P43" s="205"/>
      <c r="Q43" s="155"/>
    </row>
    <row r="44" spans="1:19" ht="6.75" customHeight="1" collapsed="1">
      <c r="B44" s="186"/>
      <c r="C44" s="155"/>
      <c r="D44" s="174" t="str">
        <f>+IS!BE73</f>
        <v>______</v>
      </c>
      <c r="E44" s="174" t="s">
        <v>1</v>
      </c>
      <c r="F44" s="174" t="s">
        <v>1</v>
      </c>
      <c r="G44" s="174" t="str">
        <f>+IS!BJ73</f>
        <v>______</v>
      </c>
      <c r="H44" s="155"/>
      <c r="I44" s="162" t="s">
        <v>1</v>
      </c>
      <c r="J44" s="173" t="s">
        <v>1</v>
      </c>
      <c r="K44" s="155"/>
      <c r="L44" s="162" t="s">
        <v>1</v>
      </c>
      <c r="M44" s="173" t="s">
        <v>1</v>
      </c>
      <c r="N44" s="155"/>
      <c r="O44" s="162" t="s">
        <v>1</v>
      </c>
      <c r="P44" s="173" t="s">
        <v>1</v>
      </c>
      <c r="Q44" s="155"/>
    </row>
    <row r="45" spans="1:19">
      <c r="B45" s="186" t="s">
        <v>154</v>
      </c>
      <c r="C45" s="169"/>
      <c r="D45" s="206">
        <f>+D32+D40</f>
        <v>58359</v>
      </c>
      <c r="E45" s="206">
        <v>58103</v>
      </c>
      <c r="F45" s="206">
        <v>59391.669120000006</v>
      </c>
      <c r="G45" s="206">
        <f>+G32+G40</f>
        <v>60754</v>
      </c>
      <c r="H45" s="155"/>
      <c r="I45" s="159">
        <f>+G45/F45-1</f>
        <v>2.2938080377020942E-2</v>
      </c>
      <c r="J45" s="206">
        <f>+G45-F45</f>
        <v>1362.3308799999941</v>
      </c>
      <c r="K45" s="155"/>
      <c r="L45" s="159">
        <f>+G45/D45-1</f>
        <v>4.103908565945269E-2</v>
      </c>
      <c r="M45" s="205">
        <f>+G45-D45</f>
        <v>2395</v>
      </c>
      <c r="N45" s="155"/>
      <c r="O45" s="159">
        <f>+G45/E45-1</f>
        <v>4.5625871297523268E-2</v>
      </c>
      <c r="P45" s="205">
        <f>+G45-E45</f>
        <v>2651</v>
      </c>
      <c r="Q45" s="155"/>
    </row>
    <row r="46" spans="1:19" ht="5.25" customHeight="1">
      <c r="B46" s="270"/>
      <c r="C46" s="155"/>
      <c r="D46" s="271" t="str">
        <f>+IS!BE75</f>
        <v>______</v>
      </c>
      <c r="E46" s="271" t="s">
        <v>1</v>
      </c>
      <c r="F46" s="271" t="s">
        <v>1</v>
      </c>
      <c r="G46" s="271" t="str">
        <f>+IS!BJ75</f>
        <v>______</v>
      </c>
      <c r="H46" s="155"/>
      <c r="I46" s="162" t="s">
        <v>1</v>
      </c>
      <c r="J46" s="173" t="s">
        <v>1</v>
      </c>
      <c r="K46" s="155"/>
      <c r="L46" s="162" t="s">
        <v>1</v>
      </c>
      <c r="M46" s="173" t="s">
        <v>1</v>
      </c>
      <c r="N46" s="155"/>
      <c r="O46" s="162" t="s">
        <v>1</v>
      </c>
      <c r="P46" s="173" t="s">
        <v>1</v>
      </c>
      <c r="Q46" s="155"/>
    </row>
    <row r="47" spans="1:19" s="1" customFormat="1" ht="15">
      <c r="A47" s="101"/>
      <c r="B47" s="272" t="s">
        <v>2</v>
      </c>
      <c r="C47" s="163"/>
      <c r="D47" s="273">
        <f>+D26-D45</f>
        <v>157902</v>
      </c>
      <c r="E47" s="273">
        <v>159857</v>
      </c>
      <c r="F47" s="273">
        <v>156533.35488</v>
      </c>
      <c r="G47" s="273">
        <f>+G26-G45</f>
        <v>156634</v>
      </c>
      <c r="H47" s="155"/>
      <c r="I47" s="159">
        <f>+G47/F47-1</f>
        <v>6.4296277350694986E-4</v>
      </c>
      <c r="J47" s="206">
        <f>+G47-F47</f>
        <v>100.64512000000104</v>
      </c>
      <c r="K47" s="155"/>
      <c r="L47" s="159">
        <f>+G47/D47-1</f>
        <v>-8.0302972729920929E-3</v>
      </c>
      <c r="M47" s="205">
        <f>+G47-D47</f>
        <v>-1268</v>
      </c>
      <c r="N47" s="155"/>
      <c r="O47" s="159">
        <f>+G47/E47-1</f>
        <v>-2.0161769581563571E-2</v>
      </c>
      <c r="P47" s="205">
        <f>+G47-E47</f>
        <v>-3223</v>
      </c>
      <c r="Q47" s="155"/>
      <c r="S47" s="390"/>
    </row>
    <row r="48" spans="1:19" s="1" customFormat="1" ht="4.5" customHeight="1">
      <c r="A48" s="101"/>
      <c r="B48" s="272"/>
      <c r="C48" s="163"/>
      <c r="D48" s="273"/>
      <c r="E48" s="273"/>
      <c r="F48" s="273"/>
      <c r="G48" s="273"/>
      <c r="H48" s="155"/>
      <c r="I48" s="159"/>
      <c r="J48" s="206"/>
      <c r="K48" s="155"/>
      <c r="L48" s="159"/>
      <c r="M48" s="205"/>
      <c r="N48" s="155"/>
      <c r="O48" s="159"/>
      <c r="P48" s="205"/>
      <c r="Q48" s="155"/>
      <c r="S48" s="391"/>
    </row>
    <row r="49" spans="1:19">
      <c r="B49" s="201" t="s">
        <v>155</v>
      </c>
      <c r="C49" s="163"/>
      <c r="D49" s="159">
        <f>1-(D32/D13)</f>
        <v>0.74830367182350432</v>
      </c>
      <c r="E49" s="159">
        <v>0.75299077784016832</v>
      </c>
      <c r="F49" s="159">
        <v>0.745</v>
      </c>
      <c r="G49" s="159">
        <f>1-(G32/G13)</f>
        <v>0.74142110572946307</v>
      </c>
      <c r="H49" s="150"/>
      <c r="I49" s="159">
        <f>+G49/F49-1</f>
        <v>-4.8038849268952077E-3</v>
      </c>
      <c r="J49" s="206">
        <f>+(G49-F49)*10000</f>
        <v>-35.788942705369251</v>
      </c>
      <c r="K49" s="155" t="s">
        <v>91</v>
      </c>
      <c r="L49" s="159">
        <f>+G49/D49-1</f>
        <v>-9.197557560113867E-3</v>
      </c>
      <c r="M49" s="206">
        <f>+(G49-D49)*10000</f>
        <v>-68.825660940412533</v>
      </c>
      <c r="N49" s="155" t="s">
        <v>91</v>
      </c>
      <c r="O49" s="159">
        <f>+G49/E49-1</f>
        <v>-1.5364958577435694E-2</v>
      </c>
      <c r="P49" s="206">
        <f>+(G49-E49)*10000</f>
        <v>-115.69672110705254</v>
      </c>
      <c r="Q49" s="155" t="s">
        <v>91</v>
      </c>
    </row>
    <row r="50" spans="1:19" hidden="1">
      <c r="B50" s="186" t="s">
        <v>156</v>
      </c>
      <c r="C50" s="169"/>
      <c r="D50" s="159">
        <f>1-(D36/D17)</f>
        <v>1</v>
      </c>
      <c r="E50" s="159">
        <v>1</v>
      </c>
      <c r="F50" s="159">
        <v>1</v>
      </c>
      <c r="G50" s="159">
        <f>1-(G36/G17)</f>
        <v>1</v>
      </c>
      <c r="H50" s="150"/>
      <c r="I50" s="159">
        <f>+G50/F50-1</f>
        <v>0</v>
      </c>
      <c r="J50" s="206">
        <f>+(G50-F50)*10000</f>
        <v>0</v>
      </c>
      <c r="K50" s="155" t="s">
        <v>91</v>
      </c>
      <c r="L50" s="159">
        <f>+G50/D50-1</f>
        <v>0</v>
      </c>
      <c r="M50" s="206">
        <f>+(G50-D50)*10000</f>
        <v>0</v>
      </c>
      <c r="N50" s="155" t="s">
        <v>91</v>
      </c>
      <c r="O50" s="159">
        <f>+G50/E50-1</f>
        <v>0</v>
      </c>
      <c r="P50" s="206">
        <f>+(G50-E50)*10000</f>
        <v>0</v>
      </c>
      <c r="Q50" s="155" t="s">
        <v>91</v>
      </c>
      <c r="S50" s="392"/>
    </row>
    <row r="51" spans="1:19" s="6" customFormat="1" ht="15">
      <c r="A51" s="102"/>
      <c r="B51" s="186" t="s">
        <v>157</v>
      </c>
      <c r="C51" s="175"/>
      <c r="D51" s="159">
        <f>1-(D40/D21)</f>
        <v>0.35296486459277154</v>
      </c>
      <c r="E51" s="159">
        <v>0.20719221909393393</v>
      </c>
      <c r="F51" s="159">
        <v>0.19999999999999996</v>
      </c>
      <c r="G51" s="159">
        <f>1-(G40/G21)</f>
        <v>0.19026817133842977</v>
      </c>
      <c r="H51" s="150"/>
      <c r="I51" s="159">
        <f>+G51/F51-1</f>
        <v>-4.8659143307850927E-2</v>
      </c>
      <c r="J51" s="206">
        <f>+(G51-F51)*10000</f>
        <v>-97.318286615701851</v>
      </c>
      <c r="K51" s="155" t="s">
        <v>91</v>
      </c>
      <c r="L51" s="159">
        <f>+G51/D51-1</f>
        <v>-0.46094302740883542</v>
      </c>
      <c r="M51" s="206">
        <f>+(G51-D51)*10000</f>
        <v>-1626.9669325434177</v>
      </c>
      <c r="N51" s="155" t="s">
        <v>91</v>
      </c>
      <c r="O51" s="159">
        <f>+G51/E51-1</f>
        <v>-8.1682834565478424E-2</v>
      </c>
      <c r="P51" s="206">
        <f>+(G51-E51)*10000</f>
        <v>-169.24047755504156</v>
      </c>
      <c r="Q51" s="155" t="s">
        <v>91</v>
      </c>
      <c r="S51" s="393"/>
    </row>
    <row r="52" spans="1:19" ht="5.25" customHeight="1">
      <c r="B52" s="270"/>
      <c r="C52" s="155"/>
      <c r="D52" s="200" t="str">
        <f>+IS!BE81</f>
        <v>______</v>
      </c>
      <c r="E52" s="200" t="s">
        <v>1</v>
      </c>
      <c r="F52" s="200" t="s">
        <v>1</v>
      </c>
      <c r="G52" s="200" t="str">
        <f>+IS!BJ81</f>
        <v>______</v>
      </c>
      <c r="H52" s="155"/>
      <c r="I52" s="162" t="s">
        <v>1</v>
      </c>
      <c r="J52" s="173" t="s">
        <v>1</v>
      </c>
      <c r="K52" s="155"/>
      <c r="L52" s="162" t="s">
        <v>1</v>
      </c>
      <c r="M52" s="173" t="s">
        <v>1</v>
      </c>
      <c r="N52" s="155"/>
      <c r="O52" s="162" t="s">
        <v>1</v>
      </c>
      <c r="P52" s="173" t="s">
        <v>1</v>
      </c>
      <c r="Q52" s="155"/>
      <c r="S52" s="394"/>
    </row>
    <row r="53" spans="1:19">
      <c r="B53" s="171" t="s">
        <v>159</v>
      </c>
      <c r="C53" s="163"/>
      <c r="D53" s="159">
        <f>+(D47/D26)</f>
        <v>0.73014551860945798</v>
      </c>
      <c r="E53" s="159">
        <v>0.73342356395668928</v>
      </c>
      <c r="F53" s="159">
        <v>0.72494309358048281</v>
      </c>
      <c r="G53" s="159">
        <f>+(G47/G26)</f>
        <v>0.72052735201575069</v>
      </c>
      <c r="H53" s="150"/>
      <c r="I53" s="159">
        <f>+G53/F53-1</f>
        <v>-6.0911561249902269E-3</v>
      </c>
      <c r="J53" s="206">
        <f>+(G53-F53)*10000</f>
        <v>-44.15741564732123</v>
      </c>
      <c r="K53" s="155" t="s">
        <v>91</v>
      </c>
      <c r="L53" s="159">
        <f>+G53/D53-1</f>
        <v>-1.317294477411135E-2</v>
      </c>
      <c r="M53" s="206">
        <f>+(G53-D53)*10000</f>
        <v>-96.181665937072893</v>
      </c>
      <c r="N53" s="155" t="s">
        <v>91</v>
      </c>
      <c r="O53" s="159">
        <f>+G53/E53-1</f>
        <v>-1.7583580041205416E-2</v>
      </c>
      <c r="P53" s="206">
        <f>+(G53-E53)*10000</f>
        <v>-128.96211940938596</v>
      </c>
      <c r="Q53" s="155" t="s">
        <v>91</v>
      </c>
    </row>
    <row r="54" spans="1:19" ht="4.5" customHeight="1">
      <c r="A54" s="103"/>
      <c r="B54" s="270"/>
      <c r="C54" s="175"/>
      <c r="D54" s="274"/>
      <c r="E54" s="274"/>
      <c r="F54" s="274"/>
      <c r="G54" s="274"/>
      <c r="H54" s="155"/>
      <c r="I54" s="173"/>
      <c r="J54" s="173"/>
      <c r="K54" s="155"/>
      <c r="L54" s="173"/>
      <c r="M54" s="173"/>
      <c r="N54" s="155"/>
      <c r="O54" s="173"/>
      <c r="P54" s="173"/>
      <c r="Q54" s="155"/>
      <c r="S54" s="392"/>
    </row>
    <row r="55" spans="1:19" s="1" customFormat="1" ht="12" customHeight="1">
      <c r="A55" s="103"/>
      <c r="B55" s="269" t="s">
        <v>5</v>
      </c>
      <c r="C55" s="163"/>
      <c r="D55" s="275"/>
      <c r="E55" s="275"/>
      <c r="F55" s="275"/>
      <c r="G55" s="275"/>
      <c r="H55" s="155"/>
      <c r="I55" s="159"/>
      <c r="J55" s="206"/>
      <c r="K55" s="155"/>
      <c r="L55" s="159"/>
      <c r="M55" s="205"/>
      <c r="N55" s="155"/>
      <c r="O55" s="159"/>
      <c r="P55" s="205"/>
      <c r="Q55" s="155"/>
      <c r="S55" s="390"/>
    </row>
    <row r="56" spans="1:19" s="1" customFormat="1" ht="5.25" customHeight="1">
      <c r="A56" s="103"/>
      <c r="B56" s="269"/>
      <c r="C56" s="163"/>
      <c r="D56" s="363"/>
      <c r="E56" s="363"/>
      <c r="F56" s="363"/>
      <c r="G56" s="363"/>
      <c r="H56" s="155"/>
      <c r="I56" s="159"/>
      <c r="J56" s="206"/>
      <c r="K56" s="155"/>
      <c r="L56" s="159"/>
      <c r="M56" s="205"/>
      <c r="N56" s="155"/>
      <c r="O56" s="159"/>
      <c r="P56" s="205"/>
      <c r="Q56" s="155"/>
      <c r="S56" s="391"/>
    </row>
    <row r="57" spans="1:19">
      <c r="B57" s="272" t="s">
        <v>246</v>
      </c>
      <c r="C57" s="163"/>
      <c r="D57" s="193">
        <f>+IS!BE85</f>
        <v>35631</v>
      </c>
      <c r="E57" s="193">
        <v>37515</v>
      </c>
      <c r="F57" s="193">
        <v>38640.450000000004</v>
      </c>
      <c r="G57" s="193">
        <f>+IS!BJ85</f>
        <v>39309</v>
      </c>
      <c r="H57" s="155"/>
      <c r="I57" s="159">
        <f>+G57/F57-1</f>
        <v>1.7301817137222564E-2</v>
      </c>
      <c r="J57" s="206">
        <f>+G57-F57</f>
        <v>668.54999999999563</v>
      </c>
      <c r="K57" s="155"/>
      <c r="L57" s="159">
        <f>+G57/D57-1</f>
        <v>0.10322472004714989</v>
      </c>
      <c r="M57" s="205">
        <f>+G57-D57</f>
        <v>3678</v>
      </c>
      <c r="N57" s="155"/>
      <c r="O57" s="159">
        <f>+G57/E57-1</f>
        <v>4.7820871651339525E-2</v>
      </c>
      <c r="P57" s="205">
        <f>+G57-E57</f>
        <v>1794</v>
      </c>
      <c r="Q57" s="155"/>
    </row>
    <row r="58" spans="1:19">
      <c r="B58" s="272" t="s">
        <v>244</v>
      </c>
      <c r="C58" s="163"/>
      <c r="D58" s="159">
        <f>+D57/D26</f>
        <v>0.16475924924050106</v>
      </c>
      <c r="E58" s="159">
        <v>0.17211873738300607</v>
      </c>
      <c r="F58" s="159">
        <v>0.17895308882772198</v>
      </c>
      <c r="G58" s="159">
        <f>+G57/G26</f>
        <v>0.18082414852705761</v>
      </c>
      <c r="H58" s="150"/>
      <c r="I58" s="159">
        <f>+G58/F58-1</f>
        <v>1.0455587615684436E-2</v>
      </c>
      <c r="J58" s="206">
        <f>+(G58-F58)*10000</f>
        <v>18.710596993356255</v>
      </c>
      <c r="K58" s="155" t="s">
        <v>91</v>
      </c>
      <c r="L58" s="159">
        <f>+G58/D58-1</f>
        <v>9.750529551822873E-2</v>
      </c>
      <c r="M58" s="206">
        <f>+(G58-D58)*10000</f>
        <v>160.6489928655655</v>
      </c>
      <c r="N58" s="155" t="s">
        <v>91</v>
      </c>
      <c r="O58" s="159">
        <f>+G58/E58-1</f>
        <v>5.0577939836264907E-2</v>
      </c>
      <c r="P58" s="206">
        <f>+(G58-E58)*10000</f>
        <v>87.054111440515442</v>
      </c>
      <c r="Q58" s="155" t="s">
        <v>91</v>
      </c>
    </row>
    <row r="59" spans="1:19" ht="15.75" hidden="1" customHeight="1" outlineLevel="1">
      <c r="B59" s="224" t="s">
        <v>243</v>
      </c>
      <c r="C59" s="163"/>
      <c r="D59" s="360">
        <f>+IS!BE87</f>
        <v>0.10374202341862349</v>
      </c>
      <c r="E59" s="360">
        <v>7.0939194975734976E-2</v>
      </c>
      <c r="F59" s="360">
        <v>8.446156436810659E-2</v>
      </c>
      <c r="G59" s="360">
        <f>+IS!BJ87</f>
        <v>0.10322472004714989</v>
      </c>
      <c r="H59" s="150"/>
      <c r="I59" s="159"/>
      <c r="J59" s="206"/>
      <c r="K59" s="155"/>
      <c r="L59" s="159"/>
      <c r="M59" s="206"/>
      <c r="N59" s="155"/>
      <c r="O59" s="159"/>
      <c r="P59" s="206"/>
      <c r="Q59" s="155"/>
      <c r="S59" s="392"/>
    </row>
    <row r="60" spans="1:19" ht="15.75" hidden="1" customHeight="1" outlineLevel="1">
      <c r="B60" s="224" t="s">
        <v>245</v>
      </c>
      <c r="C60" s="163"/>
      <c r="D60" s="358">
        <f>+IS!BE88</f>
        <v>1.7156722809020808E-2</v>
      </c>
      <c r="E60" s="358">
        <v>1.4549584877085797E-2</v>
      </c>
      <c r="F60" s="358">
        <v>0.03</v>
      </c>
      <c r="G60" s="358">
        <f>+IS!BJ88</f>
        <v>4.7820871651339525E-2</v>
      </c>
      <c r="H60" s="150"/>
      <c r="I60" s="159"/>
      <c r="J60" s="206"/>
      <c r="K60" s="155"/>
      <c r="L60" s="159"/>
      <c r="M60" s="206"/>
      <c r="N60" s="155"/>
      <c r="O60" s="159"/>
      <c r="P60" s="206"/>
      <c r="Q60" s="155"/>
      <c r="S60" s="394"/>
    </row>
    <row r="61" spans="1:19" ht="8.25" customHeight="1" collapsed="1">
      <c r="B61" s="272"/>
      <c r="C61" s="163"/>
      <c r="D61" s="159"/>
      <c r="E61" s="159"/>
      <c r="F61" s="159"/>
      <c r="G61" s="159"/>
      <c r="H61" s="150"/>
      <c r="I61" s="159"/>
      <c r="J61" s="206"/>
      <c r="K61" s="155"/>
      <c r="L61" s="159"/>
      <c r="M61" s="206"/>
      <c r="N61" s="155"/>
      <c r="O61" s="159"/>
      <c r="P61" s="206"/>
      <c r="Q61" s="155"/>
    </row>
    <row r="62" spans="1:19" s="1" customFormat="1" ht="3" customHeight="1">
      <c r="A62" s="101"/>
      <c r="B62" s="272"/>
      <c r="C62" s="163"/>
      <c r="D62" s="363" t="e">
        <f>+IS!#REF!</f>
        <v>#REF!</v>
      </c>
      <c r="E62" s="363" t="e">
        <v>#REF!</v>
      </c>
      <c r="F62" s="363" t="e">
        <v>#REF!</v>
      </c>
      <c r="G62" s="363" t="e">
        <f>+IS!#REF!</f>
        <v>#REF!</v>
      </c>
      <c r="H62" s="155"/>
      <c r="I62" s="159"/>
      <c r="J62" s="206"/>
      <c r="K62" s="155"/>
      <c r="L62" s="159"/>
      <c r="M62" s="205"/>
      <c r="N62" s="155"/>
      <c r="O62" s="159"/>
      <c r="P62" s="205"/>
      <c r="Q62" s="155"/>
      <c r="S62" s="390"/>
    </row>
    <row r="63" spans="1:19" s="1" customFormat="1" ht="15">
      <c r="A63" s="101"/>
      <c r="B63" s="272" t="s">
        <v>247</v>
      </c>
      <c r="C63" s="163"/>
      <c r="D63" s="193">
        <f>+IS!BE90</f>
        <v>65500</v>
      </c>
      <c r="E63" s="193">
        <v>71873</v>
      </c>
      <c r="F63" s="193">
        <v>73310.460000000006</v>
      </c>
      <c r="G63" s="193">
        <f>+IS!BJ90</f>
        <v>73368</v>
      </c>
      <c r="H63" s="155"/>
      <c r="I63" s="159">
        <f>+G63/F63-1</f>
        <v>7.848811752100282E-4</v>
      </c>
      <c r="J63" s="206">
        <f>+G63-F63</f>
        <v>57.539999999993597</v>
      </c>
      <c r="K63" s="155"/>
      <c r="L63" s="159">
        <f>+G63/D63-1</f>
        <v>0.12012213740458022</v>
      </c>
      <c r="M63" s="205">
        <f>+G63-D63</f>
        <v>7868</v>
      </c>
      <c r="N63" s="155"/>
      <c r="O63" s="159">
        <f>+G63/E63-1</f>
        <v>2.0800578798714442E-2</v>
      </c>
      <c r="P63" s="205">
        <f>+G63-E63</f>
        <v>1495</v>
      </c>
      <c r="Q63" s="155"/>
      <c r="S63" s="391"/>
    </row>
    <row r="64" spans="1:19" s="1" customFormat="1" ht="15">
      <c r="A64" s="101"/>
      <c r="B64" s="272" t="s">
        <v>244</v>
      </c>
      <c r="C64" s="163"/>
      <c r="D64" s="159">
        <f>+D63/D26</f>
        <v>0.3028747670638719</v>
      </c>
      <c r="E64" s="159">
        <v>0.32975316571848046</v>
      </c>
      <c r="F64" s="159">
        <v>0.33951812829253181</v>
      </c>
      <c r="G64" s="159">
        <f>+G63/G26</f>
        <v>0.3374979299685355</v>
      </c>
      <c r="H64" s="150"/>
      <c r="I64" s="159">
        <f>+G64/F64-1</f>
        <v>-5.9501928045965213E-3</v>
      </c>
      <c r="J64" s="206">
        <f>+(G64-F64)*10000</f>
        <v>-20.201983239963027</v>
      </c>
      <c r="K64" s="155" t="s">
        <v>91</v>
      </c>
      <c r="L64" s="159">
        <f>+G64/D64-1</f>
        <v>0.11431511195306032</v>
      </c>
      <c r="M64" s="206">
        <f>+(G64-D64)*10000</f>
        <v>346.23162904663604</v>
      </c>
      <c r="N64" s="155" t="s">
        <v>91</v>
      </c>
      <c r="O64" s="159">
        <f>+G64/E64-1</f>
        <v>2.3486550108413384E-2</v>
      </c>
      <c r="P64" s="206">
        <f>+(G64-E64)*10000</f>
        <v>77.447642500550472</v>
      </c>
      <c r="Q64" s="155" t="s">
        <v>91</v>
      </c>
    </row>
    <row r="65" spans="1:19" s="1" customFormat="1" ht="15" hidden="1" customHeight="1" outlineLevel="1">
      <c r="A65" s="101"/>
      <c r="B65" s="224" t="s">
        <v>243</v>
      </c>
      <c r="C65" s="163"/>
      <c r="D65" s="360">
        <f>+IS!AO92</f>
        <v>0.27423652387784392</v>
      </c>
      <c r="E65" s="360">
        <v>0.39514763197094283</v>
      </c>
      <c r="F65" s="360">
        <v>0.39514763197094283</v>
      </c>
      <c r="G65" s="360">
        <f>+IS!AR92</f>
        <v>0.39514763197094283</v>
      </c>
      <c r="H65" s="150"/>
      <c r="I65" s="159"/>
      <c r="J65" s="206"/>
      <c r="K65" s="155"/>
      <c r="L65" s="159"/>
      <c r="M65" s="206"/>
      <c r="N65" s="155"/>
      <c r="O65" s="159"/>
      <c r="P65" s="206"/>
      <c r="Q65" s="155"/>
    </row>
    <row r="66" spans="1:19" s="1" customFormat="1" ht="15" hidden="1" customHeight="1" outlineLevel="1">
      <c r="A66" s="101"/>
      <c r="B66" s="224" t="s">
        <v>245</v>
      </c>
      <c r="C66" s="163"/>
      <c r="D66" s="358">
        <f>+IS!AO93</f>
        <v>0.11671489871270335</v>
      </c>
      <c r="E66" s="358">
        <v>2.3395051564908842E-2</v>
      </c>
      <c r="F66" s="358">
        <v>2.3395051564908842E-2</v>
      </c>
      <c r="G66" s="358">
        <f>+IS!AR93</f>
        <v>2.3395051564908842E-2</v>
      </c>
      <c r="H66" s="150"/>
      <c r="I66" s="159"/>
      <c r="J66" s="206"/>
      <c r="K66" s="155"/>
      <c r="L66" s="159"/>
      <c r="M66" s="206"/>
      <c r="N66" s="155"/>
      <c r="O66" s="159"/>
      <c r="P66" s="206"/>
      <c r="Q66" s="155"/>
    </row>
    <row r="67" spans="1:19" s="1" customFormat="1" ht="7.5" customHeight="1" collapsed="1">
      <c r="A67" s="101"/>
      <c r="B67" s="276"/>
      <c r="C67" s="163"/>
      <c r="D67" s="170"/>
      <c r="E67" s="170"/>
      <c r="F67" s="170"/>
      <c r="G67" s="170"/>
      <c r="H67" s="150"/>
      <c r="I67" s="159"/>
      <c r="J67" s="206"/>
      <c r="K67" s="155"/>
      <c r="L67" s="159"/>
      <c r="M67" s="206"/>
      <c r="N67" s="155"/>
      <c r="O67" s="159"/>
      <c r="P67" s="206"/>
      <c r="Q67" s="155"/>
    </row>
    <row r="68" spans="1:19" ht="3.75" customHeight="1" collapsed="1">
      <c r="B68" s="276"/>
      <c r="C68" s="163"/>
      <c r="D68" s="363" t="e">
        <f>+IS!#REF!</f>
        <v>#REF!</v>
      </c>
      <c r="E68" s="363" t="e">
        <v>#REF!</v>
      </c>
      <c r="F68" s="363" t="e">
        <v>#REF!</v>
      </c>
      <c r="G68" s="363" t="e">
        <f>+IS!#REF!</f>
        <v>#REF!</v>
      </c>
      <c r="H68" s="155"/>
      <c r="I68" s="159"/>
      <c r="J68" s="206"/>
      <c r="K68" s="155"/>
      <c r="L68" s="159"/>
      <c r="M68" s="205"/>
      <c r="N68" s="155"/>
      <c r="O68" s="159"/>
      <c r="P68" s="205"/>
      <c r="Q68" s="155"/>
      <c r="S68" s="392"/>
    </row>
    <row r="69" spans="1:19">
      <c r="B69" s="272" t="s">
        <v>248</v>
      </c>
      <c r="C69" s="163"/>
      <c r="D69" s="193">
        <f>+IS!BE95</f>
        <v>16776</v>
      </c>
      <c r="E69" s="193">
        <v>13563</v>
      </c>
      <c r="F69" s="193">
        <v>14648.04</v>
      </c>
      <c r="G69" s="193">
        <f>+IS!BJ95</f>
        <v>13832</v>
      </c>
      <c r="H69" s="155"/>
      <c r="I69" s="159">
        <f>+G69/F69-1</f>
        <v>-5.5709842408950383E-2</v>
      </c>
      <c r="J69" s="206">
        <f>+G69-F69</f>
        <v>-816.04000000000087</v>
      </c>
      <c r="K69" s="155"/>
      <c r="L69" s="159">
        <f>+G69/D69-1</f>
        <v>-0.17548879351454461</v>
      </c>
      <c r="M69" s="205">
        <f>+G69-D69</f>
        <v>-2944</v>
      </c>
      <c r="N69" s="155"/>
      <c r="O69" s="159">
        <f>+G69/E69-1</f>
        <v>1.9833370198333755E-2</v>
      </c>
      <c r="P69" s="205">
        <f>+G69-E69</f>
        <v>269</v>
      </c>
      <c r="Q69" s="155"/>
      <c r="S69" s="394"/>
    </row>
    <row r="70" spans="1:19" s="1" customFormat="1" ht="15">
      <c r="A70" s="101"/>
      <c r="B70" s="272" t="s">
        <v>244</v>
      </c>
      <c r="C70" s="163"/>
      <c r="D70" s="172">
        <f>+D69/D26</f>
        <v>7.75729327063132E-2</v>
      </c>
      <c r="E70" s="172">
        <v>6.2227014131033216E-2</v>
      </c>
      <c r="F70" s="172">
        <v>6.7838547513603617E-2</v>
      </c>
      <c r="G70" s="172">
        <f>+G69/G26</f>
        <v>6.3628167148140652E-2</v>
      </c>
      <c r="H70" s="150"/>
      <c r="I70" s="159">
        <f>+G70/F70-1</f>
        <v>-6.2064718655992168E-2</v>
      </c>
      <c r="J70" s="206">
        <f>+(G70-F70)*10000</f>
        <v>-42.103803654629651</v>
      </c>
      <c r="K70" s="155" t="s">
        <v>91</v>
      </c>
      <c r="L70" s="159">
        <f>+G70/D70-1</f>
        <v>-0.17976328948354514</v>
      </c>
      <c r="M70" s="206">
        <f>+(G70-D70)*10000</f>
        <v>-139.44765558172548</v>
      </c>
      <c r="N70" s="155" t="s">
        <v>91</v>
      </c>
      <c r="O70" s="159">
        <f>+G70/E70-1</f>
        <v>2.2516796550080098E-2</v>
      </c>
      <c r="P70" s="206">
        <f>+(G70-E70)*10000</f>
        <v>14.011530171074357</v>
      </c>
      <c r="Q70" s="155" t="s">
        <v>91</v>
      </c>
    </row>
    <row r="71" spans="1:19" s="1" customFormat="1" ht="15" hidden="1" customHeight="1" outlineLevel="1">
      <c r="A71" s="101"/>
      <c r="B71" s="224" t="s">
        <v>243</v>
      </c>
      <c r="C71" s="163"/>
      <c r="D71" s="360">
        <f>+IS!AO97</f>
        <v>0.23978258597261415</v>
      </c>
      <c r="E71" s="360">
        <v>0.52731975428386679</v>
      </c>
      <c r="F71" s="360">
        <v>0.52731975428386679</v>
      </c>
      <c r="G71" s="360">
        <f>+IS!AR97</f>
        <v>0.52731975428386679</v>
      </c>
      <c r="H71" s="150"/>
      <c r="I71" s="159"/>
      <c r="J71" s="206"/>
      <c r="K71" s="155"/>
      <c r="L71" s="159"/>
      <c r="M71" s="206"/>
      <c r="N71" s="155"/>
      <c r="O71" s="159"/>
      <c r="P71" s="206"/>
      <c r="Q71" s="155"/>
    </row>
    <row r="72" spans="1:19" s="1" customFormat="1" ht="15" hidden="1" customHeight="1" outlineLevel="1">
      <c r="A72" s="101"/>
      <c r="B72" s="224" t="s">
        <v>245</v>
      </c>
      <c r="C72" s="163"/>
      <c r="D72" s="358">
        <f>+IS!AO98</f>
        <v>0.21216147164026578</v>
      </c>
      <c r="E72" s="358">
        <v>2.6510212950890955E-2</v>
      </c>
      <c r="F72" s="358">
        <v>2.6510212950890955E-2</v>
      </c>
      <c r="G72" s="358">
        <f>+IS!AR98</f>
        <v>2.6510212950890955E-2</v>
      </c>
      <c r="H72" s="150"/>
      <c r="I72" s="159"/>
      <c r="J72" s="206"/>
      <c r="K72" s="155"/>
      <c r="L72" s="159"/>
      <c r="M72" s="206"/>
      <c r="N72" s="155"/>
      <c r="O72" s="159"/>
      <c r="P72" s="206"/>
      <c r="Q72" s="155"/>
      <c r="S72" s="391"/>
    </row>
    <row r="73" spans="1:19" s="1" customFormat="1" ht="7.5" customHeight="1" collapsed="1">
      <c r="A73" s="101"/>
      <c r="B73" s="272"/>
      <c r="C73" s="163"/>
      <c r="D73" s="165"/>
      <c r="E73" s="165"/>
      <c r="F73" s="165"/>
      <c r="G73" s="165"/>
      <c r="H73" s="150"/>
      <c r="I73" s="159"/>
      <c r="J73" s="206"/>
      <c r="K73" s="155"/>
      <c r="L73" s="159"/>
      <c r="M73" s="206"/>
      <c r="N73" s="155"/>
      <c r="O73" s="159"/>
      <c r="P73" s="206"/>
      <c r="Q73" s="155"/>
    </row>
    <row r="74" spans="1:19" ht="5.25" customHeight="1">
      <c r="B74" s="276"/>
      <c r="C74" s="155"/>
      <c r="D74" s="273" t="str">
        <f>+IS!AO99</f>
        <v>______</v>
      </c>
      <c r="E74" s="273" t="s">
        <v>1</v>
      </c>
      <c r="F74" s="273" t="s">
        <v>1</v>
      </c>
      <c r="G74" s="273" t="str">
        <f>+IS!AR99</f>
        <v>______</v>
      </c>
      <c r="H74" s="155"/>
      <c r="I74" s="162" t="s">
        <v>1</v>
      </c>
      <c r="J74" s="173" t="s">
        <v>1</v>
      </c>
      <c r="K74" s="155"/>
      <c r="L74" s="162" t="s">
        <v>1</v>
      </c>
      <c r="M74" s="173" t="s">
        <v>1</v>
      </c>
      <c r="N74" s="155"/>
      <c r="O74" s="162" t="s">
        <v>1</v>
      </c>
      <c r="P74" s="173" t="s">
        <v>1</v>
      </c>
      <c r="Q74" s="155"/>
      <c r="S74" s="395"/>
    </row>
    <row r="75" spans="1:19" s="6" customFormat="1" ht="15">
      <c r="A75" s="102"/>
      <c r="B75" s="278" t="s">
        <v>7</v>
      </c>
      <c r="C75" s="158"/>
      <c r="D75" s="207">
        <f>+D57+D63+D69</f>
        <v>117907</v>
      </c>
      <c r="E75" s="207">
        <v>122951</v>
      </c>
      <c r="F75" s="207">
        <v>126598.95000000001</v>
      </c>
      <c r="G75" s="207">
        <f>+G57+G63+G69</f>
        <v>126509</v>
      </c>
      <c r="H75" s="158"/>
      <c r="I75" s="159">
        <f>+G75/F75-1</f>
        <v>-7.1051142209321849E-4</v>
      </c>
      <c r="J75" s="206">
        <f>+G75-F75</f>
        <v>-89.950000000011642</v>
      </c>
      <c r="K75" s="155"/>
      <c r="L75" s="159">
        <f>+G75/D75-1</f>
        <v>7.2955804150728998E-2</v>
      </c>
      <c r="M75" s="205">
        <f>+G75-D75</f>
        <v>8602</v>
      </c>
      <c r="N75" s="155"/>
      <c r="O75" s="159">
        <f>+G75/E75-1</f>
        <v>2.8938357557075634E-2</v>
      </c>
      <c r="P75" s="205">
        <f>+G75-E75</f>
        <v>3558</v>
      </c>
      <c r="Q75" s="158"/>
    </row>
    <row r="76" spans="1:19" s="1" customFormat="1" ht="15">
      <c r="A76" s="101"/>
      <c r="B76" s="272" t="s">
        <v>6</v>
      </c>
      <c r="C76" s="155"/>
      <c r="D76" s="279">
        <f>+D75/D26</f>
        <v>0.54520694901068611</v>
      </c>
      <c r="E76" s="279">
        <v>0.5640989172325197</v>
      </c>
      <c r="F76" s="279">
        <v>0.58630976463385742</v>
      </c>
      <c r="G76" s="279">
        <f>+G75/G26</f>
        <v>0.58195024564373377</v>
      </c>
      <c r="H76" s="155"/>
      <c r="I76" s="159">
        <f>+G76/F76-1</f>
        <v>-7.4355217209218782E-3</v>
      </c>
      <c r="J76" s="206">
        <f>+(G76-F76)*10000</f>
        <v>-43.595189901236566</v>
      </c>
      <c r="K76" s="155" t="s">
        <v>91</v>
      </c>
      <c r="L76" s="159">
        <f>+G76/D76-1</f>
        <v>6.7393302120819953E-2</v>
      </c>
      <c r="M76" s="206">
        <f>+(G76-D76)*10000</f>
        <v>367.43296633047652</v>
      </c>
      <c r="N76" s="155" t="s">
        <v>91</v>
      </c>
      <c r="O76" s="159">
        <f>+G76/E76-1</f>
        <v>3.1645741315712961E-2</v>
      </c>
      <c r="P76" s="206">
        <f>+(G76-E76)*10000</f>
        <v>178.51328411214064</v>
      </c>
      <c r="Q76" s="155" t="s">
        <v>91</v>
      </c>
      <c r="S76" s="396"/>
    </row>
    <row r="77" spans="1:19" ht="5.25" customHeight="1">
      <c r="B77" s="272"/>
      <c r="C77" s="155"/>
      <c r="D77" s="273" t="str">
        <f>+IS!AO102</f>
        <v>______</v>
      </c>
      <c r="E77" s="273" t="s">
        <v>1</v>
      </c>
      <c r="F77" s="273" t="s">
        <v>1</v>
      </c>
      <c r="G77" s="273" t="str">
        <f>+IS!AR102</f>
        <v>______</v>
      </c>
      <c r="H77" s="155"/>
      <c r="I77" s="162" t="s">
        <v>1</v>
      </c>
      <c r="J77" s="173" t="s">
        <v>1</v>
      </c>
      <c r="K77" s="155"/>
      <c r="L77" s="162" t="s">
        <v>1</v>
      </c>
      <c r="M77" s="173" t="s">
        <v>1</v>
      </c>
      <c r="N77" s="155"/>
      <c r="O77" s="162" t="s">
        <v>1</v>
      </c>
      <c r="P77" s="173" t="s">
        <v>1</v>
      </c>
      <c r="Q77" s="155"/>
      <c r="S77" s="397"/>
    </row>
    <row r="78" spans="1:19">
      <c r="B78" s="278" t="s">
        <v>3</v>
      </c>
      <c r="C78" s="163"/>
      <c r="D78" s="701">
        <f>+D26-D45-D75</f>
        <v>39995</v>
      </c>
      <c r="E78" s="701">
        <v>36906</v>
      </c>
      <c r="F78" s="701">
        <v>29934.404879999987</v>
      </c>
      <c r="G78" s="701">
        <f>+G26-G45-G75</f>
        <v>30125</v>
      </c>
      <c r="H78" s="155"/>
      <c r="I78" s="159"/>
      <c r="J78" s="206">
        <f>+G78-F78</f>
        <v>190.59512000001268</v>
      </c>
      <c r="K78" s="155"/>
      <c r="L78" s="159">
        <f>+G78/D78-1</f>
        <v>-0.24678084760595076</v>
      </c>
      <c r="M78" s="205">
        <f>+G78-D78</f>
        <v>-9870</v>
      </c>
      <c r="N78" s="155"/>
      <c r="O78" s="198" t="s">
        <v>370</v>
      </c>
      <c r="P78" s="205">
        <f>+G78-E78</f>
        <v>-6781</v>
      </c>
      <c r="Q78" s="155"/>
      <c r="S78" s="392"/>
    </row>
    <row r="79" spans="1:19" s="4" customFormat="1" ht="12.75">
      <c r="A79" s="104"/>
      <c r="B79" s="272" t="s">
        <v>8</v>
      </c>
      <c r="C79" s="177"/>
      <c r="D79" s="279">
        <f>+D78/D26</f>
        <v>0.18493856959877186</v>
      </c>
      <c r="E79" s="279">
        <v>0.16932464672416958</v>
      </c>
      <c r="F79" s="279">
        <v>0.13863332894662542</v>
      </c>
      <c r="G79" s="279">
        <f>+G78/G26</f>
        <v>0.13857710637201687</v>
      </c>
      <c r="H79" s="155"/>
      <c r="I79" s="159"/>
      <c r="J79" s="206">
        <f>+(G79-F79)*10000</f>
        <v>-0.56222574608549847</v>
      </c>
      <c r="K79" s="155" t="s">
        <v>91</v>
      </c>
      <c r="L79" s="159">
        <f>+G79/D79-1</f>
        <v>-0.25068574569024282</v>
      </c>
      <c r="M79" s="206">
        <f>+(G79-D79)*10000</f>
        <v>-463.61463226754995</v>
      </c>
      <c r="N79" s="155" t="s">
        <v>91</v>
      </c>
      <c r="O79" s="198" t="s">
        <v>370</v>
      </c>
      <c r="P79" s="206">
        <f>+(G79-E79)*10000</f>
        <v>-307.47540352152714</v>
      </c>
      <c r="Q79" s="155" t="s">
        <v>91</v>
      </c>
    </row>
    <row r="80" spans="1:19" s="4" customFormat="1" ht="12.75" hidden="1" customHeight="1" outlineLevel="1">
      <c r="A80" s="104"/>
      <c r="B80" s="272"/>
      <c r="C80" s="177"/>
      <c r="D80" s="207" t="e">
        <f>+IS!#REF!</f>
        <v>#REF!</v>
      </c>
      <c r="E80" s="207" t="e">
        <v>#REF!</v>
      </c>
      <c r="F80" s="207" t="e">
        <v>#REF!</v>
      </c>
      <c r="G80" s="207" t="e">
        <f>+IS!#REF!</f>
        <v>#REF!</v>
      </c>
      <c r="H80" s="155"/>
      <c r="I80" s="159"/>
      <c r="J80" s="206"/>
      <c r="K80" s="155"/>
      <c r="L80" s="159"/>
      <c r="M80" s="206"/>
      <c r="N80" s="155"/>
      <c r="O80" s="159"/>
      <c r="P80" s="206"/>
      <c r="Q80" s="155"/>
    </row>
    <row r="81" spans="1:22" s="4" customFormat="1" ht="12.75" hidden="1" collapsed="1">
      <c r="A81" s="104"/>
      <c r="B81" s="272"/>
      <c r="C81" s="155"/>
      <c r="D81" s="273"/>
      <c r="E81" s="273"/>
      <c r="F81" s="273"/>
      <c r="G81" s="273"/>
      <c r="H81" s="155"/>
      <c r="I81" s="173"/>
      <c r="J81" s="173"/>
      <c r="K81" s="155"/>
      <c r="L81" s="173"/>
      <c r="M81" s="173"/>
      <c r="N81" s="155"/>
      <c r="O81" s="173"/>
      <c r="P81" s="173"/>
      <c r="Q81" s="155"/>
    </row>
    <row r="82" spans="1:22">
      <c r="B82" s="171" t="s">
        <v>160</v>
      </c>
      <c r="C82" s="163"/>
      <c r="D82" s="174">
        <f>+IS!BE106</f>
        <v>5461</v>
      </c>
      <c r="E82" s="174">
        <v>4680</v>
      </c>
      <c r="F82" s="174">
        <v>6000</v>
      </c>
      <c r="G82" s="174">
        <f>+IS!BJ106</f>
        <v>5417</v>
      </c>
      <c r="H82" s="155"/>
      <c r="I82" s="159">
        <f>+G82/F82-1</f>
        <v>-9.7166666666666623E-2</v>
      </c>
      <c r="J82" s="206">
        <f>+G82-F82</f>
        <v>-583</v>
      </c>
      <c r="K82" s="155"/>
      <c r="L82" s="159">
        <f>+G82/D82-1</f>
        <v>-8.0571323933346095E-3</v>
      </c>
      <c r="M82" s="205">
        <f>+G82-D82</f>
        <v>-44</v>
      </c>
      <c r="N82" s="155"/>
      <c r="O82" s="159">
        <f>+G82/E82-1</f>
        <v>0.15747863247863259</v>
      </c>
      <c r="P82" s="205">
        <f>+G82-E82</f>
        <v>737</v>
      </c>
      <c r="Q82" s="155"/>
    </row>
    <row r="83" spans="1:22" s="5" customFormat="1" ht="13.15">
      <c r="A83" s="105"/>
      <c r="B83" s="171" t="s">
        <v>161</v>
      </c>
      <c r="D83" s="174">
        <f>+IS!BE107</f>
        <v>-4361</v>
      </c>
      <c r="E83" s="174">
        <v>-173</v>
      </c>
      <c r="F83" s="174">
        <v>0</v>
      </c>
      <c r="G83" s="174">
        <f>+IS!BJ107</f>
        <v>444</v>
      </c>
      <c r="H83" s="155"/>
      <c r="I83" s="198" t="s">
        <v>370</v>
      </c>
      <c r="J83" s="206">
        <f>+G83-F83</f>
        <v>444</v>
      </c>
      <c r="K83" s="155"/>
      <c r="L83" s="159">
        <f>+G83/D83-1</f>
        <v>-1.1018115111213025</v>
      </c>
      <c r="M83" s="205">
        <f>+G83-D83</f>
        <v>4805</v>
      </c>
      <c r="N83" s="155"/>
      <c r="O83" s="198" t="s">
        <v>370</v>
      </c>
      <c r="P83" s="205">
        <f>+G83-E83</f>
        <v>617</v>
      </c>
      <c r="Q83" s="158"/>
    </row>
    <row r="84" spans="1:22" s="5" customFormat="1" ht="12.75" hidden="1" customHeight="1" outlineLevel="1">
      <c r="A84" s="105"/>
      <c r="B84" s="272"/>
      <c r="D84" s="273" t="e">
        <f>+IS!#REF!</f>
        <v>#REF!</v>
      </c>
      <c r="E84" s="273" t="e">
        <v>#REF!</v>
      </c>
      <c r="F84" s="273" t="e">
        <v>#REF!</v>
      </c>
      <c r="G84" s="273" t="e">
        <f>+IS!#REF!</f>
        <v>#REF!</v>
      </c>
      <c r="H84" s="155"/>
      <c r="I84" s="159"/>
      <c r="J84" s="206"/>
      <c r="K84" s="155"/>
      <c r="L84" s="159"/>
      <c r="M84" s="205"/>
      <c r="N84" s="155"/>
      <c r="O84" s="159"/>
      <c r="P84" s="205"/>
      <c r="Q84" s="158"/>
    </row>
    <row r="85" spans="1:22" ht="7.5" customHeight="1" collapsed="1">
      <c r="B85" s="270"/>
      <c r="C85" s="155"/>
      <c r="D85" s="273" t="str">
        <f>+IS!AO108</f>
        <v>______</v>
      </c>
      <c r="E85" s="273" t="s">
        <v>1</v>
      </c>
      <c r="F85" s="273" t="s">
        <v>1</v>
      </c>
      <c r="G85" s="273" t="str">
        <f>+IS!AR108</f>
        <v>______</v>
      </c>
      <c r="H85" s="155"/>
      <c r="I85" s="162" t="s">
        <v>1</v>
      </c>
      <c r="J85" s="173" t="s">
        <v>1</v>
      </c>
      <c r="K85" s="155"/>
      <c r="L85" s="162" t="s">
        <v>1</v>
      </c>
      <c r="M85" s="173" t="s">
        <v>1</v>
      </c>
      <c r="N85" s="155"/>
      <c r="O85" s="162" t="s">
        <v>1</v>
      </c>
      <c r="P85" s="173" t="s">
        <v>1</v>
      </c>
      <c r="Q85" s="155"/>
    </row>
    <row r="86" spans="1:22">
      <c r="B86" s="270" t="s">
        <v>9</v>
      </c>
      <c r="C86" s="158"/>
      <c r="D86" s="274">
        <f>+D78+D82+D83</f>
        <v>41095</v>
      </c>
      <c r="E86" s="274">
        <v>41413</v>
      </c>
      <c r="F86" s="274">
        <v>35934.404879999987</v>
      </c>
      <c r="G86" s="274">
        <f>+G78+G82+G83</f>
        <v>35986</v>
      </c>
      <c r="H86" s="155"/>
      <c r="I86" s="159">
        <f>+G86/F86-1</f>
        <v>1.4358139552417271E-3</v>
      </c>
      <c r="J86" s="206">
        <f>+G86-F86</f>
        <v>51.595120000012685</v>
      </c>
      <c r="K86" s="155"/>
      <c r="L86" s="159">
        <f>+G86/D86-1</f>
        <v>-0.12432169363669543</v>
      </c>
      <c r="M86" s="205">
        <f>+G86-D86</f>
        <v>-5109</v>
      </c>
      <c r="N86" s="155"/>
      <c r="O86" s="159">
        <f>+G86/E86-1</f>
        <v>-0.13104580687223821</v>
      </c>
      <c r="P86" s="205">
        <f>+G86-E86</f>
        <v>-5427</v>
      </c>
      <c r="Q86" s="155"/>
    </row>
    <row r="87" spans="1:22">
      <c r="B87" s="272" t="s">
        <v>10</v>
      </c>
      <c r="C87" s="155"/>
      <c r="D87" s="279">
        <f>+D86/D26</f>
        <v>0.1900250160685468</v>
      </c>
      <c r="E87" s="279">
        <v>0.19000275279867865</v>
      </c>
      <c r="F87" s="279">
        <v>0.16642075204771073</v>
      </c>
      <c r="G87" s="279">
        <f>+G86/G26</f>
        <v>0.16553811617936592</v>
      </c>
      <c r="H87" s="155"/>
      <c r="I87" s="159">
        <f>+G87/F87-1</f>
        <v>-5.3036406667106295E-3</v>
      </c>
      <c r="J87" s="206">
        <f>+(G87-F87)*10000</f>
        <v>-8.8263586834480545</v>
      </c>
      <c r="K87" s="155" t="s">
        <v>91</v>
      </c>
      <c r="L87" s="159">
        <f>+G87/D87-1</f>
        <v>-0.12886145411690342</v>
      </c>
      <c r="M87" s="206">
        <f>+(G87-D87)*10000</f>
        <v>-244.86899889180873</v>
      </c>
      <c r="N87" s="155" t="s">
        <v>91</v>
      </c>
      <c r="O87" s="159">
        <f>+G87/E87-1</f>
        <v>-0.12875937984558961</v>
      </c>
      <c r="P87" s="206">
        <f>+(G87-E87)*10000</f>
        <v>-244.64636619312725</v>
      </c>
      <c r="Q87" s="155" t="s">
        <v>91</v>
      </c>
    </row>
    <row r="88" spans="1:22" ht="15.75" hidden="1" customHeight="1" outlineLevel="1">
      <c r="B88" s="272"/>
      <c r="D88" s="207" t="e">
        <f>+IS!#REF!</f>
        <v>#REF!</v>
      </c>
      <c r="E88" s="207" t="e">
        <v>#REF!</v>
      </c>
      <c r="F88" s="207" t="e">
        <v>#REF!</v>
      </c>
      <c r="G88" s="207" t="e">
        <f>+IS!#REF!</f>
        <v>#REF!</v>
      </c>
    </row>
    <row r="89" spans="1:22" hidden="1" collapsed="1">
      <c r="B89" s="280"/>
      <c r="D89" s="274"/>
      <c r="E89" s="274"/>
      <c r="F89" s="274"/>
      <c r="G89" s="274"/>
    </row>
    <row r="90" spans="1:22">
      <c r="B90" s="270" t="s">
        <v>11</v>
      </c>
      <c r="D90" s="174">
        <f>+IS!BE112</f>
        <v>5182</v>
      </c>
      <c r="E90" s="174">
        <v>-1810</v>
      </c>
      <c r="F90" s="174">
        <v>3593.4404879999988</v>
      </c>
      <c r="G90" s="174">
        <f>+IS!BJ112</f>
        <v>2597</v>
      </c>
      <c r="H90" s="155"/>
      <c r="I90" s="159">
        <f>+G90/F90-1</f>
        <v>-0.27729427865231959</v>
      </c>
      <c r="J90" s="206">
        <f>+G90-F90</f>
        <v>-996.44048799999882</v>
      </c>
      <c r="K90" s="155"/>
      <c r="L90" s="159">
        <f>+G90/D90-1</f>
        <v>-0.49884214588961795</v>
      </c>
      <c r="M90" s="205">
        <f>+G90-D90</f>
        <v>-2585</v>
      </c>
      <c r="N90" s="155"/>
      <c r="O90" s="159">
        <f>+G90/E90-1</f>
        <v>-2.4348066298342541</v>
      </c>
      <c r="P90" s="205">
        <f>+G90-E90</f>
        <v>4407</v>
      </c>
    </row>
    <row r="91" spans="1:22">
      <c r="B91" s="272" t="s">
        <v>12</v>
      </c>
      <c r="D91" s="277">
        <f>+D90/D86</f>
        <v>0.12609806545808491</v>
      </c>
      <c r="E91" s="277">
        <v>-4.370608263105788E-2</v>
      </c>
      <c r="F91" s="277">
        <v>0.1</v>
      </c>
      <c r="G91" s="277">
        <f>+G90/G86</f>
        <v>7.216695381537265E-2</v>
      </c>
      <c r="H91" s="155"/>
      <c r="I91" s="159">
        <f>+G91/F91-1</f>
        <v>-0.27833046184627352</v>
      </c>
      <c r="J91" s="206">
        <f>+(G91-F91)*10000</f>
        <v>-278.33046184627358</v>
      </c>
      <c r="K91" s="155" t="s">
        <v>91</v>
      </c>
      <c r="L91" s="159">
        <f>+G91/D91-1</f>
        <v>-0.42769182419090324</v>
      </c>
      <c r="M91" s="206">
        <f>+(G91-D91)*10000</f>
        <v>-539.31111642712267</v>
      </c>
      <c r="N91" s="155" t="s">
        <v>91</v>
      </c>
      <c r="O91" s="159">
        <f>+G91/E91-1</f>
        <v>-2.6511878775447668</v>
      </c>
      <c r="P91" s="206">
        <f>+(G91-E91)*10000</f>
        <v>1158.7303644643052</v>
      </c>
      <c r="Q91" s="155" t="s">
        <v>91</v>
      </c>
      <c r="V91" s="4"/>
    </row>
    <row r="92" spans="1:22" ht="5.25" customHeight="1">
      <c r="B92" s="270"/>
      <c r="C92" s="155"/>
      <c r="D92" s="273" t="str">
        <f>+IS!AO114</f>
        <v>______</v>
      </c>
      <c r="E92" s="273" t="s">
        <v>1</v>
      </c>
      <c r="F92" s="273" t="s">
        <v>1</v>
      </c>
      <c r="G92" s="273" t="str">
        <f>+IS!AR114</f>
        <v>______</v>
      </c>
      <c r="H92" s="155"/>
      <c r="I92" s="162" t="s">
        <v>1</v>
      </c>
      <c r="J92" s="173" t="s">
        <v>1</v>
      </c>
      <c r="K92" s="155"/>
      <c r="L92" s="162" t="s">
        <v>1</v>
      </c>
      <c r="M92" s="173" t="s">
        <v>1</v>
      </c>
      <c r="N92" s="155"/>
      <c r="O92" s="162" t="s">
        <v>1</v>
      </c>
      <c r="P92" s="173" t="s">
        <v>1</v>
      </c>
      <c r="Q92" s="155"/>
    </row>
    <row r="93" spans="1:22">
      <c r="B93" s="269" t="s">
        <v>144</v>
      </c>
      <c r="D93" s="199">
        <f>+D86-D90</f>
        <v>35913</v>
      </c>
      <c r="E93" s="199">
        <v>43223</v>
      </c>
      <c r="F93" s="199">
        <v>32340.964391999987</v>
      </c>
      <c r="G93" s="199">
        <f>+G86-G90</f>
        <v>33389</v>
      </c>
      <c r="H93" s="155"/>
      <c r="I93" s="159">
        <f>+G93/F93-1</f>
        <v>3.240582424497096E-2</v>
      </c>
      <c r="J93" s="206">
        <f>+G93-F93</f>
        <v>1048.0356080000129</v>
      </c>
      <c r="K93" s="155"/>
      <c r="L93" s="159">
        <f>+G93/D93-1</f>
        <v>-7.0280956756606283E-2</v>
      </c>
      <c r="M93" s="205">
        <f>+G93-D93</f>
        <v>-2524</v>
      </c>
      <c r="N93" s="155"/>
      <c r="O93" s="159">
        <f>+G93/E93-1</f>
        <v>-0.22751775674987851</v>
      </c>
      <c r="P93" s="205">
        <f>+G93-E93</f>
        <v>-9834</v>
      </c>
      <c r="V93" s="4"/>
    </row>
    <row r="94" spans="1:22" ht="15.75" hidden="1" customHeight="1" outlineLevel="1">
      <c r="B94" s="269"/>
      <c r="D94" s="199" t="e">
        <f>+IS!#REF!</f>
        <v>#REF!</v>
      </c>
      <c r="E94" s="199" t="e">
        <v>#REF!</v>
      </c>
      <c r="F94" s="199" t="e">
        <v>#REF!</v>
      </c>
      <c r="G94" s="199" t="e">
        <f>+IS!#REF!</f>
        <v>#REF!</v>
      </c>
      <c r="V94" s="4"/>
    </row>
    <row r="95" spans="1:22" hidden="1" collapsed="1">
      <c r="B95" s="269"/>
      <c r="D95" s="195"/>
      <c r="E95" s="195"/>
      <c r="F95" s="195"/>
      <c r="G95" s="195"/>
      <c r="V95" s="4"/>
    </row>
    <row r="96" spans="1:22">
      <c r="B96" s="269" t="s">
        <v>145</v>
      </c>
      <c r="D96" s="282">
        <f>+D93/D99</f>
        <v>0.47829864246451292</v>
      </c>
      <c r="E96" s="282">
        <v>0.5716433375136315</v>
      </c>
      <c r="F96" s="282">
        <v>0.4220262379367648</v>
      </c>
      <c r="G96" s="282">
        <f>+G93/G99</f>
        <v>0.43753514538500471</v>
      </c>
      <c r="H96" s="155"/>
      <c r="I96" s="159">
        <f>+G96/F96-1</f>
        <v>3.6748680660380506E-2</v>
      </c>
      <c r="J96" s="282">
        <f>+G96-F96</f>
        <v>1.5508907448239906E-2</v>
      </c>
      <c r="K96" s="155"/>
      <c r="L96" s="159">
        <f>+G96/D96-1</f>
        <v>-8.5226035494199937E-2</v>
      </c>
      <c r="M96" s="282">
        <f>+G96-D96</f>
        <v>-4.0763497079508215E-2</v>
      </c>
      <c r="N96" s="155"/>
      <c r="O96" s="159">
        <f>+G96/E96-1</f>
        <v>-0.23460116357155802</v>
      </c>
      <c r="P96" s="282">
        <f>+G96-E96</f>
        <v>-0.13410819212862679</v>
      </c>
      <c r="V96" s="4"/>
    </row>
    <row r="97" spans="1:20">
      <c r="B97" s="191"/>
      <c r="C97" s="419" t="s">
        <v>567</v>
      </c>
      <c r="D97" s="282"/>
      <c r="E97" s="282"/>
      <c r="F97" s="420">
        <v>0.41</v>
      </c>
      <c r="G97" s="282"/>
      <c r="I97" s="159">
        <f>+G96/F97-1</f>
        <v>6.7158891182938385E-2</v>
      </c>
      <c r="J97" s="282">
        <f>+G96-F97</f>
        <v>2.7535145385004733E-2</v>
      </c>
      <c r="R97" s="399"/>
    </row>
    <row r="98" spans="1:20" ht="15.75" hidden="1" customHeight="1" outlineLevel="1">
      <c r="B98" s="269"/>
      <c r="D98" s="283"/>
      <c r="E98" s="283"/>
      <c r="F98" s="283"/>
      <c r="G98" s="283"/>
    </row>
    <row r="99" spans="1:20" collapsed="1">
      <c r="B99" s="270" t="s">
        <v>471</v>
      </c>
      <c r="D99" s="274">
        <f>+IS!BE119</f>
        <v>75084.888000000006</v>
      </c>
      <c r="E99" s="274">
        <v>75611.831999999995</v>
      </c>
      <c r="F99" s="274">
        <v>76632.591732000001</v>
      </c>
      <c r="G99" s="274">
        <f>+IS!BJ119</f>
        <v>76311.584000000003</v>
      </c>
      <c r="I99" s="159">
        <f>+G99/F99-1</f>
        <v>-4.1889191627842992E-3</v>
      </c>
      <c r="J99" s="206">
        <f>+G99-F99</f>
        <v>-321.00773199999821</v>
      </c>
      <c r="K99" s="155"/>
      <c r="L99" s="159">
        <f>+G99/D99-1</f>
        <v>1.6337455281280944E-2</v>
      </c>
      <c r="M99" s="206">
        <f>+G99-D99</f>
        <v>1226.6959999999963</v>
      </c>
      <c r="N99" s="155"/>
      <c r="O99" s="159">
        <f>+G99/E99-1</f>
        <v>9.254530428518315E-3</v>
      </c>
      <c r="P99" s="206">
        <f>+G99-E99</f>
        <v>699.75200000000768</v>
      </c>
    </row>
    <row r="100" spans="1:20" s="155" customFormat="1" ht="12.75">
      <c r="A100" s="260"/>
      <c r="R100" s="404"/>
      <c r="S100" s="404"/>
      <c r="T100" s="404"/>
    </row>
    <row r="101" spans="1:20" ht="15.75" thickBot="1">
      <c r="B101" s="178" t="s">
        <v>461</v>
      </c>
      <c r="C101" s="179"/>
      <c r="D101" s="179"/>
      <c r="E101" s="179"/>
      <c r="F101" s="180"/>
      <c r="G101" s="285"/>
      <c r="H101" s="285"/>
      <c r="I101" s="182"/>
      <c r="J101" s="181"/>
      <c r="K101" s="181"/>
      <c r="L101" s="182"/>
      <c r="M101" s="181"/>
      <c r="N101" s="181"/>
      <c r="O101" s="181"/>
      <c r="P101" s="181"/>
      <c r="Q101" s="181"/>
      <c r="R101" s="398"/>
    </row>
    <row r="102" spans="1:20">
      <c r="B102" s="594"/>
      <c r="C102" s="594"/>
      <c r="D102" s="594"/>
      <c r="E102" s="594"/>
      <c r="F102" s="595"/>
      <c r="G102" s="595"/>
      <c r="H102" s="595"/>
      <c r="I102" s="594"/>
      <c r="J102" s="595"/>
      <c r="K102" s="595"/>
      <c r="L102" s="594"/>
      <c r="M102" s="595"/>
      <c r="N102" s="595"/>
      <c r="O102" s="596"/>
      <c r="P102" s="595"/>
      <c r="Q102" s="595"/>
      <c r="R102" s="4"/>
    </row>
  </sheetData>
  <mergeCells count="3">
    <mergeCell ref="I5:J5"/>
    <mergeCell ref="L5:M5"/>
    <mergeCell ref="O5:P5"/>
  </mergeCells>
  <pageMargins left="0.5" right="0.5" top="0.5" bottom="0.5" header="0.5" footer="0.5"/>
  <pageSetup scale="67" orientation="landscape" verticalDpi="1200" r:id="rId1"/>
  <headerFooter alignWithMargins="0"/>
  <ignoredErrors>
    <ignoredError sqref="G6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>
    <tabColor theme="0" tint="-0.499984740745262"/>
    <pageSetUpPr fitToPage="1"/>
  </sheetPr>
  <dimension ref="B2:BU144"/>
  <sheetViews>
    <sheetView showGridLines="0" defaultGridColor="0" view="pageBreakPreview" colorId="22" zoomScale="80" zoomScaleNormal="70" zoomScaleSheetLayoutView="80" workbookViewId="0">
      <pane xSplit="3" ySplit="5" topLeftCell="BA24" activePane="bottomRight" state="frozen"/>
      <selection activeCell="BB85" sqref="BB85"/>
      <selection pane="topRight" activeCell="BB85" sqref="BB85"/>
      <selection pane="bottomLeft" activeCell="BB85" sqref="BB85"/>
      <selection pane="bottomRight" activeCell="B2" sqref="B2:BU61"/>
    </sheetView>
  </sheetViews>
  <sheetFormatPr defaultColWidth="12.3984375" defaultRowHeight="11.65" outlineLevelRow="1" outlineLevelCol="2"/>
  <cols>
    <col min="1" max="1" width="3.265625" style="3" customWidth="1"/>
    <col min="2" max="2" width="38.265625" style="3" customWidth="1"/>
    <col min="3" max="3" width="1.73046875" style="3" customWidth="1"/>
    <col min="4" max="7" width="9.265625" style="3" hidden="1" customWidth="1" outlineLevel="2"/>
    <col min="8" max="8" width="9.73046875" style="3" hidden="1" customWidth="1" outlineLevel="1" collapsed="1"/>
    <col min="9" max="12" width="9.265625" style="3" hidden="1" customWidth="1" outlineLevel="1"/>
    <col min="13" max="13" width="9.73046875" style="3" hidden="1" customWidth="1" collapsed="1"/>
    <col min="14" max="17" width="9.265625" style="3" hidden="1" customWidth="1" outlineLevel="1"/>
    <col min="18" max="18" width="9.73046875" style="3" hidden="1" customWidth="1" collapsed="1"/>
    <col min="19" max="22" width="9.265625" style="3" hidden="1" customWidth="1" outlineLevel="1"/>
    <col min="23" max="23" width="11" style="3" hidden="1" customWidth="1" collapsed="1"/>
    <col min="24" max="24" width="9.73046875" style="3" hidden="1" customWidth="1" outlineLevel="1"/>
    <col min="25" max="27" width="9.265625" style="3" hidden="1" customWidth="1" outlineLevel="1"/>
    <col min="28" max="28" width="10.73046875" style="3" hidden="1" customWidth="1" collapsed="1"/>
    <col min="29" max="29" width="9.73046875" style="3" hidden="1" customWidth="1" outlineLevel="1"/>
    <col min="30" max="31" width="9.265625" style="3" hidden="1" customWidth="1" outlineLevel="1"/>
    <col min="32" max="32" width="9.73046875" style="3" hidden="1" customWidth="1" outlineLevel="1"/>
    <col min="33" max="33" width="10.73046875" style="3" hidden="1" customWidth="1" collapsed="1"/>
    <col min="34" max="34" width="9.73046875" style="3" hidden="1" customWidth="1" outlineLevel="1"/>
    <col min="35" max="35" width="10.3984375" style="3" hidden="1" customWidth="1" outlineLevel="1"/>
    <col min="36" max="37" width="10.73046875" style="3" hidden="1" customWidth="1" outlineLevel="1"/>
    <col min="38" max="38" width="10.3984375" style="3" hidden="1" customWidth="1" collapsed="1"/>
    <col min="39" max="39" width="10.73046875" style="3" hidden="1" customWidth="1" outlineLevel="1"/>
    <col min="40" max="40" width="10.59765625" style="3" hidden="1" customWidth="1" outlineLevel="1"/>
    <col min="41" max="41" width="11.3984375" style="3" hidden="1" customWidth="1" outlineLevel="1"/>
    <col min="42" max="42" width="10.73046875" style="3" hidden="1" customWidth="1" outlineLevel="1"/>
    <col min="43" max="43" width="10.73046875" style="3" hidden="1" customWidth="1" collapsed="1"/>
    <col min="44" max="47" width="10.73046875" style="3" hidden="1" customWidth="1" outlineLevel="1"/>
    <col min="48" max="48" width="10.73046875" style="3" hidden="1" customWidth="1" collapsed="1"/>
    <col min="49" max="49" width="12.265625" style="3" hidden="1" customWidth="1" outlineLevel="1"/>
    <col min="50" max="52" width="10.3984375" style="3" hidden="1" customWidth="1" outlineLevel="1"/>
    <col min="53" max="53" width="10.59765625" style="3" customWidth="1" collapsed="1"/>
    <col min="54" max="56" width="10.73046875" style="3" hidden="1" customWidth="1" outlineLevel="1"/>
    <col min="57" max="57" width="11.265625" style="3" hidden="1" customWidth="1" outlineLevel="1"/>
    <col min="58" max="58" width="11.3984375" style="3" customWidth="1" collapsed="1"/>
    <col min="59" max="62" width="12.3984375" style="3" customWidth="1" outlineLevel="1"/>
    <col min="63" max="63" width="12.3984375" style="3"/>
    <col min="64" max="67" width="12.3984375" style="3" customWidth="1" outlineLevel="1"/>
    <col min="68" max="68" width="12.3984375" style="3"/>
    <col min="69" max="72" width="12.3984375" style="3" hidden="1" customWidth="1" outlineLevel="1"/>
    <col min="73" max="73" width="12.3984375" style="3" collapsed="1"/>
    <col min="74" max="16384" width="12.3984375" style="3"/>
  </cols>
  <sheetData>
    <row r="2" spans="2:73" ht="13.35" customHeight="1" thickBot="1">
      <c r="B2" s="586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583"/>
      <c r="AF2" s="583"/>
      <c r="AG2" s="583"/>
      <c r="AH2" s="583"/>
      <c r="AI2" s="583"/>
      <c r="AJ2" s="583"/>
      <c r="AK2" s="583"/>
      <c r="AL2" s="583"/>
      <c r="AM2" s="583"/>
      <c r="AN2" s="583"/>
      <c r="AO2" s="583"/>
      <c r="AP2" s="583"/>
      <c r="AQ2" s="583"/>
      <c r="AR2" s="583"/>
      <c r="AS2" s="583"/>
      <c r="AT2" s="583"/>
      <c r="AU2" s="583"/>
      <c r="AV2" s="583"/>
      <c r="AW2" s="583"/>
      <c r="AX2" s="583"/>
      <c r="AY2" s="583"/>
      <c r="AZ2" s="583"/>
      <c r="BA2" s="583"/>
      <c r="BB2" s="583"/>
      <c r="BC2" s="583"/>
      <c r="BD2" s="583"/>
      <c r="BE2" s="583"/>
      <c r="BF2" s="583"/>
      <c r="BG2" s="583"/>
      <c r="BH2" s="583"/>
      <c r="BI2" s="583"/>
      <c r="BJ2" s="583"/>
      <c r="BK2" s="583"/>
      <c r="BL2" s="583"/>
      <c r="BM2" s="583"/>
      <c r="BN2" s="583"/>
      <c r="BO2" s="583"/>
      <c r="BP2" s="583"/>
      <c r="BQ2" s="583"/>
      <c r="BR2" s="583"/>
      <c r="BS2" s="583"/>
      <c r="BT2" s="583"/>
      <c r="BU2" s="583"/>
    </row>
    <row r="3" spans="2:73" ht="18.75" customHeight="1">
      <c r="B3" s="154" t="s">
        <v>365</v>
      </c>
    </row>
    <row r="4" spans="2:73" ht="13.35" customHeight="1">
      <c r="B4" s="155" t="s">
        <v>317</v>
      </c>
      <c r="C4" s="155"/>
      <c r="D4" s="156" t="s">
        <v>152</v>
      </c>
      <c r="E4" s="156" t="s">
        <v>95</v>
      </c>
      <c r="F4" s="156" t="s">
        <v>92</v>
      </c>
      <c r="G4" s="156" t="s">
        <v>93</v>
      </c>
      <c r="H4" s="156" t="s">
        <v>93</v>
      </c>
      <c r="I4" s="156" t="s">
        <v>152</v>
      </c>
      <c r="J4" s="156" t="s">
        <v>95</v>
      </c>
      <c r="K4" s="156" t="s">
        <v>92</v>
      </c>
      <c r="L4" s="156" t="s">
        <v>93</v>
      </c>
      <c r="M4" s="469" t="s">
        <v>93</v>
      </c>
      <c r="N4" s="156" t="s">
        <v>152</v>
      </c>
      <c r="O4" s="156" t="s">
        <v>95</v>
      </c>
      <c r="P4" s="156" t="s">
        <v>92</v>
      </c>
      <c r="Q4" s="156" t="s">
        <v>93</v>
      </c>
      <c r="R4" s="469" t="s">
        <v>93</v>
      </c>
      <c r="S4" s="156" t="s">
        <v>152</v>
      </c>
      <c r="T4" s="156" t="s">
        <v>95</v>
      </c>
      <c r="U4" s="156" t="s">
        <v>92</v>
      </c>
      <c r="V4" s="156" t="s">
        <v>93</v>
      </c>
      <c r="W4" s="469" t="s">
        <v>93</v>
      </c>
      <c r="X4" s="156" t="s">
        <v>152</v>
      </c>
      <c r="Y4" s="156" t="s">
        <v>95</v>
      </c>
      <c r="Z4" s="156" t="s">
        <v>92</v>
      </c>
      <c r="AA4" s="156" t="s">
        <v>93</v>
      </c>
      <c r="AB4" s="469" t="s">
        <v>93</v>
      </c>
      <c r="AC4" s="156" t="s">
        <v>152</v>
      </c>
      <c r="AD4" s="428" t="s">
        <v>95</v>
      </c>
      <c r="AE4" s="156" t="s">
        <v>92</v>
      </c>
      <c r="AF4" s="156" t="s">
        <v>93</v>
      </c>
      <c r="AG4" s="469" t="s">
        <v>93</v>
      </c>
      <c r="AH4" s="156" t="s">
        <v>152</v>
      </c>
      <c r="AI4" s="428" t="s">
        <v>95</v>
      </c>
      <c r="AJ4" s="428" t="s">
        <v>92</v>
      </c>
      <c r="AK4" s="156" t="s">
        <v>93</v>
      </c>
      <c r="AL4" s="469" t="s">
        <v>93</v>
      </c>
      <c r="AM4" s="156" t="s">
        <v>152</v>
      </c>
      <c r="AN4" s="156" t="s">
        <v>95</v>
      </c>
      <c r="AO4" s="156" t="s">
        <v>92</v>
      </c>
      <c r="AP4" s="156" t="s">
        <v>93</v>
      </c>
      <c r="AQ4" s="469" t="s">
        <v>93</v>
      </c>
      <c r="AR4" s="156" t="s">
        <v>152</v>
      </c>
      <c r="AS4" s="156" t="s">
        <v>95</v>
      </c>
      <c r="AT4" s="156" t="s">
        <v>92</v>
      </c>
      <c r="AU4" s="156" t="s">
        <v>93</v>
      </c>
      <c r="AV4" s="469" t="s">
        <v>93</v>
      </c>
      <c r="AW4" s="156" t="s">
        <v>152</v>
      </c>
      <c r="AX4" s="156" t="s">
        <v>95</v>
      </c>
      <c r="AY4" s="156" t="s">
        <v>92</v>
      </c>
      <c r="AZ4" s="156" t="s">
        <v>93</v>
      </c>
      <c r="BA4" s="469" t="s">
        <v>93</v>
      </c>
      <c r="BB4" s="156" t="s">
        <v>152</v>
      </c>
      <c r="BC4" s="156" t="s">
        <v>95</v>
      </c>
      <c r="BD4" s="156" t="s">
        <v>92</v>
      </c>
      <c r="BE4" s="156" t="s">
        <v>93</v>
      </c>
      <c r="BF4" s="469" t="s">
        <v>93</v>
      </c>
      <c r="BG4" s="156" t="s">
        <v>152</v>
      </c>
      <c r="BH4" s="156" t="s">
        <v>95</v>
      </c>
      <c r="BI4" s="156" t="s">
        <v>92</v>
      </c>
      <c r="BJ4" s="156" t="s">
        <v>93</v>
      </c>
      <c r="BK4" s="469" t="s">
        <v>93</v>
      </c>
      <c r="BL4" s="156" t="s">
        <v>152</v>
      </c>
      <c r="BM4" s="156" t="s">
        <v>95</v>
      </c>
      <c r="BN4" s="156" t="s">
        <v>92</v>
      </c>
      <c r="BO4" s="156" t="s">
        <v>93</v>
      </c>
      <c r="BP4" s="469" t="s">
        <v>93</v>
      </c>
      <c r="BQ4" s="156" t="s">
        <v>152</v>
      </c>
      <c r="BR4" s="156" t="s">
        <v>95</v>
      </c>
      <c r="BS4" s="156" t="s">
        <v>92</v>
      </c>
      <c r="BT4" s="156" t="s">
        <v>93</v>
      </c>
      <c r="BU4" s="469" t="s">
        <v>93</v>
      </c>
    </row>
    <row r="5" spans="2:73" ht="13.35" customHeight="1">
      <c r="B5" s="155"/>
      <c r="C5" s="155"/>
      <c r="D5" s="156" t="s">
        <v>96</v>
      </c>
      <c r="E5" s="156" t="s">
        <v>96</v>
      </c>
      <c r="F5" s="156" t="s">
        <v>96</v>
      </c>
      <c r="G5" s="156" t="s">
        <v>96</v>
      </c>
      <c r="H5" s="156" t="s">
        <v>96</v>
      </c>
      <c r="I5" s="156" t="s">
        <v>97</v>
      </c>
      <c r="J5" s="156" t="s">
        <v>97</v>
      </c>
      <c r="K5" s="156" t="s">
        <v>97</v>
      </c>
      <c r="L5" s="156" t="s">
        <v>97</v>
      </c>
      <c r="M5" s="469" t="s">
        <v>97</v>
      </c>
      <c r="N5" s="156" t="s">
        <v>118</v>
      </c>
      <c r="O5" s="156" t="s">
        <v>118</v>
      </c>
      <c r="P5" s="156" t="s">
        <v>118</v>
      </c>
      <c r="Q5" s="156" t="s">
        <v>118</v>
      </c>
      <c r="R5" s="469" t="s">
        <v>118</v>
      </c>
      <c r="S5" s="156" t="s">
        <v>142</v>
      </c>
      <c r="T5" s="156" t="s">
        <v>142</v>
      </c>
      <c r="U5" s="156" t="s">
        <v>142</v>
      </c>
      <c r="V5" s="156" t="s">
        <v>142</v>
      </c>
      <c r="W5" s="469" t="s">
        <v>142</v>
      </c>
      <c r="X5" s="156" t="s">
        <v>262</v>
      </c>
      <c r="Y5" s="156" t="s">
        <v>262</v>
      </c>
      <c r="Z5" s="156" t="s">
        <v>262</v>
      </c>
      <c r="AA5" s="156" t="s">
        <v>262</v>
      </c>
      <c r="AB5" s="469" t="s">
        <v>262</v>
      </c>
      <c r="AC5" s="156" t="s">
        <v>339</v>
      </c>
      <c r="AD5" s="428" t="s">
        <v>339</v>
      </c>
      <c r="AE5" s="428" t="s">
        <v>339</v>
      </c>
      <c r="AF5" s="428" t="s">
        <v>339</v>
      </c>
      <c r="AG5" s="469" t="str">
        <f>AF5</f>
        <v>2019A</v>
      </c>
      <c r="AH5" s="428" t="s">
        <v>353</v>
      </c>
      <c r="AI5" s="428" t="s">
        <v>353</v>
      </c>
      <c r="AJ5" s="428" t="s">
        <v>353</v>
      </c>
      <c r="AK5" s="156" t="s">
        <v>353</v>
      </c>
      <c r="AL5" s="469" t="str">
        <f>AK5</f>
        <v>2020A</v>
      </c>
      <c r="AM5" s="156" t="s">
        <v>362</v>
      </c>
      <c r="AN5" s="156" t="s">
        <v>362</v>
      </c>
      <c r="AO5" s="156" t="s">
        <v>362</v>
      </c>
      <c r="AP5" s="156" t="s">
        <v>362</v>
      </c>
      <c r="AQ5" s="469" t="str">
        <f>AP5</f>
        <v>2021A</v>
      </c>
      <c r="AR5" s="156" t="s">
        <v>382</v>
      </c>
      <c r="AS5" s="156" t="s">
        <v>382</v>
      </c>
      <c r="AT5" s="156" t="s">
        <v>382</v>
      </c>
      <c r="AU5" s="156" t="s">
        <v>382</v>
      </c>
      <c r="AV5" s="469" t="str">
        <f>AU5</f>
        <v>2022A</v>
      </c>
      <c r="AW5" s="156" t="s">
        <v>397</v>
      </c>
      <c r="AX5" s="156" t="s">
        <v>397</v>
      </c>
      <c r="AY5" s="156" t="s">
        <v>397</v>
      </c>
      <c r="AZ5" s="156" t="s">
        <v>397</v>
      </c>
      <c r="BA5" s="469" t="str">
        <f>AZ5</f>
        <v>2023A</v>
      </c>
      <c r="BB5" s="156" t="s">
        <v>428</v>
      </c>
      <c r="BC5" s="156" t="s">
        <v>428</v>
      </c>
      <c r="BD5" s="156" t="s">
        <v>428</v>
      </c>
      <c r="BE5" s="156" t="s">
        <v>428</v>
      </c>
      <c r="BF5" s="469" t="str">
        <f>BE5</f>
        <v>2024A</v>
      </c>
      <c r="BG5" s="156" t="s">
        <v>486</v>
      </c>
      <c r="BH5" s="156" t="s">
        <v>486</v>
      </c>
      <c r="BI5" s="156" t="s">
        <v>486</v>
      </c>
      <c r="BJ5" s="156" t="s">
        <v>486</v>
      </c>
      <c r="BK5" s="469" t="str">
        <f>BJ5</f>
        <v>2025A</v>
      </c>
      <c r="BL5" s="156" t="s">
        <v>436</v>
      </c>
      <c r="BM5" s="156" t="s">
        <v>436</v>
      </c>
      <c r="BN5" s="156" t="s">
        <v>436</v>
      </c>
      <c r="BO5" s="156" t="s">
        <v>436</v>
      </c>
      <c r="BP5" s="469" t="str">
        <f>BO5</f>
        <v>2026E</v>
      </c>
      <c r="BQ5" s="156" t="s">
        <v>536</v>
      </c>
      <c r="BR5" s="156" t="s">
        <v>536</v>
      </c>
      <c r="BS5" s="156" t="s">
        <v>536</v>
      </c>
      <c r="BT5" s="156" t="s">
        <v>536</v>
      </c>
      <c r="BU5" s="469" t="str">
        <f>BT5</f>
        <v>2027E</v>
      </c>
    </row>
    <row r="6" spans="2:73" ht="13.35" customHeight="1">
      <c r="B6" s="158" t="s">
        <v>98</v>
      </c>
      <c r="C6" s="158"/>
      <c r="D6" s="155"/>
      <c r="E6" s="155"/>
      <c r="F6" s="155"/>
      <c r="G6" s="155"/>
      <c r="H6" s="155"/>
      <c r="I6" s="155"/>
      <c r="J6" s="155"/>
      <c r="K6" s="155"/>
      <c r="L6" s="155"/>
      <c r="M6" s="470"/>
      <c r="N6" s="155"/>
      <c r="O6" s="155"/>
      <c r="P6" s="155"/>
      <c r="Q6" s="155"/>
      <c r="R6" s="470"/>
      <c r="S6" s="155"/>
      <c r="T6" s="155"/>
      <c r="U6" s="155"/>
      <c r="V6" s="155"/>
      <c r="W6" s="470"/>
      <c r="X6" s="155"/>
      <c r="Y6" s="155"/>
      <c r="Z6" s="155"/>
      <c r="AA6" s="155"/>
      <c r="AB6" s="470"/>
      <c r="AC6" s="155"/>
      <c r="AD6" s="429"/>
      <c r="AE6" s="429"/>
      <c r="AF6" s="429"/>
      <c r="AG6" s="470"/>
      <c r="AH6" s="429"/>
      <c r="AI6" s="429"/>
      <c r="AJ6" s="429"/>
      <c r="AK6" s="155"/>
      <c r="AL6" s="470"/>
      <c r="AM6" s="155"/>
      <c r="AN6" s="155"/>
      <c r="AO6" s="155"/>
      <c r="AP6" s="155"/>
      <c r="AQ6" s="470"/>
      <c r="AR6" s="155"/>
      <c r="AS6" s="155"/>
      <c r="AT6" s="155"/>
      <c r="AU6" s="155"/>
      <c r="AV6" s="470"/>
      <c r="AW6" s="155"/>
      <c r="AX6" s="155"/>
      <c r="AY6" s="155"/>
      <c r="AZ6" s="155"/>
      <c r="BA6" s="470"/>
      <c r="BB6" s="155"/>
      <c r="BC6" s="155"/>
      <c r="BD6" s="155"/>
      <c r="BE6" s="155"/>
      <c r="BF6" s="470"/>
      <c r="BG6" s="155"/>
      <c r="BH6" s="155"/>
      <c r="BI6" s="155"/>
      <c r="BJ6" s="155"/>
      <c r="BK6" s="470"/>
      <c r="BL6" s="155"/>
      <c r="BM6" s="155"/>
      <c r="BN6" s="155"/>
      <c r="BO6" s="155"/>
      <c r="BP6" s="470"/>
      <c r="BQ6" s="155"/>
      <c r="BR6" s="155"/>
      <c r="BS6" s="155"/>
      <c r="BT6" s="155"/>
      <c r="BU6" s="470"/>
    </row>
    <row r="7" spans="2:73" ht="13.35" customHeight="1">
      <c r="B7" s="163" t="s">
        <v>99</v>
      </c>
      <c r="C7" s="167"/>
      <c r="D7" s="167"/>
      <c r="E7" s="167"/>
      <c r="F7" s="167"/>
      <c r="G7" s="167">
        <v>36823</v>
      </c>
      <c r="H7" s="167">
        <v>36823</v>
      </c>
      <c r="I7" s="167">
        <v>33343</v>
      </c>
      <c r="J7" s="167">
        <v>27000</v>
      </c>
      <c r="K7" s="167">
        <v>123984</v>
      </c>
      <c r="L7" s="167">
        <v>86553</v>
      </c>
      <c r="M7" s="472">
        <f>+L7</f>
        <v>86553</v>
      </c>
      <c r="N7" s="167">
        <v>83508</v>
      </c>
      <c r="O7" s="167">
        <v>84755</v>
      </c>
      <c r="P7" s="167">
        <v>87715</v>
      </c>
      <c r="Q7" s="167">
        <v>53148</v>
      </c>
      <c r="R7" s="472">
        <f>+Q7</f>
        <v>53148</v>
      </c>
      <c r="S7" s="167">
        <v>50662</v>
      </c>
      <c r="T7" s="167">
        <v>53068</v>
      </c>
      <c r="U7" s="167">
        <v>49055</v>
      </c>
      <c r="V7" s="167">
        <v>51562</v>
      </c>
      <c r="W7" s="472">
        <f>+V7</f>
        <v>51562</v>
      </c>
      <c r="X7" s="167">
        <v>99646</v>
      </c>
      <c r="Y7" s="167">
        <v>100731</v>
      </c>
      <c r="Z7" s="167">
        <v>131160</v>
      </c>
      <c r="AA7" s="167">
        <v>99565</v>
      </c>
      <c r="AB7" s="472">
        <f>+AA7</f>
        <v>99565</v>
      </c>
      <c r="AC7" s="167">
        <v>89869</v>
      </c>
      <c r="AD7" s="430">
        <v>126569</v>
      </c>
      <c r="AE7" s="430">
        <v>114925</v>
      </c>
      <c r="AF7" s="430">
        <f>123413</f>
        <v>123413</v>
      </c>
      <c r="AG7" s="472">
        <f>+AF7</f>
        <v>123413</v>
      </c>
      <c r="AH7" s="430">
        <v>204434</v>
      </c>
      <c r="AI7" s="430">
        <v>279343</v>
      </c>
      <c r="AJ7" s="430">
        <f>239409</f>
        <v>239409</v>
      </c>
      <c r="AK7" s="430">
        <f>173617</f>
        <v>173617</v>
      </c>
      <c r="AL7" s="472">
        <f>+AK7</f>
        <v>173617</v>
      </c>
      <c r="AM7" s="167">
        <f>503804</f>
        <v>503804</v>
      </c>
      <c r="AN7" s="167">
        <f>493568</f>
        <v>493568</v>
      </c>
      <c r="AO7" s="167">
        <f>227104</f>
        <v>227104</v>
      </c>
      <c r="AP7" s="167">
        <f>164582</f>
        <v>164582</v>
      </c>
      <c r="AQ7" s="472">
        <f>+AP7</f>
        <v>164582</v>
      </c>
      <c r="AR7" s="167">
        <f>141365</f>
        <v>141365</v>
      </c>
      <c r="AS7" s="167">
        <f>163469</f>
        <v>163469</v>
      </c>
      <c r="AT7" s="167">
        <f>168353</f>
        <v>168353</v>
      </c>
      <c r="AU7" s="167">
        <f>207287</f>
        <v>207287</v>
      </c>
      <c r="AV7" s="472">
        <f>+AU7</f>
        <v>207287</v>
      </c>
      <c r="AW7" s="167">
        <f>205757</f>
        <v>205757</v>
      </c>
      <c r="AX7" s="167">
        <f>185929</f>
        <v>185929</v>
      </c>
      <c r="AY7" s="167">
        <f>182727</f>
        <v>182727</v>
      </c>
      <c r="AZ7" s="167">
        <f>213629</f>
        <v>213629</v>
      </c>
      <c r="BA7" s="472">
        <f>+AZ7</f>
        <v>213629</v>
      </c>
      <c r="BB7" s="167">
        <f>198716</f>
        <v>198716</v>
      </c>
      <c r="BC7" s="167">
        <f>236975</f>
        <v>236975</v>
      </c>
      <c r="BD7" s="167">
        <f>222571</f>
        <v>222571</v>
      </c>
      <c r="BE7" s="167">
        <f>334686</f>
        <v>334686</v>
      </c>
      <c r="BF7" s="472">
        <f>+BE7</f>
        <v>334686</v>
      </c>
      <c r="BG7" s="167">
        <f>291462</f>
        <v>291462</v>
      </c>
      <c r="BH7" s="167">
        <f>261327</f>
        <v>261327</v>
      </c>
      <c r="BI7" s="167">
        <f>130613</f>
        <v>130613</v>
      </c>
      <c r="BJ7" s="167">
        <f>246664</f>
        <v>246664</v>
      </c>
      <c r="BK7" s="472">
        <f>+BJ7</f>
        <v>246664</v>
      </c>
      <c r="BL7" s="167">
        <f>+CF!BL68</f>
        <v>271891.3162040278</v>
      </c>
      <c r="BM7" s="167">
        <f>+CF!BM68</f>
        <v>306313.53544985002</v>
      </c>
      <c r="BN7" s="167">
        <f>+CF!BN68</f>
        <v>333933.5103088211</v>
      </c>
      <c r="BO7" s="167">
        <f>+CF!BO68</f>
        <v>383052.40736944834</v>
      </c>
      <c r="BP7" s="472">
        <f>+BO7</f>
        <v>383052.40736944834</v>
      </c>
      <c r="BQ7" s="167">
        <f>+CF!BQ68</f>
        <v>406981.17345532961</v>
      </c>
      <c r="BR7" s="167">
        <f>+CF!BR68</f>
        <v>437336.40174644155</v>
      </c>
      <c r="BS7" s="167">
        <f>+CF!BS68</f>
        <v>467636.61360736081</v>
      </c>
      <c r="BT7" s="167">
        <f>+CF!BT68</f>
        <v>520132.76107535139</v>
      </c>
      <c r="BU7" s="472">
        <f>+BT7</f>
        <v>520132.76107535139</v>
      </c>
    </row>
    <row r="8" spans="2:73" ht="13.35" customHeight="1">
      <c r="B8" s="163" t="s">
        <v>120</v>
      </c>
      <c r="C8" s="167"/>
      <c r="D8" s="167"/>
      <c r="E8" s="167"/>
      <c r="F8" s="167"/>
      <c r="G8" s="167">
        <v>0</v>
      </c>
      <c r="H8" s="167">
        <v>0</v>
      </c>
      <c r="I8" s="167">
        <v>0</v>
      </c>
      <c r="J8" s="167">
        <v>0</v>
      </c>
      <c r="K8" s="167">
        <v>0</v>
      </c>
      <c r="L8" s="167">
        <v>0</v>
      </c>
      <c r="M8" s="472">
        <f>+L8</f>
        <v>0</v>
      </c>
      <c r="N8" s="167">
        <v>0</v>
      </c>
      <c r="O8" s="167">
        <v>0</v>
      </c>
      <c r="P8" s="167">
        <v>0</v>
      </c>
      <c r="Q8" s="167">
        <v>18779</v>
      </c>
      <c r="R8" s="472">
        <f>+Q8</f>
        <v>18779</v>
      </c>
      <c r="S8" s="167">
        <v>28561</v>
      </c>
      <c r="T8" s="167">
        <v>31213</v>
      </c>
      <c r="U8" s="167">
        <v>34825</v>
      </c>
      <c r="V8" s="167">
        <v>39178</v>
      </c>
      <c r="W8" s="472">
        <f>+V8</f>
        <v>39178</v>
      </c>
      <c r="X8" s="167">
        <v>29630</v>
      </c>
      <c r="Y8" s="167">
        <v>13983</v>
      </c>
      <c r="Z8" s="167">
        <v>140633</v>
      </c>
      <c r="AA8" s="167">
        <v>159210</v>
      </c>
      <c r="AB8" s="472">
        <f>+AA8</f>
        <v>159210</v>
      </c>
      <c r="AC8" s="167">
        <v>161600</v>
      </c>
      <c r="AD8" s="430">
        <v>119138</v>
      </c>
      <c r="AE8" s="430">
        <v>131815</v>
      </c>
      <c r="AF8" s="430">
        <f>116158</f>
        <v>116158</v>
      </c>
      <c r="AG8" s="472">
        <f>+AF8</f>
        <v>116158</v>
      </c>
      <c r="AH8" s="430">
        <v>36384</v>
      </c>
      <c r="AI8" s="430">
        <v>36313</v>
      </c>
      <c r="AJ8" s="430">
        <f>81209</f>
        <v>81209</v>
      </c>
      <c r="AK8" s="430">
        <f>138839</f>
        <v>138839</v>
      </c>
      <c r="AL8" s="472">
        <f>+AK8</f>
        <v>138839</v>
      </c>
      <c r="AM8" s="167">
        <f>101996</f>
        <v>101996</v>
      </c>
      <c r="AN8" s="167">
        <f>114284</f>
        <v>114284</v>
      </c>
      <c r="AO8" s="167">
        <f>77145</f>
        <v>77145</v>
      </c>
      <c r="AP8" s="167">
        <f>58850</f>
        <v>58850</v>
      </c>
      <c r="AQ8" s="472">
        <f>+AP8</f>
        <v>58850</v>
      </c>
      <c r="AR8" s="167">
        <f>93155</f>
        <v>93155</v>
      </c>
      <c r="AS8" s="167">
        <f>76244</f>
        <v>76244</v>
      </c>
      <c r="AT8" s="167">
        <f>83231</f>
        <v>83231</v>
      </c>
      <c r="AU8" s="167">
        <f>84162</f>
        <v>84162</v>
      </c>
      <c r="AV8" s="472">
        <f>+AU8</f>
        <v>84162</v>
      </c>
      <c r="AW8" s="167">
        <f>56483</f>
        <v>56483</v>
      </c>
      <c r="AX8" s="167">
        <f>107573</f>
        <v>107573</v>
      </c>
      <c r="AY8" s="167">
        <f>139434</f>
        <v>139434</v>
      </c>
      <c r="AZ8" s="167">
        <f>169544</f>
        <v>169544</v>
      </c>
      <c r="BA8" s="472">
        <f>+AZ8</f>
        <v>169544</v>
      </c>
      <c r="BB8" s="167">
        <f>213001</f>
        <v>213001</v>
      </c>
      <c r="BC8" s="167">
        <f>205671</f>
        <v>205671</v>
      </c>
      <c r="BD8" s="167">
        <f>221122</f>
        <v>221122</v>
      </c>
      <c r="BE8" s="167">
        <f>187025</f>
        <v>187025</v>
      </c>
      <c r="BF8" s="472">
        <f>+BE8</f>
        <v>187025</v>
      </c>
      <c r="BG8" s="167">
        <f>202011</f>
        <v>202011</v>
      </c>
      <c r="BH8" s="167">
        <f>250410</f>
        <v>250410</v>
      </c>
      <c r="BI8" s="167">
        <f>276515</f>
        <v>276515</v>
      </c>
      <c r="BJ8" s="167">
        <f>228006</f>
        <v>228006</v>
      </c>
      <c r="BK8" s="472">
        <f>+BJ8</f>
        <v>228006</v>
      </c>
      <c r="BL8" s="167">
        <f>+BJ8</f>
        <v>228006</v>
      </c>
      <c r="BM8" s="167">
        <f>+BL8</f>
        <v>228006</v>
      </c>
      <c r="BN8" s="167">
        <f>+BM8</f>
        <v>228006</v>
      </c>
      <c r="BO8" s="167">
        <f>+BN8</f>
        <v>228006</v>
      </c>
      <c r="BP8" s="472">
        <f>+BO8</f>
        <v>228006</v>
      </c>
      <c r="BQ8" s="167">
        <f>+BO8</f>
        <v>228006</v>
      </c>
      <c r="BR8" s="167">
        <f>+BQ8</f>
        <v>228006</v>
      </c>
      <c r="BS8" s="167">
        <f>+BR8</f>
        <v>228006</v>
      </c>
      <c r="BT8" s="167">
        <f>+BS8</f>
        <v>228006</v>
      </c>
      <c r="BU8" s="472">
        <f>+BT8</f>
        <v>228006</v>
      </c>
    </row>
    <row r="9" spans="2:73" ht="13.35" customHeight="1">
      <c r="B9" s="163" t="s">
        <v>121</v>
      </c>
      <c r="C9" s="167"/>
      <c r="D9" s="167"/>
      <c r="E9" s="167"/>
      <c r="F9" s="167"/>
      <c r="G9" s="167">
        <v>25412</v>
      </c>
      <c r="H9" s="167">
        <v>25412</v>
      </c>
      <c r="I9" s="167">
        <v>21027</v>
      </c>
      <c r="J9" s="167">
        <v>26363</v>
      </c>
      <c r="K9" s="167">
        <v>31969</v>
      </c>
      <c r="L9" s="167">
        <v>44164</v>
      </c>
      <c r="M9" s="472">
        <f>+L9</f>
        <v>44164</v>
      </c>
      <c r="N9" s="167">
        <v>29817</v>
      </c>
      <c r="O9" s="167">
        <v>38663</v>
      </c>
      <c r="P9" s="167">
        <v>38286</v>
      </c>
      <c r="Q9" s="167">
        <v>49154</v>
      </c>
      <c r="R9" s="472">
        <f>+Q9</f>
        <v>49154</v>
      </c>
      <c r="S9" s="167">
        <v>33703</v>
      </c>
      <c r="T9" s="167">
        <v>47560</v>
      </c>
      <c r="U9" s="167">
        <v>48690</v>
      </c>
      <c r="V9" s="167">
        <v>73661</v>
      </c>
      <c r="W9" s="472">
        <f>+V9</f>
        <v>73661</v>
      </c>
      <c r="X9" s="167">
        <v>38718</v>
      </c>
      <c r="Y9" s="167">
        <v>48476</v>
      </c>
      <c r="Z9" s="167">
        <v>53771</v>
      </c>
      <c r="AA9" s="167">
        <v>74935</v>
      </c>
      <c r="AB9" s="472">
        <f>+AA9</f>
        <v>74935</v>
      </c>
      <c r="AC9" s="167">
        <v>59707</v>
      </c>
      <c r="AD9" s="430">
        <v>69289</v>
      </c>
      <c r="AE9" s="167">
        <v>62422</v>
      </c>
      <c r="AF9" s="430">
        <f>87927</f>
        <v>87927</v>
      </c>
      <c r="AG9" s="472">
        <f>+AF9</f>
        <v>87927</v>
      </c>
      <c r="AH9" s="430">
        <v>64388</v>
      </c>
      <c r="AI9" s="430">
        <v>76823</v>
      </c>
      <c r="AJ9" s="430">
        <f>73625</f>
        <v>73625</v>
      </c>
      <c r="AK9" s="430">
        <f>111599</f>
        <v>111599</v>
      </c>
      <c r="AL9" s="472">
        <f>+AK9</f>
        <v>111599</v>
      </c>
      <c r="AM9" s="167">
        <f>76714</f>
        <v>76714</v>
      </c>
      <c r="AN9" s="167">
        <f>98483</f>
        <v>98483</v>
      </c>
      <c r="AO9" s="167">
        <f>96775</f>
        <v>96775</v>
      </c>
      <c r="AP9" s="167">
        <f>146094</f>
        <v>146094</v>
      </c>
      <c r="AQ9" s="472">
        <f>+AP9</f>
        <v>146094</v>
      </c>
      <c r="AR9" s="167">
        <f>107320</f>
        <v>107320</v>
      </c>
      <c r="AS9" s="167">
        <f>124701</f>
        <v>124701</v>
      </c>
      <c r="AT9" s="167">
        <f>121017</f>
        <v>121017</v>
      </c>
      <c r="AU9" s="167">
        <f>152045</f>
        <v>152045</v>
      </c>
      <c r="AV9" s="472">
        <f>+AU9</f>
        <v>152045</v>
      </c>
      <c r="AW9" s="167">
        <f>116683</f>
        <v>116683</v>
      </c>
      <c r="AX9" s="167">
        <f>136300</f>
        <v>136300</v>
      </c>
      <c r="AY9" s="167">
        <f>137690</f>
        <v>137690</v>
      </c>
      <c r="AZ9" s="167">
        <f>164862</f>
        <v>164862</v>
      </c>
      <c r="BA9" s="472">
        <f>+AZ9</f>
        <v>164862</v>
      </c>
      <c r="BB9" s="167">
        <f>124595</f>
        <v>124595</v>
      </c>
      <c r="BC9" s="167">
        <f>143671</f>
        <v>143671</v>
      </c>
      <c r="BD9" s="167">
        <f>141891</f>
        <v>141891</v>
      </c>
      <c r="BE9" s="167">
        <f>168242</f>
        <v>168242</v>
      </c>
      <c r="BF9" s="472">
        <f>+BE9</f>
        <v>168242</v>
      </c>
      <c r="BG9" s="167">
        <f>140541</f>
        <v>140541</v>
      </c>
      <c r="BH9" s="167">
        <f>150683</f>
        <v>150683</v>
      </c>
      <c r="BI9" s="167">
        <f>141339</f>
        <v>141339</v>
      </c>
      <c r="BJ9" s="167">
        <f>167017</f>
        <v>167017</v>
      </c>
      <c r="BK9" s="472">
        <f>+BJ9</f>
        <v>167017</v>
      </c>
      <c r="BL9" s="167">
        <f>+BL62*BL75/90</f>
        <v>140957.25805555555</v>
      </c>
      <c r="BM9" s="167">
        <f>+BM62*BM75/90</f>
        <v>148575.13244444443</v>
      </c>
      <c r="BN9" s="167">
        <f>+BN62*BN75/90</f>
        <v>135493.86444444445</v>
      </c>
      <c r="BO9" s="167">
        <f>+BO62*BO75/90</f>
        <v>159967.49155555555</v>
      </c>
      <c r="BP9" s="472">
        <f>+BO9</f>
        <v>159967.49155555555</v>
      </c>
      <c r="BQ9" s="167">
        <f>+BQ62*BQ75/90</f>
        <v>141015.06100000002</v>
      </c>
      <c r="BR9" s="167">
        <f>+BR62*BR75/90</f>
        <v>151120.07765333334</v>
      </c>
      <c r="BS9" s="167">
        <f>+BS62*BS75/90</f>
        <v>144831.06942666665</v>
      </c>
      <c r="BT9" s="167">
        <f>+BT62*BT75/90</f>
        <v>172116.15935999999</v>
      </c>
      <c r="BU9" s="472">
        <f>+BT9</f>
        <v>172116.15935999999</v>
      </c>
    </row>
    <row r="10" spans="2:73" ht="13.35" customHeight="1">
      <c r="B10" s="163" t="s">
        <v>293</v>
      </c>
      <c r="C10" s="167"/>
      <c r="D10" s="167"/>
      <c r="E10" s="167"/>
      <c r="F10" s="167"/>
      <c r="G10" s="167">
        <v>0</v>
      </c>
      <c r="H10" s="167">
        <v>0</v>
      </c>
      <c r="I10" s="167">
        <v>0</v>
      </c>
      <c r="J10" s="167">
        <v>0</v>
      </c>
      <c r="K10" s="167">
        <v>0</v>
      </c>
      <c r="L10" s="167">
        <v>0</v>
      </c>
      <c r="M10" s="472">
        <f>+L10</f>
        <v>0</v>
      </c>
      <c r="N10" s="167">
        <v>0</v>
      </c>
      <c r="O10" s="167">
        <v>0</v>
      </c>
      <c r="P10" s="167">
        <v>0</v>
      </c>
      <c r="Q10" s="167">
        <v>0</v>
      </c>
      <c r="R10" s="472">
        <f>+Q10</f>
        <v>0</v>
      </c>
      <c r="S10" s="167">
        <v>0</v>
      </c>
      <c r="T10" s="167">
        <v>0</v>
      </c>
      <c r="U10" s="167">
        <f>+T10</f>
        <v>0</v>
      </c>
      <c r="V10" s="167">
        <v>7844</v>
      </c>
      <c r="W10" s="472">
        <f>+V10</f>
        <v>7844</v>
      </c>
      <c r="X10" s="167">
        <v>8583</v>
      </c>
      <c r="Y10" s="167">
        <v>9481</v>
      </c>
      <c r="Z10" s="167">
        <v>10376</v>
      </c>
      <c r="AA10" s="167">
        <v>12321</v>
      </c>
      <c r="AB10" s="472">
        <f>+AA10</f>
        <v>12321</v>
      </c>
      <c r="AC10" s="167">
        <v>12994</v>
      </c>
      <c r="AD10" s="430">
        <v>13851</v>
      </c>
      <c r="AE10" s="167">
        <v>14905</v>
      </c>
      <c r="AF10" s="430">
        <f>17047</f>
        <v>17047</v>
      </c>
      <c r="AG10" s="472">
        <f>+AF10</f>
        <v>17047</v>
      </c>
      <c r="AH10" s="430">
        <v>17486</v>
      </c>
      <c r="AI10" s="430">
        <v>18439</v>
      </c>
      <c r="AJ10" s="430">
        <f>19269</f>
        <v>19269</v>
      </c>
      <c r="AK10" s="430">
        <f>21536</f>
        <v>21536</v>
      </c>
      <c r="AL10" s="472">
        <f>+AK10</f>
        <v>21536</v>
      </c>
      <c r="AM10" s="167">
        <f>22598</f>
        <v>22598</v>
      </c>
      <c r="AN10" s="167">
        <f>23960</f>
        <v>23960</v>
      </c>
      <c r="AO10" s="167">
        <f>25863</f>
        <v>25863</v>
      </c>
      <c r="AP10" s="167">
        <f>29974</f>
        <v>29974</v>
      </c>
      <c r="AQ10" s="472">
        <f>+AP10</f>
        <v>29974</v>
      </c>
      <c r="AR10" s="167">
        <f>30984</f>
        <v>30984</v>
      </c>
      <c r="AS10" s="167">
        <f>31367</f>
        <v>31367</v>
      </c>
      <c r="AT10" s="167">
        <f>33307</f>
        <v>33307</v>
      </c>
      <c r="AU10" s="167">
        <f>34906</f>
        <v>34906</v>
      </c>
      <c r="AV10" s="472">
        <f>+AU10</f>
        <v>34906</v>
      </c>
      <c r="AW10" s="167">
        <f>36171</f>
        <v>36171</v>
      </c>
      <c r="AX10" s="167">
        <f>38661</f>
        <v>38661</v>
      </c>
      <c r="AY10" s="167">
        <f>40909</f>
        <v>40909</v>
      </c>
      <c r="AZ10" s="167">
        <f>45008</f>
        <v>45008</v>
      </c>
      <c r="BA10" s="472">
        <f>+AZ10</f>
        <v>45008</v>
      </c>
      <c r="BB10" s="167">
        <f>47003</f>
        <v>47003</v>
      </c>
      <c r="BC10" s="167">
        <f>48880</f>
        <v>48880</v>
      </c>
      <c r="BD10" s="167">
        <f>49710</f>
        <v>49710</v>
      </c>
      <c r="BE10" s="167">
        <f>52134</f>
        <v>52134</v>
      </c>
      <c r="BF10" s="472">
        <f>+BE10</f>
        <v>52134</v>
      </c>
      <c r="BG10" s="167">
        <f>50667</f>
        <v>50667</v>
      </c>
      <c r="BH10" s="167">
        <f>49292</f>
        <v>49292</v>
      </c>
      <c r="BI10" s="167">
        <f>47557</f>
        <v>47557</v>
      </c>
      <c r="BJ10" s="167">
        <f>48370</f>
        <v>48370</v>
      </c>
      <c r="BK10" s="472">
        <f>+BJ10</f>
        <v>48370</v>
      </c>
      <c r="BL10" s="167">
        <f>+BJ10*(1+BL139)</f>
        <v>49821.1</v>
      </c>
      <c r="BM10" s="167">
        <f>+BL10*(1+BM139)</f>
        <v>51315.733</v>
      </c>
      <c r="BN10" s="167">
        <f>+BM10*(1+BN139)</f>
        <v>52855.204989999998</v>
      </c>
      <c r="BO10" s="167">
        <f>+BN10*(1+BO139)</f>
        <v>54440.861139699999</v>
      </c>
      <c r="BP10" s="472">
        <f>+BO10</f>
        <v>54440.861139699999</v>
      </c>
      <c r="BQ10" s="167">
        <f>+BO10*(1+BQ139)</f>
        <v>56618.495585288001</v>
      </c>
      <c r="BR10" s="167">
        <f>+BQ10*(1+BR139)</f>
        <v>58883.235408699526</v>
      </c>
      <c r="BS10" s="167">
        <f>+BR10*(1+BS139)</f>
        <v>61238.564825047506</v>
      </c>
      <c r="BT10" s="167">
        <f>+BS10*(1+BT139)</f>
        <v>63688.107418049411</v>
      </c>
      <c r="BU10" s="472">
        <f>+BT10</f>
        <v>63688.107418049411</v>
      </c>
    </row>
    <row r="11" spans="2:73" ht="13.35" customHeight="1">
      <c r="B11" s="163" t="s">
        <v>122</v>
      </c>
      <c r="C11" s="167"/>
      <c r="D11" s="167"/>
      <c r="E11" s="167"/>
      <c r="F11" s="167"/>
      <c r="G11" s="167">
        <v>4209</v>
      </c>
      <c r="H11" s="167">
        <v>4209</v>
      </c>
      <c r="I11" s="167">
        <v>4995</v>
      </c>
      <c r="J11" s="167">
        <v>6297</v>
      </c>
      <c r="K11" s="167">
        <v>4165</v>
      </c>
      <c r="L11" s="167">
        <v>6148</v>
      </c>
      <c r="M11" s="472">
        <f>+L11</f>
        <v>6148</v>
      </c>
      <c r="N11" s="167">
        <v>6618</v>
      </c>
      <c r="O11" s="167">
        <v>7183</v>
      </c>
      <c r="P11" s="167">
        <v>6705</v>
      </c>
      <c r="Q11" s="167">
        <v>9152</v>
      </c>
      <c r="R11" s="472">
        <f>+Q11</f>
        <v>9152</v>
      </c>
      <c r="S11" s="167">
        <v>7742</v>
      </c>
      <c r="T11" s="167">
        <v>8892</v>
      </c>
      <c r="U11" s="167">
        <v>8747</v>
      </c>
      <c r="V11" s="167">
        <v>8907</v>
      </c>
      <c r="W11" s="472">
        <f>+V11</f>
        <v>8907</v>
      </c>
      <c r="X11" s="167">
        <v>12232</v>
      </c>
      <c r="Y11" s="167">
        <v>13212</v>
      </c>
      <c r="Z11" s="167">
        <v>11616</v>
      </c>
      <c r="AA11" s="167">
        <v>9746</v>
      </c>
      <c r="AB11" s="472">
        <f>+AA11</f>
        <v>9746</v>
      </c>
      <c r="AC11" s="167">
        <v>15773</v>
      </c>
      <c r="AD11" s="167">
        <v>15416</v>
      </c>
      <c r="AE11" s="167">
        <v>15827</v>
      </c>
      <c r="AF11" s="167">
        <f>20051</f>
        <v>20051</v>
      </c>
      <c r="AG11" s="472">
        <f>+AF11</f>
        <v>20051</v>
      </c>
      <c r="AH11" s="430">
        <v>19624</v>
      </c>
      <c r="AI11" s="167">
        <v>20708</v>
      </c>
      <c r="AJ11" s="430">
        <f>20521</f>
        <v>20521</v>
      </c>
      <c r="AK11" s="430">
        <f>27844</f>
        <v>27844</v>
      </c>
      <c r="AL11" s="472">
        <f>+AK11</f>
        <v>27844</v>
      </c>
      <c r="AM11" s="167">
        <f>28943</f>
        <v>28943</v>
      </c>
      <c r="AN11" s="167">
        <f>27555</f>
        <v>27555</v>
      </c>
      <c r="AO11" s="167">
        <f>27079</f>
        <v>27079</v>
      </c>
      <c r="AP11" s="167">
        <f>33236</f>
        <v>33236</v>
      </c>
      <c r="AQ11" s="472">
        <f>+AP11</f>
        <v>33236</v>
      </c>
      <c r="AR11" s="167">
        <f>38051</f>
        <v>38051</v>
      </c>
      <c r="AS11" s="167">
        <f>34221</f>
        <v>34221</v>
      </c>
      <c r="AT11" s="167">
        <f>33402</f>
        <v>33402</v>
      </c>
      <c r="AU11" s="167">
        <f>31907</f>
        <v>31907</v>
      </c>
      <c r="AV11" s="472">
        <f>+AU11</f>
        <v>31907</v>
      </c>
      <c r="AW11" s="167">
        <f>39527</f>
        <v>39527</v>
      </c>
      <c r="AX11" s="167">
        <f>56463</f>
        <v>56463</v>
      </c>
      <c r="AY11" s="167">
        <f>35087</f>
        <v>35087</v>
      </c>
      <c r="AZ11" s="167">
        <f>41407</f>
        <v>41407</v>
      </c>
      <c r="BA11" s="472">
        <f>+AZ11</f>
        <v>41407</v>
      </c>
      <c r="BB11" s="167">
        <f>42552</f>
        <v>42552</v>
      </c>
      <c r="BC11" s="167">
        <f>39194</f>
        <v>39194</v>
      </c>
      <c r="BD11" s="167">
        <f>37328</f>
        <v>37328</v>
      </c>
      <c r="BE11" s="167">
        <f>44024</f>
        <v>44024</v>
      </c>
      <c r="BF11" s="472">
        <f>+BE11</f>
        <v>44024</v>
      </c>
      <c r="BG11" s="167">
        <f>47964</f>
        <v>47964</v>
      </c>
      <c r="BH11" s="167">
        <f>42805</f>
        <v>42805</v>
      </c>
      <c r="BI11" s="167">
        <f>39001</f>
        <v>39001</v>
      </c>
      <c r="BJ11" s="167">
        <f>47230</f>
        <v>47230</v>
      </c>
      <c r="BK11" s="472">
        <f>+BJ11</f>
        <v>47230</v>
      </c>
      <c r="BL11" s="167">
        <f>+(BL63+BL64)*BL78</f>
        <v>43181.963783749998</v>
      </c>
      <c r="BM11" s="167">
        <f>+(BM63+BM64)*BM78</f>
        <v>39749.821434400001</v>
      </c>
      <c r="BN11" s="167">
        <f>+(BN63+BN64)*BN78</f>
        <v>42901.287842639998</v>
      </c>
      <c r="BO11" s="167">
        <f>+(BO63+BO64)*BO78</f>
        <v>41316.794246790298</v>
      </c>
      <c r="BP11" s="472">
        <f>+BO11</f>
        <v>41316.794246790298</v>
      </c>
      <c r="BQ11" s="167">
        <f>+(BQ63+BQ64)*BQ78</f>
        <v>40258.714709313281</v>
      </c>
      <c r="BR11" s="167">
        <f>+(BR63+BR64)*BR78</f>
        <v>36775.366112276715</v>
      </c>
      <c r="BS11" s="167">
        <f>+(BS63+BS64)*BS78</f>
        <v>34973.847766207022</v>
      </c>
      <c r="BT11" s="167">
        <f>+(BT63+BT64)*BT78</f>
        <v>37064.287420368251</v>
      </c>
      <c r="BU11" s="472">
        <f>+BT11</f>
        <v>37064.287420368251</v>
      </c>
    </row>
    <row r="12" spans="2:73" ht="3.75" customHeight="1">
      <c r="B12" s="163"/>
      <c r="C12" s="204"/>
      <c r="D12" s="173" t="s">
        <v>1</v>
      </c>
      <c r="E12" s="173" t="s">
        <v>1</v>
      </c>
      <c r="F12" s="173" t="s">
        <v>1</v>
      </c>
      <c r="G12" s="173" t="s">
        <v>1</v>
      </c>
      <c r="H12" s="173" t="s">
        <v>1</v>
      </c>
      <c r="I12" s="173" t="s">
        <v>1</v>
      </c>
      <c r="J12" s="173" t="s">
        <v>1</v>
      </c>
      <c r="K12" s="173" t="s">
        <v>1</v>
      </c>
      <c r="L12" s="173" t="s">
        <v>1</v>
      </c>
      <c r="M12" s="473" t="s">
        <v>1</v>
      </c>
      <c r="N12" s="173" t="s">
        <v>1</v>
      </c>
      <c r="O12" s="173" t="s">
        <v>1</v>
      </c>
      <c r="P12" s="173" t="s">
        <v>1</v>
      </c>
      <c r="Q12" s="173" t="s">
        <v>1</v>
      </c>
      <c r="R12" s="473" t="s">
        <v>1</v>
      </c>
      <c r="S12" s="173" t="s">
        <v>1</v>
      </c>
      <c r="T12" s="173" t="s">
        <v>1</v>
      </c>
      <c r="U12" s="173" t="s">
        <v>1</v>
      </c>
      <c r="V12" s="173" t="s">
        <v>1</v>
      </c>
      <c r="W12" s="473" t="s">
        <v>1</v>
      </c>
      <c r="X12" s="173" t="s">
        <v>1</v>
      </c>
      <c r="Y12" s="173" t="s">
        <v>1</v>
      </c>
      <c r="Z12" s="173" t="s">
        <v>1</v>
      </c>
      <c r="AA12" s="173" t="s">
        <v>1</v>
      </c>
      <c r="AB12" s="473" t="s">
        <v>1</v>
      </c>
      <c r="AC12" s="173" t="s">
        <v>1</v>
      </c>
      <c r="AD12" s="173" t="s">
        <v>1</v>
      </c>
      <c r="AE12" s="173" t="s">
        <v>1</v>
      </c>
      <c r="AF12" s="173" t="s">
        <v>1</v>
      </c>
      <c r="AG12" s="473" t="s">
        <v>1</v>
      </c>
      <c r="AH12" s="617" t="s">
        <v>1</v>
      </c>
      <c r="AI12" s="173" t="s">
        <v>1</v>
      </c>
      <c r="AJ12" s="617" t="s">
        <v>1</v>
      </c>
      <c r="AK12" s="173" t="s">
        <v>1</v>
      </c>
      <c r="AL12" s="473" t="s">
        <v>1</v>
      </c>
      <c r="AM12" s="173" t="s">
        <v>1</v>
      </c>
      <c r="AN12" s="173" t="s">
        <v>1</v>
      </c>
      <c r="AO12" s="173" t="s">
        <v>1</v>
      </c>
      <c r="AP12" s="173" t="s">
        <v>1</v>
      </c>
      <c r="AQ12" s="473" t="s">
        <v>1</v>
      </c>
      <c r="AR12" s="173" t="s">
        <v>1</v>
      </c>
      <c r="AS12" s="173" t="s">
        <v>1</v>
      </c>
      <c r="AT12" s="173" t="s">
        <v>1</v>
      </c>
      <c r="AU12" s="173" t="s">
        <v>1</v>
      </c>
      <c r="AV12" s="473" t="s">
        <v>1</v>
      </c>
      <c r="AW12" s="173" t="s">
        <v>1</v>
      </c>
      <c r="AX12" s="173" t="s">
        <v>1</v>
      </c>
      <c r="AY12" s="173" t="s">
        <v>1</v>
      </c>
      <c r="AZ12" s="173" t="s">
        <v>1</v>
      </c>
      <c r="BA12" s="473" t="s">
        <v>1</v>
      </c>
      <c r="BB12" s="173" t="s">
        <v>1</v>
      </c>
      <c r="BC12" s="173" t="s">
        <v>1</v>
      </c>
      <c r="BD12" s="173" t="s">
        <v>1</v>
      </c>
      <c r="BE12" s="173" t="s">
        <v>1</v>
      </c>
      <c r="BF12" s="473" t="s">
        <v>1</v>
      </c>
      <c r="BG12" s="173" t="s">
        <v>1</v>
      </c>
      <c r="BH12" s="173" t="s">
        <v>1</v>
      </c>
      <c r="BI12" s="173" t="s">
        <v>1</v>
      </c>
      <c r="BJ12" s="173" t="s">
        <v>1</v>
      </c>
      <c r="BK12" s="473" t="s">
        <v>1</v>
      </c>
      <c r="BL12" s="173" t="s">
        <v>1</v>
      </c>
      <c r="BM12" s="173" t="s">
        <v>1</v>
      </c>
      <c r="BN12" s="173" t="s">
        <v>1</v>
      </c>
      <c r="BO12" s="173" t="s">
        <v>1</v>
      </c>
      <c r="BP12" s="473" t="s">
        <v>1</v>
      </c>
      <c r="BQ12" s="173" t="s">
        <v>1</v>
      </c>
      <c r="BR12" s="173" t="s">
        <v>1</v>
      </c>
      <c r="BS12" s="173" t="s">
        <v>1</v>
      </c>
      <c r="BT12" s="173" t="s">
        <v>1</v>
      </c>
      <c r="BU12" s="473" t="s">
        <v>1</v>
      </c>
    </row>
    <row r="13" spans="2:73" ht="13.35" customHeight="1">
      <c r="B13" s="175" t="s">
        <v>100</v>
      </c>
      <c r="C13" s="166"/>
      <c r="D13" s="166" t="e">
        <f>SUM(D7:D11)-#REF!</f>
        <v>#REF!</v>
      </c>
      <c r="E13" s="166" t="e">
        <f>SUM(E7:E11)-#REF!</f>
        <v>#REF!</v>
      </c>
      <c r="F13" s="166" t="e">
        <f>SUM(F7:F11)-#REF!</f>
        <v>#REF!</v>
      </c>
      <c r="G13" s="166" t="e">
        <f>SUM(G7:G11)-#REF!</f>
        <v>#REF!</v>
      </c>
      <c r="H13" s="166" t="e">
        <f>SUM(H7:H11)-#REF!</f>
        <v>#REF!</v>
      </c>
      <c r="I13" s="166" t="e">
        <f>SUM(I7:I11)-#REF!</f>
        <v>#REF!</v>
      </c>
      <c r="J13" s="166" t="e">
        <f>SUM(J7:J11)-#REF!</f>
        <v>#REF!</v>
      </c>
      <c r="K13" s="166" t="e">
        <f>SUM(K7:K11)-#REF!</f>
        <v>#REF!</v>
      </c>
      <c r="L13" s="166" t="e">
        <f>SUM(L7:L11)-#REF!</f>
        <v>#REF!</v>
      </c>
      <c r="M13" s="471">
        <f t="shared" ref="M13:S13" si="0">SUM(M7:M11)</f>
        <v>136865</v>
      </c>
      <c r="N13" s="166">
        <f t="shared" si="0"/>
        <v>119943</v>
      </c>
      <c r="O13" s="166">
        <f t="shared" si="0"/>
        <v>130601</v>
      </c>
      <c r="P13" s="166">
        <f t="shared" si="0"/>
        <v>132706</v>
      </c>
      <c r="Q13" s="166">
        <f t="shared" si="0"/>
        <v>130233</v>
      </c>
      <c r="R13" s="471">
        <f t="shared" si="0"/>
        <v>130233</v>
      </c>
      <c r="S13" s="166">
        <f t="shared" si="0"/>
        <v>120668</v>
      </c>
      <c r="T13" s="166">
        <f>SUM(T7:T11)</f>
        <v>140733</v>
      </c>
      <c r="U13" s="166">
        <f t="shared" ref="U13:AQ13" si="1">SUM(U7:U11)</f>
        <v>141317</v>
      </c>
      <c r="V13" s="166">
        <f t="shared" si="1"/>
        <v>181152</v>
      </c>
      <c r="W13" s="471">
        <f t="shared" si="1"/>
        <v>181152</v>
      </c>
      <c r="X13" s="166">
        <f t="shared" si="1"/>
        <v>188809</v>
      </c>
      <c r="Y13" s="166">
        <f t="shared" si="1"/>
        <v>185883</v>
      </c>
      <c r="Z13" s="166">
        <f t="shared" si="1"/>
        <v>347556</v>
      </c>
      <c r="AA13" s="166">
        <f t="shared" si="1"/>
        <v>355777</v>
      </c>
      <c r="AB13" s="471">
        <f t="shared" si="1"/>
        <v>355777</v>
      </c>
      <c r="AC13" s="166">
        <f t="shared" si="1"/>
        <v>339943</v>
      </c>
      <c r="AD13" s="166">
        <f t="shared" si="1"/>
        <v>344263</v>
      </c>
      <c r="AE13" s="166">
        <f t="shared" si="1"/>
        <v>339894</v>
      </c>
      <c r="AF13" s="166">
        <f t="shared" si="1"/>
        <v>364596</v>
      </c>
      <c r="AG13" s="471">
        <f t="shared" si="1"/>
        <v>364596</v>
      </c>
      <c r="AH13" s="618">
        <f t="shared" si="1"/>
        <v>342316</v>
      </c>
      <c r="AI13" s="166">
        <f t="shared" si="1"/>
        <v>431626</v>
      </c>
      <c r="AJ13" s="618">
        <f t="shared" si="1"/>
        <v>434033</v>
      </c>
      <c r="AK13" s="166">
        <f t="shared" si="1"/>
        <v>473435</v>
      </c>
      <c r="AL13" s="471">
        <f t="shared" si="1"/>
        <v>473435</v>
      </c>
      <c r="AM13" s="166">
        <f t="shared" si="1"/>
        <v>734055</v>
      </c>
      <c r="AN13" s="166">
        <f t="shared" si="1"/>
        <v>757850</v>
      </c>
      <c r="AO13" s="166">
        <f t="shared" si="1"/>
        <v>453966</v>
      </c>
      <c r="AP13" s="166">
        <f t="shared" si="1"/>
        <v>432736</v>
      </c>
      <c r="AQ13" s="471">
        <f t="shared" si="1"/>
        <v>432736</v>
      </c>
      <c r="AR13" s="166">
        <f t="shared" ref="AR13:BP13" si="2">SUM(AR7:AR11)</f>
        <v>410875</v>
      </c>
      <c r="AS13" s="166">
        <f t="shared" si="2"/>
        <v>430002</v>
      </c>
      <c r="AT13" s="166">
        <f t="shared" si="2"/>
        <v>439310</v>
      </c>
      <c r="AU13" s="166">
        <f t="shared" si="2"/>
        <v>510307</v>
      </c>
      <c r="AV13" s="471">
        <f t="shared" si="2"/>
        <v>510307</v>
      </c>
      <c r="AW13" s="166">
        <f t="shared" si="2"/>
        <v>454621</v>
      </c>
      <c r="AX13" s="166">
        <f t="shared" si="2"/>
        <v>524926</v>
      </c>
      <c r="AY13" s="166">
        <f t="shared" si="2"/>
        <v>535847</v>
      </c>
      <c r="AZ13" s="166">
        <f t="shared" si="2"/>
        <v>634450</v>
      </c>
      <c r="BA13" s="471">
        <f t="shared" si="2"/>
        <v>634450</v>
      </c>
      <c r="BB13" s="166">
        <f t="shared" si="2"/>
        <v>625867</v>
      </c>
      <c r="BC13" s="166">
        <f t="shared" si="2"/>
        <v>674391</v>
      </c>
      <c r="BD13" s="166">
        <f t="shared" si="2"/>
        <v>672622</v>
      </c>
      <c r="BE13" s="166">
        <f t="shared" si="2"/>
        <v>786111</v>
      </c>
      <c r="BF13" s="471">
        <f t="shared" si="2"/>
        <v>786111</v>
      </c>
      <c r="BG13" s="166">
        <f t="shared" si="2"/>
        <v>732645</v>
      </c>
      <c r="BH13" s="166">
        <f t="shared" si="2"/>
        <v>754517</v>
      </c>
      <c r="BI13" s="166">
        <f t="shared" si="2"/>
        <v>635025</v>
      </c>
      <c r="BJ13" s="166">
        <f t="shared" si="2"/>
        <v>737287</v>
      </c>
      <c r="BK13" s="471">
        <f t="shared" si="2"/>
        <v>737287</v>
      </c>
      <c r="BL13" s="166">
        <f t="shared" si="2"/>
        <v>733857.63804333331</v>
      </c>
      <c r="BM13" s="166">
        <f t="shared" si="2"/>
        <v>773960.22232869454</v>
      </c>
      <c r="BN13" s="166">
        <f t="shared" si="2"/>
        <v>793189.86758590548</v>
      </c>
      <c r="BO13" s="166">
        <f t="shared" si="2"/>
        <v>866783.55431149423</v>
      </c>
      <c r="BP13" s="471">
        <f t="shared" si="2"/>
        <v>866783.55431149423</v>
      </c>
      <c r="BQ13" s="166">
        <f t="shared" ref="BQ13:BU13" si="3">SUM(BQ7:BQ11)</f>
        <v>872879.44474993087</v>
      </c>
      <c r="BR13" s="166">
        <f t="shared" si="3"/>
        <v>912121.08092075109</v>
      </c>
      <c r="BS13" s="166">
        <f t="shared" si="3"/>
        <v>936686.09562528203</v>
      </c>
      <c r="BT13" s="166">
        <f t="shared" si="3"/>
        <v>1021007.315273769</v>
      </c>
      <c r="BU13" s="471">
        <f t="shared" si="3"/>
        <v>1021007.315273769</v>
      </c>
    </row>
    <row r="14" spans="2:73" ht="6" customHeight="1">
      <c r="B14" s="155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472"/>
      <c r="N14" s="167"/>
      <c r="O14" s="167"/>
      <c r="P14" s="167"/>
      <c r="Q14" s="167"/>
      <c r="R14" s="472"/>
      <c r="S14" s="167"/>
      <c r="T14" s="167"/>
      <c r="U14" s="167"/>
      <c r="V14" s="167"/>
      <c r="W14" s="472"/>
      <c r="X14" s="167"/>
      <c r="Y14" s="167"/>
      <c r="Z14" s="167"/>
      <c r="AA14" s="167"/>
      <c r="AB14" s="472"/>
      <c r="AC14" s="167"/>
      <c r="AD14" s="167"/>
      <c r="AE14" s="167"/>
      <c r="AF14" s="167"/>
      <c r="AG14" s="472"/>
      <c r="AH14" s="167"/>
      <c r="AI14" s="167"/>
      <c r="AJ14" s="167"/>
      <c r="AK14" s="167"/>
      <c r="AL14" s="472"/>
      <c r="AM14" s="167"/>
      <c r="AN14" s="167"/>
      <c r="AO14" s="167"/>
      <c r="AP14" s="167"/>
      <c r="AQ14" s="472"/>
      <c r="AR14" s="167"/>
      <c r="AS14" s="167"/>
      <c r="AT14" s="167"/>
      <c r="AU14" s="167"/>
      <c r="AV14" s="472"/>
      <c r="AW14" s="167"/>
      <c r="AX14" s="167"/>
      <c r="AY14" s="167"/>
      <c r="AZ14" s="167"/>
      <c r="BA14" s="472"/>
      <c r="BB14" s="167"/>
      <c r="BC14" s="167"/>
      <c r="BD14" s="167"/>
      <c r="BE14" s="167"/>
      <c r="BF14" s="472"/>
      <c r="BG14" s="167"/>
      <c r="BH14" s="167"/>
      <c r="BI14" s="167"/>
      <c r="BJ14" s="167"/>
      <c r="BK14" s="472"/>
      <c r="BL14" s="167"/>
      <c r="BM14" s="167"/>
      <c r="BN14" s="167"/>
      <c r="BO14" s="167"/>
      <c r="BP14" s="472"/>
      <c r="BQ14" s="167"/>
      <c r="BR14" s="167"/>
      <c r="BS14" s="167"/>
      <c r="BT14" s="167"/>
      <c r="BU14" s="472"/>
    </row>
    <row r="15" spans="2:73" ht="13.35" customHeight="1">
      <c r="B15" s="155" t="s">
        <v>162</v>
      </c>
      <c r="C15" s="167"/>
      <c r="D15" s="167"/>
      <c r="E15" s="167"/>
      <c r="F15" s="167"/>
      <c r="G15" s="167">
        <v>0</v>
      </c>
      <c r="H15" s="167">
        <v>0</v>
      </c>
      <c r="I15" s="167">
        <v>0</v>
      </c>
      <c r="J15" s="167">
        <v>0</v>
      </c>
      <c r="K15" s="167">
        <v>0</v>
      </c>
      <c r="L15" s="167">
        <v>0</v>
      </c>
      <c r="M15" s="472">
        <f t="shared" ref="M15:M21" si="4">+L15</f>
        <v>0</v>
      </c>
      <c r="N15" s="167">
        <v>0</v>
      </c>
      <c r="O15" s="167">
        <v>0</v>
      </c>
      <c r="P15" s="167">
        <v>0</v>
      </c>
      <c r="Q15" s="167">
        <v>20162</v>
      </c>
      <c r="R15" s="472">
        <f t="shared" ref="R15:R21" si="5">+Q15</f>
        <v>20162</v>
      </c>
      <c r="S15" s="167">
        <v>16803</v>
      </c>
      <c r="T15" s="167">
        <v>8799</v>
      </c>
      <c r="U15" s="167">
        <v>1110</v>
      </c>
      <c r="V15" s="167">
        <v>1102</v>
      </c>
      <c r="W15" s="472">
        <f>+V15</f>
        <v>1102</v>
      </c>
      <c r="X15" s="167">
        <v>1096</v>
      </c>
      <c r="Y15" s="167">
        <v>3929</v>
      </c>
      <c r="Z15" s="167">
        <v>39275</v>
      </c>
      <c r="AA15" s="167">
        <v>44892</v>
      </c>
      <c r="AB15" s="472">
        <f>+AA15</f>
        <v>44892</v>
      </c>
      <c r="AC15" s="167">
        <v>33613</v>
      </c>
      <c r="AD15" s="167">
        <v>18680</v>
      </c>
      <c r="AE15" s="167">
        <v>10997</v>
      </c>
      <c r="AF15" s="167">
        <f>22887</f>
        <v>22887</v>
      </c>
      <c r="AG15" s="472">
        <f t="shared" ref="AG15:AG21" si="6">+AF15</f>
        <v>22887</v>
      </c>
      <c r="AH15" s="167">
        <v>12804</v>
      </c>
      <c r="AI15" s="167">
        <v>5365</v>
      </c>
      <c r="AJ15" s="167">
        <f>10813</f>
        <v>10813</v>
      </c>
      <c r="AK15" s="167">
        <f>10124</f>
        <v>10124</v>
      </c>
      <c r="AL15" s="472">
        <f t="shared" ref="AL15:AL21" si="7">+AK15</f>
        <v>10124</v>
      </c>
      <c r="AM15" s="167">
        <f>11133</f>
        <v>11133</v>
      </c>
      <c r="AN15" s="167">
        <f>5377</f>
        <v>5377</v>
      </c>
      <c r="AO15" s="167">
        <f>5364</f>
        <v>5364</v>
      </c>
      <c r="AP15" s="167">
        <f>34068</f>
        <v>34068</v>
      </c>
      <c r="AQ15" s="472">
        <f t="shared" ref="AQ15:AQ21" si="8">+AP15</f>
        <v>34068</v>
      </c>
      <c r="AR15" s="167">
        <f>28295</f>
        <v>28295</v>
      </c>
      <c r="AS15" s="167">
        <f>14330</f>
        <v>14330</v>
      </c>
      <c r="AT15" s="167">
        <f>16707</f>
        <v>16707</v>
      </c>
      <c r="AU15" s="167">
        <f>9756</f>
        <v>9756</v>
      </c>
      <c r="AV15" s="472">
        <f t="shared" ref="AV15:AV21" si="9">+AU15</f>
        <v>9756</v>
      </c>
      <c r="AW15" s="167">
        <f>7343</f>
        <v>7343</v>
      </c>
      <c r="AX15" s="167">
        <f>2437</f>
        <v>2437</v>
      </c>
      <c r="AY15" s="167">
        <f>50603</f>
        <v>50603</v>
      </c>
      <c r="AZ15" s="167">
        <f>56171</f>
        <v>56171</v>
      </c>
      <c r="BA15" s="472">
        <f t="shared" ref="BA15:BA21" si="10">+AZ15</f>
        <v>56171</v>
      </c>
      <c r="BB15" s="167">
        <f>52454</f>
        <v>52454</v>
      </c>
      <c r="BC15" s="167">
        <f>51434</f>
        <v>51434</v>
      </c>
      <c r="BD15" s="167">
        <f>60382</f>
        <v>60382</v>
      </c>
      <c r="BE15" s="167">
        <f>37274</f>
        <v>37274</v>
      </c>
      <c r="BF15" s="472">
        <f t="shared" ref="BF15:BF21" si="11">+BE15</f>
        <v>37274</v>
      </c>
      <c r="BG15" s="167">
        <f>99136</f>
        <v>99136</v>
      </c>
      <c r="BH15" s="167">
        <f>88012</f>
        <v>88012</v>
      </c>
      <c r="BI15" s="167">
        <f>227418</f>
        <v>227418</v>
      </c>
      <c r="BJ15" s="167">
        <f>184119</f>
        <v>184119</v>
      </c>
      <c r="BK15" s="472">
        <f>+BJ15</f>
        <v>184119</v>
      </c>
      <c r="BL15" s="167">
        <f>+BJ15</f>
        <v>184119</v>
      </c>
      <c r="BM15" s="167">
        <f>+BL15</f>
        <v>184119</v>
      </c>
      <c r="BN15" s="167">
        <f>+BM15</f>
        <v>184119</v>
      </c>
      <c r="BO15" s="167">
        <f>+BN15</f>
        <v>184119</v>
      </c>
      <c r="BP15" s="472">
        <f>+BO15</f>
        <v>184119</v>
      </c>
      <c r="BQ15" s="167">
        <f>+BO15</f>
        <v>184119</v>
      </c>
      <c r="BR15" s="167">
        <f>+BQ15</f>
        <v>184119</v>
      </c>
      <c r="BS15" s="167">
        <f>+BR15</f>
        <v>184119</v>
      </c>
      <c r="BT15" s="167">
        <f>+BS15</f>
        <v>184119</v>
      </c>
      <c r="BU15" s="472">
        <f>+BT15</f>
        <v>184119</v>
      </c>
    </row>
    <row r="16" spans="2:73" ht="13.35" customHeight="1">
      <c r="B16" s="155" t="s">
        <v>124</v>
      </c>
      <c r="C16" s="167"/>
      <c r="D16" s="167"/>
      <c r="E16" s="167"/>
      <c r="F16" s="167"/>
      <c r="G16" s="167">
        <v>7922</v>
      </c>
      <c r="H16" s="167">
        <v>7922</v>
      </c>
      <c r="I16" s="167">
        <v>7619</v>
      </c>
      <c r="J16" s="167">
        <v>7607</v>
      </c>
      <c r="K16" s="167">
        <v>7356</v>
      </c>
      <c r="L16" s="167">
        <v>7532</v>
      </c>
      <c r="M16" s="472">
        <f t="shared" si="4"/>
        <v>7532</v>
      </c>
      <c r="N16" s="167">
        <v>7611</v>
      </c>
      <c r="O16" s="167">
        <v>7386</v>
      </c>
      <c r="P16" s="167">
        <v>8009</v>
      </c>
      <c r="Q16" s="167">
        <v>8088</v>
      </c>
      <c r="R16" s="472">
        <f t="shared" si="5"/>
        <v>8088</v>
      </c>
      <c r="S16" s="167">
        <v>8010</v>
      </c>
      <c r="T16" s="167">
        <v>8287</v>
      </c>
      <c r="U16" s="167">
        <v>7995</v>
      </c>
      <c r="V16" s="167">
        <v>8589</v>
      </c>
      <c r="W16" s="472">
        <f t="shared" ref="W16:W21" si="12">+V16</f>
        <v>8589</v>
      </c>
      <c r="X16" s="167">
        <v>9238</v>
      </c>
      <c r="Y16" s="167">
        <v>11184</v>
      </c>
      <c r="Z16" s="167">
        <v>11859</v>
      </c>
      <c r="AA16" s="167">
        <v>17523</v>
      </c>
      <c r="AB16" s="472">
        <f t="shared" ref="AB16:AB21" si="13">+AA16</f>
        <v>17523</v>
      </c>
      <c r="AC16" s="167">
        <v>32771</v>
      </c>
      <c r="AD16" s="167">
        <v>51860</v>
      </c>
      <c r="AE16" s="167">
        <v>51519</v>
      </c>
      <c r="AF16" s="167">
        <f>50670</f>
        <v>50670</v>
      </c>
      <c r="AG16" s="472">
        <f t="shared" si="6"/>
        <v>50670</v>
      </c>
      <c r="AH16" s="167">
        <v>50075</v>
      </c>
      <c r="AI16" s="167">
        <v>48904</v>
      </c>
      <c r="AJ16" s="167">
        <f>50305</f>
        <v>50305</v>
      </c>
      <c r="AK16" s="167">
        <f>53114</f>
        <v>53114</v>
      </c>
      <c r="AL16" s="472">
        <f t="shared" si="7"/>
        <v>53114</v>
      </c>
      <c r="AM16" s="167">
        <f>51141</f>
        <v>51141</v>
      </c>
      <c r="AN16" s="167">
        <f>49431</f>
        <v>49431</v>
      </c>
      <c r="AO16" s="167">
        <f>49034</f>
        <v>49034</v>
      </c>
      <c r="AP16" s="167">
        <f>50225</f>
        <v>50225</v>
      </c>
      <c r="AQ16" s="472">
        <f t="shared" si="8"/>
        <v>50225</v>
      </c>
      <c r="AR16" s="167">
        <f>49804</f>
        <v>49804</v>
      </c>
      <c r="AS16" s="167">
        <f>50533</f>
        <v>50533</v>
      </c>
      <c r="AT16" s="167">
        <f>55002</f>
        <v>55002</v>
      </c>
      <c r="AU16" s="167">
        <f>57891</f>
        <v>57891</v>
      </c>
      <c r="AV16" s="472">
        <f t="shared" si="9"/>
        <v>57891</v>
      </c>
      <c r="AW16" s="167">
        <f>56638</f>
        <v>56638</v>
      </c>
      <c r="AX16" s="167">
        <f>47104</f>
        <v>47104</v>
      </c>
      <c r="AY16" s="167">
        <f>42449</f>
        <v>42449</v>
      </c>
      <c r="AZ16" s="167">
        <f>39642</f>
        <v>39642</v>
      </c>
      <c r="BA16" s="472">
        <f t="shared" si="10"/>
        <v>39642</v>
      </c>
      <c r="BB16" s="167">
        <f>37266</f>
        <v>37266</v>
      </c>
      <c r="BC16" s="167">
        <f>34884</f>
        <v>34884</v>
      </c>
      <c r="BD16" s="167">
        <f>33936</f>
        <v>33936</v>
      </c>
      <c r="BE16" s="167">
        <f>32245</f>
        <v>32245</v>
      </c>
      <c r="BF16" s="472">
        <f t="shared" si="11"/>
        <v>32245</v>
      </c>
      <c r="BG16" s="167">
        <f>31659</f>
        <v>31659</v>
      </c>
      <c r="BH16" s="167">
        <f>29639</f>
        <v>29639</v>
      </c>
      <c r="BI16" s="167">
        <f>31966</f>
        <v>31966</v>
      </c>
      <c r="BJ16" s="167">
        <f>31990</f>
        <v>31990</v>
      </c>
      <c r="BK16" s="472">
        <f t="shared" ref="BK16:BK21" si="14">+BJ16</f>
        <v>31990</v>
      </c>
      <c r="BL16" s="167">
        <f>+BL89</f>
        <v>31510.497249999997</v>
      </c>
      <c r="BM16" s="167">
        <f>+BM89</f>
        <v>31078.995269999996</v>
      </c>
      <c r="BN16" s="167">
        <f>+BN89</f>
        <v>30695.166648399994</v>
      </c>
      <c r="BO16" s="167">
        <f>+BO89</f>
        <v>30356.770116527998</v>
      </c>
      <c r="BP16" s="472">
        <f t="shared" ref="BP16:BP21" si="15">+BO16</f>
        <v>30356.770116527998</v>
      </c>
      <c r="BQ16" s="167">
        <f>+BQ89</f>
        <v>30043.454422205756</v>
      </c>
      <c r="BR16" s="167">
        <f>+BR89</f>
        <v>29765.104160429295</v>
      </c>
      <c r="BS16" s="167">
        <f>+BS89</f>
        <v>29520.747671594952</v>
      </c>
      <c r="BT16" s="167">
        <f>+BT89</f>
        <v>29310.539849867357</v>
      </c>
      <c r="BU16" s="472">
        <f t="shared" ref="BU16:BU17" si="16">+BT16</f>
        <v>29310.539849867357</v>
      </c>
    </row>
    <row r="17" spans="2:73" ht="13.35" customHeight="1">
      <c r="B17" s="163" t="s">
        <v>344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472">
        <f>+L17</f>
        <v>0</v>
      </c>
      <c r="N17" s="167"/>
      <c r="O17" s="167"/>
      <c r="P17" s="167"/>
      <c r="Q17" s="167"/>
      <c r="R17" s="472">
        <f>+Q17</f>
        <v>0</v>
      </c>
      <c r="S17" s="167"/>
      <c r="T17" s="167"/>
      <c r="U17" s="167"/>
      <c r="V17" s="167"/>
      <c r="W17" s="472">
        <f>+V17</f>
        <v>0</v>
      </c>
      <c r="X17" s="167"/>
      <c r="Y17" s="167"/>
      <c r="Z17" s="167"/>
      <c r="AA17" s="167"/>
      <c r="AB17" s="472">
        <f>+AA17</f>
        <v>0</v>
      </c>
      <c r="AC17" s="167">
        <v>15888</v>
      </c>
      <c r="AD17" s="167">
        <v>59417</v>
      </c>
      <c r="AE17" s="167">
        <v>61217</v>
      </c>
      <c r="AF17" s="167">
        <f>60984</f>
        <v>60984</v>
      </c>
      <c r="AG17" s="472">
        <f>+AF17</f>
        <v>60984</v>
      </c>
      <c r="AH17" s="167">
        <v>62942</v>
      </c>
      <c r="AI17" s="167">
        <v>72005</v>
      </c>
      <c r="AJ17" s="167">
        <f>69797</f>
        <v>69797</v>
      </c>
      <c r="AK17" s="167">
        <f>67178</f>
        <v>67178</v>
      </c>
      <c r="AL17" s="472">
        <f>+AK17</f>
        <v>67178</v>
      </c>
      <c r="AM17" s="167">
        <f>64965</f>
        <v>64965</v>
      </c>
      <c r="AN17" s="167">
        <f>63472</f>
        <v>63472</v>
      </c>
      <c r="AO17" s="167">
        <f>62105</f>
        <v>62105</v>
      </c>
      <c r="AP17" s="167">
        <f>83751</f>
        <v>83751</v>
      </c>
      <c r="AQ17" s="472">
        <f>+AP17</f>
        <v>83751</v>
      </c>
      <c r="AR17" s="167">
        <f>89196</f>
        <v>89196</v>
      </c>
      <c r="AS17" s="167">
        <f>84937</f>
        <v>84937</v>
      </c>
      <c r="AT17" s="167">
        <f>85250</f>
        <v>85250</v>
      </c>
      <c r="AU17" s="167">
        <f>79342</f>
        <v>79342</v>
      </c>
      <c r="AV17" s="472">
        <f>+AU17</f>
        <v>79342</v>
      </c>
      <c r="AW17" s="167">
        <f>77420</f>
        <v>77420</v>
      </c>
      <c r="AX17" s="167">
        <f>56817</f>
        <v>56817</v>
      </c>
      <c r="AY17" s="167">
        <f>53275</f>
        <v>53275</v>
      </c>
      <c r="AZ17" s="167">
        <f>54693</f>
        <v>54693</v>
      </c>
      <c r="BA17" s="472">
        <f>+AZ17</f>
        <v>54693</v>
      </c>
      <c r="BB17" s="167">
        <f>53036</f>
        <v>53036</v>
      </c>
      <c r="BC17" s="167">
        <f>50645</f>
        <v>50645</v>
      </c>
      <c r="BD17" s="167">
        <f>50756</f>
        <v>50756</v>
      </c>
      <c r="BE17" s="167">
        <f>48877</f>
        <v>48877</v>
      </c>
      <c r="BF17" s="472">
        <f>+BE17</f>
        <v>48877</v>
      </c>
      <c r="BG17" s="167">
        <f>46404</f>
        <v>46404</v>
      </c>
      <c r="BH17" s="167">
        <f>43654</f>
        <v>43654</v>
      </c>
      <c r="BI17" s="167">
        <f>47536</f>
        <v>47536</v>
      </c>
      <c r="BJ17" s="167">
        <f>45485</f>
        <v>45485</v>
      </c>
      <c r="BK17" s="472">
        <f t="shared" ref="BK17:BP17" si="17">+BJ17</f>
        <v>45485</v>
      </c>
      <c r="BL17" s="167">
        <f t="shared" si="17"/>
        <v>45485</v>
      </c>
      <c r="BM17" s="167">
        <f t="shared" si="17"/>
        <v>45485</v>
      </c>
      <c r="BN17" s="167">
        <f t="shared" si="17"/>
        <v>45485</v>
      </c>
      <c r="BO17" s="167">
        <f t="shared" si="17"/>
        <v>45485</v>
      </c>
      <c r="BP17" s="472">
        <f t="shared" si="17"/>
        <v>45485</v>
      </c>
      <c r="BQ17" s="167">
        <f t="shared" ref="BQ17" si="18">+BP17</f>
        <v>45485</v>
      </c>
      <c r="BR17" s="167">
        <f t="shared" ref="BR17" si="19">+BQ17</f>
        <v>45485</v>
      </c>
      <c r="BS17" s="167">
        <f t="shared" ref="BS17" si="20">+BR17</f>
        <v>45485</v>
      </c>
      <c r="BT17" s="167">
        <f t="shared" ref="BT17" si="21">+BS17</f>
        <v>45485</v>
      </c>
      <c r="BU17" s="472">
        <f t="shared" si="16"/>
        <v>45485</v>
      </c>
    </row>
    <row r="18" spans="2:73" ht="13.35" customHeight="1">
      <c r="B18" s="163" t="s">
        <v>294</v>
      </c>
      <c r="C18" s="167"/>
      <c r="D18" s="167"/>
      <c r="E18" s="167"/>
      <c r="F18" s="167"/>
      <c r="G18" s="167">
        <v>0</v>
      </c>
      <c r="H18" s="167">
        <v>0</v>
      </c>
      <c r="I18" s="167">
        <v>0</v>
      </c>
      <c r="J18" s="167">
        <v>0</v>
      </c>
      <c r="K18" s="167">
        <v>0</v>
      </c>
      <c r="L18" s="167">
        <v>0</v>
      </c>
      <c r="M18" s="472">
        <f>+L18</f>
        <v>0</v>
      </c>
      <c r="N18" s="167">
        <v>0</v>
      </c>
      <c r="O18" s="167">
        <v>0</v>
      </c>
      <c r="P18" s="167">
        <v>0</v>
      </c>
      <c r="Q18" s="167">
        <v>0</v>
      </c>
      <c r="R18" s="472">
        <f>+Q18</f>
        <v>0</v>
      </c>
      <c r="S18" s="167">
        <v>0</v>
      </c>
      <c r="T18" s="167">
        <v>0</v>
      </c>
      <c r="U18" s="167">
        <f>+T18</f>
        <v>0</v>
      </c>
      <c r="V18" s="167">
        <v>19321</v>
      </c>
      <c r="W18" s="472">
        <f>+V18</f>
        <v>19321</v>
      </c>
      <c r="X18" s="167">
        <v>20295</v>
      </c>
      <c r="Y18" s="167">
        <v>22214</v>
      </c>
      <c r="Z18" s="167">
        <v>23174</v>
      </c>
      <c r="AA18" s="167">
        <v>27634</v>
      </c>
      <c r="AB18" s="472">
        <f>+AA18</f>
        <v>27634</v>
      </c>
      <c r="AC18" s="167">
        <v>28054</v>
      </c>
      <c r="AD18" s="167">
        <v>29275</v>
      </c>
      <c r="AE18" s="167">
        <v>30452</v>
      </c>
      <c r="AF18" s="167">
        <f>34213</f>
        <v>34213</v>
      </c>
      <c r="AG18" s="472">
        <f>+AF18</f>
        <v>34213</v>
      </c>
      <c r="AH18" s="167">
        <v>34289</v>
      </c>
      <c r="AI18" s="167">
        <v>35815</v>
      </c>
      <c r="AJ18" s="167">
        <f>37269</f>
        <v>37269</v>
      </c>
      <c r="AK18" s="167">
        <f>43103</f>
        <v>43103</v>
      </c>
      <c r="AL18" s="472">
        <f>+AK18</f>
        <v>43103</v>
      </c>
      <c r="AM18" s="167">
        <f>43997</f>
        <v>43997</v>
      </c>
      <c r="AN18" s="167">
        <f>46132</f>
        <v>46132</v>
      </c>
      <c r="AO18" s="167">
        <f>48548</f>
        <v>48548</v>
      </c>
      <c r="AP18" s="167">
        <f>57191</f>
        <v>57191</v>
      </c>
      <c r="AQ18" s="472">
        <f>+AP18</f>
        <v>57191</v>
      </c>
      <c r="AR18" s="167">
        <f>59121</f>
        <v>59121</v>
      </c>
      <c r="AS18" s="167">
        <f>60878</f>
        <v>60878</v>
      </c>
      <c r="AT18" s="167">
        <f>61857</f>
        <v>61857</v>
      </c>
      <c r="AU18" s="167">
        <f>68169</f>
        <v>68169</v>
      </c>
      <c r="AV18" s="472">
        <f>+AU18</f>
        <v>68169</v>
      </c>
      <c r="AW18" s="167">
        <f>69144</f>
        <v>69144</v>
      </c>
      <c r="AX18" s="167">
        <f>70377</f>
        <v>70377</v>
      </c>
      <c r="AY18" s="167">
        <f>71654</f>
        <v>71654</v>
      </c>
      <c r="AZ18" s="167">
        <f>76601</f>
        <v>76601</v>
      </c>
      <c r="BA18" s="472">
        <f>+AZ18</f>
        <v>76601</v>
      </c>
      <c r="BB18" s="167">
        <f>75287</f>
        <v>75287</v>
      </c>
      <c r="BC18" s="167">
        <f>74693</f>
        <v>74693</v>
      </c>
      <c r="BD18" s="167">
        <f>72392</f>
        <v>72392</v>
      </c>
      <c r="BE18" s="167">
        <f>73672</f>
        <v>73672</v>
      </c>
      <c r="BF18" s="472">
        <f>+BE18</f>
        <v>73672</v>
      </c>
      <c r="BG18" s="167">
        <f>69843</f>
        <v>69843</v>
      </c>
      <c r="BH18" s="167">
        <f>66714</f>
        <v>66714</v>
      </c>
      <c r="BI18" s="167">
        <f>64109</f>
        <v>64109</v>
      </c>
      <c r="BJ18" s="167">
        <f>66978</f>
        <v>66978</v>
      </c>
      <c r="BK18" s="472">
        <f>+BJ18</f>
        <v>66978</v>
      </c>
      <c r="BL18" s="167">
        <f>+BJ18*(1+BL144)</f>
        <v>66308.22</v>
      </c>
      <c r="BM18" s="167">
        <f>+BL18*(1+BM144)</f>
        <v>65645.137799999997</v>
      </c>
      <c r="BN18" s="167">
        <f>+BM18*(1+BN144)</f>
        <v>64988.686421999999</v>
      </c>
      <c r="BO18" s="167">
        <f>+BN18*(1+BO144)</f>
        <v>64338.799557779996</v>
      </c>
      <c r="BP18" s="472">
        <f>+BO18</f>
        <v>64338.799557779996</v>
      </c>
      <c r="BQ18" s="167">
        <f>+BO18*(1+BQ144)</f>
        <v>63695.411562202193</v>
      </c>
      <c r="BR18" s="167">
        <f>+BQ18*(1+BR144)</f>
        <v>63058.457446580171</v>
      </c>
      <c r="BS18" s="167">
        <f>+BR18*(1+BS144)</f>
        <v>62427.872872114371</v>
      </c>
      <c r="BT18" s="167">
        <f>+BS18*(1+BT144)</f>
        <v>61803.594143393224</v>
      </c>
      <c r="BU18" s="472">
        <f>+BT18</f>
        <v>61803.594143393224</v>
      </c>
    </row>
    <row r="19" spans="2:73" ht="13.35" customHeight="1">
      <c r="B19" s="155" t="s">
        <v>166</v>
      </c>
      <c r="C19" s="167"/>
      <c r="D19" s="167"/>
      <c r="E19" s="167"/>
      <c r="F19" s="167"/>
      <c r="G19" s="167">
        <v>11265</v>
      </c>
      <c r="H19" s="167">
        <v>11265</v>
      </c>
      <c r="I19" s="167">
        <v>11265</v>
      </c>
      <c r="J19" s="167">
        <v>15758</v>
      </c>
      <c r="K19" s="167">
        <v>15847</v>
      </c>
      <c r="L19" s="167">
        <v>74565</v>
      </c>
      <c r="M19" s="472">
        <f t="shared" si="4"/>
        <v>74565</v>
      </c>
      <c r="N19" s="167">
        <v>74943</v>
      </c>
      <c r="O19" s="167">
        <v>75048</v>
      </c>
      <c r="P19" s="167">
        <v>75110</v>
      </c>
      <c r="Q19" s="167">
        <v>75110</v>
      </c>
      <c r="R19" s="472">
        <f t="shared" si="5"/>
        <v>75110</v>
      </c>
      <c r="S19" s="167">
        <v>75110</v>
      </c>
      <c r="T19" s="167">
        <v>75110</v>
      </c>
      <c r="U19" s="167">
        <v>83170</v>
      </c>
      <c r="V19" s="167">
        <v>83164</v>
      </c>
      <c r="W19" s="472">
        <f t="shared" si="12"/>
        <v>83164</v>
      </c>
      <c r="X19" s="167">
        <v>83164</v>
      </c>
      <c r="Y19" s="167">
        <v>83164</v>
      </c>
      <c r="Z19" s="167">
        <v>83164</v>
      </c>
      <c r="AA19" s="167">
        <v>88420</v>
      </c>
      <c r="AB19" s="472">
        <f t="shared" si="13"/>
        <v>88420</v>
      </c>
      <c r="AC19" s="167">
        <v>88420</v>
      </c>
      <c r="AD19" s="167">
        <v>97866</v>
      </c>
      <c r="AE19" s="167">
        <v>97866</v>
      </c>
      <c r="AF19" s="167">
        <f>97866</f>
        <v>97866</v>
      </c>
      <c r="AG19" s="472">
        <f t="shared" si="6"/>
        <v>97866</v>
      </c>
      <c r="AH19" s="167">
        <v>97866</v>
      </c>
      <c r="AI19" s="167">
        <v>213686</v>
      </c>
      <c r="AJ19" s="167">
        <f>213727</f>
        <v>213727</v>
      </c>
      <c r="AK19" s="167">
        <f>213601</f>
        <v>213601</v>
      </c>
      <c r="AL19" s="472">
        <f t="shared" si="7"/>
        <v>213601</v>
      </c>
      <c r="AM19" s="167">
        <f>253324</f>
        <v>253324</v>
      </c>
      <c r="AN19" s="167">
        <f>254418</f>
        <v>254418</v>
      </c>
      <c r="AO19" s="167">
        <f>515297</f>
        <v>515297</v>
      </c>
      <c r="AP19" s="167">
        <f>515258</f>
        <v>515258</v>
      </c>
      <c r="AQ19" s="472">
        <f t="shared" si="8"/>
        <v>515258</v>
      </c>
      <c r="AR19" s="167">
        <f>515333</f>
        <v>515333</v>
      </c>
      <c r="AS19" s="167">
        <f>515631</f>
        <v>515631</v>
      </c>
      <c r="AT19" s="167">
        <f>515631</f>
        <v>515631</v>
      </c>
      <c r="AU19" s="167">
        <f>515631</f>
        <v>515631</v>
      </c>
      <c r="AV19" s="472">
        <f t="shared" si="9"/>
        <v>515631</v>
      </c>
      <c r="AW19" s="167">
        <f>538037</f>
        <v>538037</v>
      </c>
      <c r="AX19" s="167">
        <f>536326</f>
        <v>536326</v>
      </c>
      <c r="AY19" s="167">
        <f>536305</f>
        <v>536305</v>
      </c>
      <c r="AZ19" s="167">
        <f>536351</f>
        <v>536351</v>
      </c>
      <c r="BA19" s="472">
        <f t="shared" si="10"/>
        <v>536351</v>
      </c>
      <c r="BB19" s="167">
        <f>536351</f>
        <v>536351</v>
      </c>
      <c r="BC19" s="167">
        <f>536351</f>
        <v>536351</v>
      </c>
      <c r="BD19" s="167">
        <f>575165</f>
        <v>575165</v>
      </c>
      <c r="BE19" s="167">
        <f>575268</f>
        <v>575268</v>
      </c>
      <c r="BF19" s="472">
        <f t="shared" si="11"/>
        <v>575268</v>
      </c>
      <c r="BG19" s="167">
        <f>575268</f>
        <v>575268</v>
      </c>
      <c r="BH19" s="167">
        <f>575268</f>
        <v>575268</v>
      </c>
      <c r="BI19" s="167">
        <f>575268</f>
        <v>575268</v>
      </c>
      <c r="BJ19" s="167">
        <f>575268</f>
        <v>575268</v>
      </c>
      <c r="BK19" s="472">
        <f t="shared" si="14"/>
        <v>575268</v>
      </c>
      <c r="BL19" s="167">
        <f>+BJ19</f>
        <v>575268</v>
      </c>
      <c r="BM19" s="167">
        <f>+BL19</f>
        <v>575268</v>
      </c>
      <c r="BN19" s="167">
        <f>+BM19</f>
        <v>575268</v>
      </c>
      <c r="BO19" s="167">
        <f>+BN19</f>
        <v>575268</v>
      </c>
      <c r="BP19" s="472">
        <f t="shared" si="15"/>
        <v>575268</v>
      </c>
      <c r="BQ19" s="167">
        <f>+BO19</f>
        <v>575268</v>
      </c>
      <c r="BR19" s="167">
        <f>+BQ19</f>
        <v>575268</v>
      </c>
      <c r="BS19" s="167">
        <f>+BR19</f>
        <v>575268</v>
      </c>
      <c r="BT19" s="167">
        <f>+BS19</f>
        <v>575268</v>
      </c>
      <c r="BU19" s="472">
        <f t="shared" ref="BU19:BU21" si="22">+BT19</f>
        <v>575268</v>
      </c>
    </row>
    <row r="20" spans="2:73" ht="13.35" customHeight="1">
      <c r="B20" s="155" t="s">
        <v>123</v>
      </c>
      <c r="C20" s="167"/>
      <c r="D20" s="167"/>
      <c r="E20" s="167"/>
      <c r="F20" s="167"/>
      <c r="G20" s="167">
        <v>1156</v>
      </c>
      <c r="H20" s="167">
        <v>1156</v>
      </c>
      <c r="I20" s="167">
        <v>953</v>
      </c>
      <c r="J20" s="167">
        <v>2767</v>
      </c>
      <c r="K20" s="167">
        <v>2482</v>
      </c>
      <c r="L20" s="167">
        <v>11385</v>
      </c>
      <c r="M20" s="472">
        <f t="shared" si="4"/>
        <v>11385</v>
      </c>
      <c r="N20" s="167">
        <v>10802</v>
      </c>
      <c r="O20" s="167">
        <v>10219</v>
      </c>
      <c r="P20" s="167">
        <v>9450</v>
      </c>
      <c r="Q20" s="167">
        <v>8946</v>
      </c>
      <c r="R20" s="472">
        <f t="shared" si="5"/>
        <v>8946</v>
      </c>
      <c r="S20" s="167">
        <v>8460</v>
      </c>
      <c r="T20" s="167">
        <v>8294</v>
      </c>
      <c r="U20" s="167">
        <v>17208</v>
      </c>
      <c r="V20" s="167">
        <v>16640</v>
      </c>
      <c r="W20" s="472">
        <f t="shared" si="12"/>
        <v>16640</v>
      </c>
      <c r="X20" s="167">
        <v>16316</v>
      </c>
      <c r="Y20" s="167">
        <v>16002</v>
      </c>
      <c r="Z20" s="167">
        <v>16023</v>
      </c>
      <c r="AA20" s="167">
        <v>23955</v>
      </c>
      <c r="AB20" s="472">
        <f t="shared" si="13"/>
        <v>23955</v>
      </c>
      <c r="AC20" s="167">
        <v>23979</v>
      </c>
      <c r="AD20" s="167">
        <v>29726</v>
      </c>
      <c r="AE20" s="167">
        <v>29183</v>
      </c>
      <c r="AF20" s="167">
        <f>28561</f>
        <v>28561</v>
      </c>
      <c r="AG20" s="472">
        <f t="shared" si="6"/>
        <v>28561</v>
      </c>
      <c r="AH20" s="167">
        <v>27867</v>
      </c>
      <c r="AI20" s="167">
        <v>47706</v>
      </c>
      <c r="AJ20" s="167">
        <f>45942</f>
        <v>45942</v>
      </c>
      <c r="AK20" s="167">
        <f>44296</f>
        <v>44296</v>
      </c>
      <c r="AL20" s="472">
        <f t="shared" si="7"/>
        <v>44296</v>
      </c>
      <c r="AM20" s="167">
        <f>52708</f>
        <v>52708</v>
      </c>
      <c r="AN20" s="167">
        <f>54179</f>
        <v>54179</v>
      </c>
      <c r="AO20" s="167">
        <f>115746</f>
        <v>115746</v>
      </c>
      <c r="AP20" s="167">
        <f>111591</f>
        <v>111591</v>
      </c>
      <c r="AQ20" s="472">
        <f t="shared" si="8"/>
        <v>111591</v>
      </c>
      <c r="AR20" s="167">
        <f>108246</f>
        <v>108246</v>
      </c>
      <c r="AS20" s="167">
        <f>105785</f>
        <v>105785</v>
      </c>
      <c r="AT20" s="167">
        <f>103660</f>
        <v>103660</v>
      </c>
      <c r="AU20" s="167">
        <f>101269</f>
        <v>101269</v>
      </c>
      <c r="AV20" s="472">
        <f t="shared" si="9"/>
        <v>101269</v>
      </c>
      <c r="AW20" s="167">
        <f>111432</f>
        <v>111432</v>
      </c>
      <c r="AX20" s="167">
        <f>104698</f>
        <v>104698</v>
      </c>
      <c r="AY20" s="167">
        <f>99993</f>
        <v>99993</v>
      </c>
      <c r="AZ20" s="167">
        <f>94546</f>
        <v>94546</v>
      </c>
      <c r="BA20" s="472">
        <f t="shared" si="10"/>
        <v>94546</v>
      </c>
      <c r="BB20" s="167">
        <f>88844</f>
        <v>88844</v>
      </c>
      <c r="BC20" s="167">
        <f>84019</f>
        <v>84019</v>
      </c>
      <c r="BD20" s="167">
        <f>90748</f>
        <v>90748</v>
      </c>
      <c r="BE20" s="167">
        <f>85719</f>
        <v>85719</v>
      </c>
      <c r="BF20" s="472">
        <f t="shared" si="11"/>
        <v>85719</v>
      </c>
      <c r="BG20" s="167">
        <f>79763</f>
        <v>79763</v>
      </c>
      <c r="BH20" s="167">
        <f>74981</f>
        <v>74981</v>
      </c>
      <c r="BI20" s="167">
        <f>69877</f>
        <v>69877</v>
      </c>
      <c r="BJ20" s="167">
        <f>65105</f>
        <v>65105</v>
      </c>
      <c r="BK20" s="472">
        <f t="shared" si="14"/>
        <v>65105</v>
      </c>
      <c r="BL20" s="167">
        <f>+BL98</f>
        <v>57292.4</v>
      </c>
      <c r="BM20" s="167">
        <f>+BM98</f>
        <v>50417.312000000005</v>
      </c>
      <c r="BN20" s="167">
        <f>+BN98</f>
        <v>44367.234560000004</v>
      </c>
      <c r="BO20" s="167">
        <f>+BO98</f>
        <v>39043.166412800005</v>
      </c>
      <c r="BP20" s="472">
        <f t="shared" si="15"/>
        <v>39043.166412800005</v>
      </c>
      <c r="BQ20" s="167">
        <f>+BQ98</f>
        <v>34357.986443264002</v>
      </c>
      <c r="BR20" s="167">
        <f>+BR98</f>
        <v>30235.028070072323</v>
      </c>
      <c r="BS20" s="167">
        <f>+BS98</f>
        <v>26606.824701663645</v>
      </c>
      <c r="BT20" s="167">
        <f>+BT98</f>
        <v>23414.005737464009</v>
      </c>
      <c r="BU20" s="472">
        <f t="shared" si="22"/>
        <v>23414.005737464009</v>
      </c>
    </row>
    <row r="21" spans="2:73" ht="13.35" customHeight="1">
      <c r="B21" s="155" t="s">
        <v>114</v>
      </c>
      <c r="C21" s="167"/>
      <c r="D21" s="167"/>
      <c r="E21" s="167"/>
      <c r="F21" s="167"/>
      <c r="G21" s="167">
        <v>179</v>
      </c>
      <c r="H21" s="167">
        <v>179</v>
      </c>
      <c r="I21" s="167">
        <v>180</v>
      </c>
      <c r="J21" s="167">
        <v>682</v>
      </c>
      <c r="K21" s="167">
        <v>735</v>
      </c>
      <c r="L21" s="167">
        <v>214</v>
      </c>
      <c r="M21" s="472">
        <f t="shared" si="4"/>
        <v>214</v>
      </c>
      <c r="N21" s="167">
        <v>481</v>
      </c>
      <c r="O21" s="167">
        <v>598</v>
      </c>
      <c r="P21" s="167">
        <v>760</v>
      </c>
      <c r="Q21" s="167">
        <v>764</v>
      </c>
      <c r="R21" s="472">
        <f t="shared" si="5"/>
        <v>764</v>
      </c>
      <c r="S21" s="167">
        <v>720</v>
      </c>
      <c r="T21" s="167">
        <v>630</v>
      </c>
      <c r="U21" s="167">
        <v>640</v>
      </c>
      <c r="V21" s="167">
        <v>1363</v>
      </c>
      <c r="W21" s="472">
        <f t="shared" si="12"/>
        <v>1363</v>
      </c>
      <c r="X21" s="167">
        <v>1552</v>
      </c>
      <c r="Y21" s="167">
        <v>1395</v>
      </c>
      <c r="Z21" s="167">
        <v>906</v>
      </c>
      <c r="AA21" s="167">
        <v>1168</v>
      </c>
      <c r="AB21" s="472">
        <f t="shared" si="13"/>
        <v>1168</v>
      </c>
      <c r="AC21" s="167">
        <f>1238</f>
        <v>1238</v>
      </c>
      <c r="AD21" s="167">
        <f>5192</f>
        <v>5192</v>
      </c>
      <c r="AE21" s="167">
        <v>5466</v>
      </c>
      <c r="AF21" s="167">
        <f>5136</f>
        <v>5136</v>
      </c>
      <c r="AG21" s="472">
        <f t="shared" si="6"/>
        <v>5136</v>
      </c>
      <c r="AH21" s="167">
        <v>5518</v>
      </c>
      <c r="AI21" s="167">
        <v>5304</v>
      </c>
      <c r="AJ21" s="167">
        <f>4931</f>
        <v>4931</v>
      </c>
      <c r="AK21" s="167">
        <f>8271</f>
        <v>8271</v>
      </c>
      <c r="AL21" s="472">
        <f t="shared" si="7"/>
        <v>8271</v>
      </c>
      <c r="AM21" s="167">
        <f>11370</f>
        <v>11370</v>
      </c>
      <c r="AN21" s="167">
        <f>9450</f>
        <v>9450</v>
      </c>
      <c r="AO21" s="167">
        <f>10820</f>
        <v>10820</v>
      </c>
      <c r="AP21" s="167">
        <f>11191</f>
        <v>11191</v>
      </c>
      <c r="AQ21" s="472">
        <f t="shared" si="8"/>
        <v>11191</v>
      </c>
      <c r="AR21" s="167">
        <f>13000</f>
        <v>13000</v>
      </c>
      <c r="AS21" s="167">
        <f>23452</f>
        <v>23452</v>
      </c>
      <c r="AT21" s="167">
        <f>18132</f>
        <v>18132</v>
      </c>
      <c r="AU21" s="167">
        <f>16626</f>
        <v>16626</v>
      </c>
      <c r="AV21" s="472">
        <f t="shared" si="9"/>
        <v>16626</v>
      </c>
      <c r="AW21" s="167">
        <f>14824</f>
        <v>14824</v>
      </c>
      <c r="AX21" s="167">
        <f>12974</f>
        <v>12974</v>
      </c>
      <c r="AY21" s="167">
        <f>9174</f>
        <v>9174</v>
      </c>
      <c r="AZ21" s="167">
        <f>12894</f>
        <v>12894</v>
      </c>
      <c r="BA21" s="472">
        <f t="shared" si="10"/>
        <v>12894</v>
      </c>
      <c r="BB21" s="167">
        <f>19368</f>
        <v>19368</v>
      </c>
      <c r="BC21" s="167">
        <f>20176</f>
        <v>20176</v>
      </c>
      <c r="BD21" s="167">
        <f>18530</f>
        <v>18530</v>
      </c>
      <c r="BE21" s="167">
        <f>12868</f>
        <v>12868</v>
      </c>
      <c r="BF21" s="472">
        <f t="shared" si="11"/>
        <v>12868</v>
      </c>
      <c r="BG21" s="167">
        <f>10092</f>
        <v>10092</v>
      </c>
      <c r="BH21" s="167">
        <f>15955</f>
        <v>15955</v>
      </c>
      <c r="BI21" s="167">
        <f>15208</f>
        <v>15208</v>
      </c>
      <c r="BJ21" s="167">
        <f>20232</f>
        <v>20232</v>
      </c>
      <c r="BK21" s="472">
        <f t="shared" si="14"/>
        <v>20232</v>
      </c>
      <c r="BL21" s="167">
        <f>+BJ21</f>
        <v>20232</v>
      </c>
      <c r="BM21" s="167">
        <f>+BL21</f>
        <v>20232</v>
      </c>
      <c r="BN21" s="167">
        <f>+BM21</f>
        <v>20232</v>
      </c>
      <c r="BO21" s="167">
        <f>+BN21</f>
        <v>20232</v>
      </c>
      <c r="BP21" s="472">
        <f t="shared" si="15"/>
        <v>20232</v>
      </c>
      <c r="BQ21" s="167">
        <f>+BO21</f>
        <v>20232</v>
      </c>
      <c r="BR21" s="167">
        <f>+BQ21</f>
        <v>20232</v>
      </c>
      <c r="BS21" s="167">
        <f>+BR21</f>
        <v>20232</v>
      </c>
      <c r="BT21" s="167">
        <f>+BS21</f>
        <v>20232</v>
      </c>
      <c r="BU21" s="472">
        <f t="shared" si="22"/>
        <v>20232</v>
      </c>
    </row>
    <row r="22" spans="2:73" ht="4.5" customHeight="1">
      <c r="B22" s="155"/>
      <c r="C22" s="204"/>
      <c r="D22" s="173" t="s">
        <v>1</v>
      </c>
      <c r="E22" s="173" t="s">
        <v>1</v>
      </c>
      <c r="F22" s="173" t="s">
        <v>1</v>
      </c>
      <c r="G22" s="173" t="s">
        <v>1</v>
      </c>
      <c r="H22" s="173" t="s">
        <v>1</v>
      </c>
      <c r="I22" s="173" t="s">
        <v>1</v>
      </c>
      <c r="J22" s="173" t="s">
        <v>1</v>
      </c>
      <c r="K22" s="173" t="s">
        <v>1</v>
      </c>
      <c r="L22" s="173" t="s">
        <v>1</v>
      </c>
      <c r="M22" s="473" t="s">
        <v>1</v>
      </c>
      <c r="N22" s="173" t="s">
        <v>1</v>
      </c>
      <c r="O22" s="173" t="s">
        <v>1</v>
      </c>
      <c r="P22" s="173" t="s">
        <v>1</v>
      </c>
      <c r="Q22" s="173" t="s">
        <v>1</v>
      </c>
      <c r="R22" s="473" t="s">
        <v>1</v>
      </c>
      <c r="S22" s="173" t="s">
        <v>1</v>
      </c>
      <c r="T22" s="173" t="s">
        <v>1</v>
      </c>
      <c r="U22" s="173" t="s">
        <v>1</v>
      </c>
      <c r="V22" s="173" t="s">
        <v>1</v>
      </c>
      <c r="W22" s="473" t="s">
        <v>1</v>
      </c>
      <c r="X22" s="173" t="s">
        <v>1</v>
      </c>
      <c r="Y22" s="173" t="s">
        <v>1</v>
      </c>
      <c r="Z22" s="173" t="s">
        <v>1</v>
      </c>
      <c r="AA22" s="173" t="s">
        <v>1</v>
      </c>
      <c r="AB22" s="473" t="s">
        <v>1</v>
      </c>
      <c r="AC22" s="173" t="s">
        <v>1</v>
      </c>
      <c r="AD22" s="173" t="s">
        <v>1</v>
      </c>
      <c r="AE22" s="173" t="s">
        <v>1</v>
      </c>
      <c r="AF22" s="173" t="s">
        <v>1</v>
      </c>
      <c r="AG22" s="473" t="s">
        <v>1</v>
      </c>
      <c r="AH22" s="173" t="s">
        <v>1</v>
      </c>
      <c r="AI22" s="173" t="s">
        <v>1</v>
      </c>
      <c r="AJ22" s="173" t="s">
        <v>1</v>
      </c>
      <c r="AK22" s="173" t="s">
        <v>1</v>
      </c>
      <c r="AL22" s="473" t="s">
        <v>1</v>
      </c>
      <c r="AM22" s="173" t="s">
        <v>1</v>
      </c>
      <c r="AN22" s="173" t="s">
        <v>1</v>
      </c>
      <c r="AO22" s="173" t="s">
        <v>1</v>
      </c>
      <c r="AP22" s="173" t="s">
        <v>1</v>
      </c>
      <c r="AQ22" s="473" t="s">
        <v>1</v>
      </c>
      <c r="AR22" s="173" t="s">
        <v>1</v>
      </c>
      <c r="AS22" s="173" t="s">
        <v>1</v>
      </c>
      <c r="AT22" s="173" t="s">
        <v>1</v>
      </c>
      <c r="AU22" s="173" t="s">
        <v>1</v>
      </c>
      <c r="AV22" s="473" t="s">
        <v>1</v>
      </c>
      <c r="AW22" s="173" t="s">
        <v>1</v>
      </c>
      <c r="AX22" s="173" t="s">
        <v>1</v>
      </c>
      <c r="AY22" s="173" t="s">
        <v>1</v>
      </c>
      <c r="AZ22" s="173" t="s">
        <v>1</v>
      </c>
      <c r="BA22" s="473" t="s">
        <v>1</v>
      </c>
      <c r="BB22" s="173" t="s">
        <v>1</v>
      </c>
      <c r="BC22" s="173" t="s">
        <v>1</v>
      </c>
      <c r="BD22" s="173" t="s">
        <v>1</v>
      </c>
      <c r="BE22" s="173" t="s">
        <v>1</v>
      </c>
      <c r="BF22" s="473" t="s">
        <v>1</v>
      </c>
      <c r="BG22" s="173" t="s">
        <v>1</v>
      </c>
      <c r="BH22" s="173" t="s">
        <v>1</v>
      </c>
      <c r="BI22" s="173" t="s">
        <v>1</v>
      </c>
      <c r="BJ22" s="173" t="s">
        <v>1</v>
      </c>
      <c r="BK22" s="473" t="s">
        <v>1</v>
      </c>
      <c r="BL22" s="173" t="s">
        <v>1</v>
      </c>
      <c r="BM22" s="173" t="s">
        <v>1</v>
      </c>
      <c r="BN22" s="173" t="s">
        <v>1</v>
      </c>
      <c r="BO22" s="173" t="s">
        <v>1</v>
      </c>
      <c r="BP22" s="473" t="s">
        <v>1</v>
      </c>
      <c r="BQ22" s="173" t="s">
        <v>1</v>
      </c>
      <c r="BR22" s="173" t="s">
        <v>1</v>
      </c>
      <c r="BS22" s="173" t="s">
        <v>1</v>
      </c>
      <c r="BT22" s="173" t="s">
        <v>1</v>
      </c>
      <c r="BU22" s="473" t="s">
        <v>1</v>
      </c>
    </row>
    <row r="23" spans="2:73" ht="13.35" customHeight="1">
      <c r="B23" s="175" t="s">
        <v>101</v>
      </c>
      <c r="C23" s="166"/>
      <c r="D23" s="166" t="e">
        <f>SUM(D15:D21)+D13-#REF!-#REF!</f>
        <v>#REF!</v>
      </c>
      <c r="E23" s="166" t="e">
        <f>SUM(E15:E21)+E13-#REF!-#REF!</f>
        <v>#REF!</v>
      </c>
      <c r="F23" s="166" t="e">
        <f>SUM(F15:F21)+F13-#REF!-#REF!</f>
        <v>#REF!</v>
      </c>
      <c r="G23" s="166" t="e">
        <f>SUM(G15:G21)+G13-#REF!-#REF!</f>
        <v>#REF!</v>
      </c>
      <c r="H23" s="166" t="e">
        <f>SUM(H15:H21)+H13-#REF!-#REF!</f>
        <v>#REF!</v>
      </c>
      <c r="I23" s="166" t="e">
        <f>SUM(I15:I21)+I13-#REF!-#REF!</f>
        <v>#REF!</v>
      </c>
      <c r="J23" s="166" t="e">
        <f>SUM(J15:J21)+J13-#REF!-#REF!</f>
        <v>#REF!</v>
      </c>
      <c r="K23" s="166" t="e">
        <f>SUM(K15:K21)+K13-#REF!-#REF!</f>
        <v>#REF!</v>
      </c>
      <c r="L23" s="166" t="e">
        <f>SUM(L15:L21)+L13-#REF!-#REF!</f>
        <v>#REF!</v>
      </c>
      <c r="M23" s="471">
        <f t="shared" ref="M23:AU23" si="23">SUM(M15:M21)+M13</f>
        <v>230561</v>
      </c>
      <c r="N23" s="166">
        <f t="shared" si="23"/>
        <v>213780</v>
      </c>
      <c r="O23" s="166">
        <f t="shared" si="23"/>
        <v>223852</v>
      </c>
      <c r="P23" s="166">
        <f t="shared" si="23"/>
        <v>226035</v>
      </c>
      <c r="Q23" s="166">
        <f t="shared" si="23"/>
        <v>243303</v>
      </c>
      <c r="R23" s="471">
        <f t="shared" si="23"/>
        <v>243303</v>
      </c>
      <c r="S23" s="166">
        <f t="shared" si="23"/>
        <v>229771</v>
      </c>
      <c r="T23" s="166">
        <f t="shared" si="23"/>
        <v>241853</v>
      </c>
      <c r="U23" s="166">
        <f t="shared" si="23"/>
        <v>251440</v>
      </c>
      <c r="V23" s="166">
        <f t="shared" si="23"/>
        <v>311331</v>
      </c>
      <c r="W23" s="471">
        <f t="shared" si="23"/>
        <v>311331</v>
      </c>
      <c r="X23" s="166">
        <f t="shared" si="23"/>
        <v>320470</v>
      </c>
      <c r="Y23" s="166">
        <f t="shared" si="23"/>
        <v>323771</v>
      </c>
      <c r="Z23" s="166">
        <f t="shared" si="23"/>
        <v>521957</v>
      </c>
      <c r="AA23" s="166">
        <f t="shared" si="23"/>
        <v>559369</v>
      </c>
      <c r="AB23" s="471">
        <f t="shared" si="23"/>
        <v>559369</v>
      </c>
      <c r="AC23" s="166">
        <f t="shared" si="23"/>
        <v>563906</v>
      </c>
      <c r="AD23" s="166">
        <f t="shared" si="23"/>
        <v>636279</v>
      </c>
      <c r="AE23" s="166">
        <f t="shared" si="23"/>
        <v>626594</v>
      </c>
      <c r="AF23" s="166">
        <f t="shared" si="23"/>
        <v>664913</v>
      </c>
      <c r="AG23" s="471">
        <f t="shared" si="23"/>
        <v>664913</v>
      </c>
      <c r="AH23" s="166">
        <f t="shared" si="23"/>
        <v>633677</v>
      </c>
      <c r="AI23" s="166">
        <f t="shared" si="23"/>
        <v>860411</v>
      </c>
      <c r="AJ23" s="166">
        <f t="shared" si="23"/>
        <v>866817</v>
      </c>
      <c r="AK23" s="166">
        <f t="shared" si="23"/>
        <v>913122</v>
      </c>
      <c r="AL23" s="471">
        <f t="shared" si="23"/>
        <v>913122</v>
      </c>
      <c r="AM23" s="166">
        <f t="shared" si="23"/>
        <v>1222693</v>
      </c>
      <c r="AN23" s="166">
        <f t="shared" si="23"/>
        <v>1240309</v>
      </c>
      <c r="AO23" s="166">
        <f t="shared" si="23"/>
        <v>1260880</v>
      </c>
      <c r="AP23" s="166">
        <f t="shared" si="23"/>
        <v>1296011</v>
      </c>
      <c r="AQ23" s="471">
        <f t="shared" si="23"/>
        <v>1296011</v>
      </c>
      <c r="AR23" s="166">
        <f t="shared" si="23"/>
        <v>1273870</v>
      </c>
      <c r="AS23" s="166">
        <f t="shared" si="23"/>
        <v>1285548</v>
      </c>
      <c r="AT23" s="166">
        <f t="shared" si="23"/>
        <v>1295549</v>
      </c>
      <c r="AU23" s="166">
        <f t="shared" si="23"/>
        <v>1358991</v>
      </c>
      <c r="AV23" s="471">
        <f>SUM(AV13:AV22)</f>
        <v>1358991</v>
      </c>
      <c r="AW23" s="166">
        <f t="shared" ref="AW23:BP23" si="24">SUM(AW13:AW22)</f>
        <v>1329459</v>
      </c>
      <c r="AX23" s="166">
        <f t="shared" si="24"/>
        <v>1355659</v>
      </c>
      <c r="AY23" s="166">
        <f t="shared" si="24"/>
        <v>1399300</v>
      </c>
      <c r="AZ23" s="166">
        <f t="shared" si="24"/>
        <v>1505348</v>
      </c>
      <c r="BA23" s="471">
        <f t="shared" si="24"/>
        <v>1505348</v>
      </c>
      <c r="BB23" s="166">
        <f t="shared" si="24"/>
        <v>1488473</v>
      </c>
      <c r="BC23" s="166">
        <f t="shared" si="24"/>
        <v>1526593</v>
      </c>
      <c r="BD23" s="166">
        <f t="shared" si="24"/>
        <v>1574531</v>
      </c>
      <c r="BE23" s="166">
        <f t="shared" si="24"/>
        <v>1652034</v>
      </c>
      <c r="BF23" s="471">
        <f t="shared" si="24"/>
        <v>1652034</v>
      </c>
      <c r="BG23" s="166">
        <f t="shared" si="24"/>
        <v>1644810</v>
      </c>
      <c r="BH23" s="166">
        <f t="shared" si="24"/>
        <v>1648740</v>
      </c>
      <c r="BI23" s="166">
        <f t="shared" si="24"/>
        <v>1666407</v>
      </c>
      <c r="BJ23" s="166">
        <f t="shared" si="24"/>
        <v>1726464</v>
      </c>
      <c r="BK23" s="471">
        <f t="shared" si="24"/>
        <v>1726464</v>
      </c>
      <c r="BL23" s="166">
        <f t="shared" si="24"/>
        <v>1714072.7552933332</v>
      </c>
      <c r="BM23" s="166">
        <f t="shared" si="24"/>
        <v>1746205.6673986944</v>
      </c>
      <c r="BN23" s="166">
        <f t="shared" si="24"/>
        <v>1758344.9552163053</v>
      </c>
      <c r="BO23" s="166">
        <f t="shared" si="24"/>
        <v>1825626.2903986024</v>
      </c>
      <c r="BP23" s="471">
        <f t="shared" si="24"/>
        <v>1825626.2903986024</v>
      </c>
      <c r="BQ23" s="166">
        <f t="shared" ref="BQ23:BU23" si="25">SUM(BQ13:BQ22)</f>
        <v>1826080.2971776028</v>
      </c>
      <c r="BR23" s="166">
        <f t="shared" si="25"/>
        <v>1860283.6705978329</v>
      </c>
      <c r="BS23" s="166">
        <f t="shared" si="25"/>
        <v>1880345.5408706549</v>
      </c>
      <c r="BT23" s="166">
        <f t="shared" si="25"/>
        <v>1960639.4550044935</v>
      </c>
      <c r="BU23" s="471">
        <f t="shared" si="25"/>
        <v>1960639.4550044935</v>
      </c>
    </row>
    <row r="24" spans="2:73" ht="4.5" customHeight="1">
      <c r="B24" s="155"/>
      <c r="C24" s="167"/>
      <c r="D24" s="166"/>
      <c r="E24" s="166"/>
      <c r="F24" s="166"/>
      <c r="G24" s="166"/>
      <c r="H24" s="166"/>
      <c r="I24" s="166"/>
      <c r="J24" s="166"/>
      <c r="K24" s="166"/>
      <c r="L24" s="166"/>
      <c r="M24" s="471"/>
      <c r="N24" s="166"/>
      <c r="O24" s="166"/>
      <c r="P24" s="166"/>
      <c r="Q24" s="166"/>
      <c r="R24" s="471"/>
      <c r="S24" s="166"/>
      <c r="T24" s="166"/>
      <c r="U24" s="166"/>
      <c r="V24" s="166"/>
      <c r="W24" s="471"/>
      <c r="X24" s="166"/>
      <c r="Y24" s="166"/>
      <c r="Z24" s="166"/>
      <c r="AA24" s="166"/>
      <c r="AB24" s="471"/>
      <c r="AC24" s="166"/>
      <c r="AD24" s="166"/>
      <c r="AE24" s="166"/>
      <c r="AF24" s="166"/>
      <c r="AG24" s="471"/>
      <c r="AH24" s="166"/>
      <c r="AI24" s="166"/>
      <c r="AJ24" s="166"/>
      <c r="AK24" s="166"/>
      <c r="AL24" s="471"/>
      <c r="AM24" s="166"/>
      <c r="AN24" s="166"/>
      <c r="AO24" s="166"/>
      <c r="AP24" s="166"/>
      <c r="AQ24" s="471"/>
      <c r="AR24" s="166"/>
      <c r="AS24" s="166"/>
      <c r="AT24" s="166"/>
      <c r="AU24" s="166"/>
      <c r="AV24" s="471"/>
      <c r="AW24" s="166"/>
      <c r="AX24" s="166"/>
      <c r="AY24" s="166"/>
      <c r="AZ24" s="166"/>
      <c r="BA24" s="471"/>
      <c r="BB24" s="166"/>
      <c r="BC24" s="166"/>
      <c r="BD24" s="166"/>
      <c r="BE24" s="166"/>
      <c r="BF24" s="471"/>
      <c r="BG24" s="166"/>
      <c r="BH24" s="166"/>
      <c r="BI24" s="166"/>
      <c r="BJ24" s="166"/>
      <c r="BK24" s="471"/>
      <c r="BL24" s="166"/>
      <c r="BM24" s="166"/>
      <c r="BN24" s="166"/>
      <c r="BO24" s="166"/>
      <c r="BP24" s="471"/>
      <c r="BQ24" s="166"/>
      <c r="BR24" s="166"/>
      <c r="BS24" s="166"/>
      <c r="BT24" s="166"/>
      <c r="BU24" s="471"/>
    </row>
    <row r="25" spans="2:73" ht="13.35" customHeight="1">
      <c r="B25" s="158" t="s">
        <v>102</v>
      </c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471"/>
      <c r="N25" s="166"/>
      <c r="O25" s="166"/>
      <c r="P25" s="166"/>
      <c r="Q25" s="166"/>
      <c r="R25" s="471"/>
      <c r="S25" s="166"/>
      <c r="T25" s="166"/>
      <c r="U25" s="166"/>
      <c r="V25" s="166"/>
      <c r="W25" s="471"/>
      <c r="X25" s="166"/>
      <c r="Y25" s="166"/>
      <c r="Z25" s="166"/>
      <c r="AA25" s="166"/>
      <c r="AB25" s="471"/>
      <c r="AC25" s="166"/>
      <c r="AD25" s="166"/>
      <c r="AE25" s="166"/>
      <c r="AF25" s="166"/>
      <c r="AG25" s="471"/>
      <c r="AH25" s="166"/>
      <c r="AI25" s="166"/>
      <c r="AJ25" s="166"/>
      <c r="AK25" s="166"/>
      <c r="AL25" s="471"/>
      <c r="AM25" s="166"/>
      <c r="AN25" s="166"/>
      <c r="AO25" s="166"/>
      <c r="AP25" s="166"/>
      <c r="AQ25" s="471"/>
      <c r="AR25" s="166"/>
      <c r="AS25" s="166"/>
      <c r="AT25" s="166"/>
      <c r="AU25" s="166"/>
      <c r="AV25" s="471"/>
      <c r="AW25" s="166"/>
      <c r="AX25" s="166"/>
      <c r="AY25" s="166"/>
      <c r="AZ25" s="166"/>
      <c r="BA25" s="471"/>
      <c r="BB25" s="166"/>
      <c r="BC25" s="166"/>
      <c r="BD25" s="166"/>
      <c r="BE25" s="166"/>
      <c r="BF25" s="471"/>
      <c r="BG25" s="166"/>
      <c r="BH25" s="166"/>
      <c r="BI25" s="166"/>
      <c r="BJ25" s="166"/>
      <c r="BK25" s="471"/>
      <c r="BL25" s="166"/>
      <c r="BM25" s="166"/>
      <c r="BN25" s="166"/>
      <c r="BO25" s="166"/>
      <c r="BP25" s="471"/>
      <c r="BQ25" s="166"/>
      <c r="BR25" s="166"/>
      <c r="BS25" s="166"/>
      <c r="BT25" s="166"/>
      <c r="BU25" s="471"/>
    </row>
    <row r="26" spans="2:73" ht="3" customHeight="1">
      <c r="B26" s="158"/>
      <c r="C26" s="166"/>
      <c r="D26" s="167"/>
      <c r="E26" s="167"/>
      <c r="F26" s="167"/>
      <c r="G26" s="167"/>
      <c r="H26" s="167"/>
      <c r="I26" s="167"/>
      <c r="J26" s="167"/>
      <c r="K26" s="167"/>
      <c r="L26" s="167"/>
      <c r="M26" s="472"/>
      <c r="N26" s="167"/>
      <c r="O26" s="167"/>
      <c r="P26" s="167"/>
      <c r="Q26" s="167"/>
      <c r="R26" s="472"/>
      <c r="S26" s="167"/>
      <c r="T26" s="167"/>
      <c r="U26" s="167"/>
      <c r="V26" s="167"/>
      <c r="W26" s="472"/>
      <c r="X26" s="167"/>
      <c r="Y26" s="167"/>
      <c r="Z26" s="167"/>
      <c r="AA26" s="167"/>
      <c r="AB26" s="472"/>
      <c r="AC26" s="167"/>
      <c r="AD26" s="167"/>
      <c r="AE26" s="167"/>
      <c r="AF26" s="167"/>
      <c r="AG26" s="472"/>
      <c r="AH26" s="167"/>
      <c r="AI26" s="167"/>
      <c r="AJ26" s="167"/>
      <c r="AK26" s="167"/>
      <c r="AL26" s="472"/>
      <c r="AM26" s="167"/>
      <c r="AN26" s="167"/>
      <c r="AO26" s="167"/>
      <c r="AP26" s="167"/>
      <c r="AQ26" s="472"/>
      <c r="AR26" s="167"/>
      <c r="AS26" s="167"/>
      <c r="AT26" s="167"/>
      <c r="AU26" s="167"/>
      <c r="AV26" s="472"/>
      <c r="AW26" s="167"/>
      <c r="AX26" s="167"/>
      <c r="AY26" s="167"/>
      <c r="AZ26" s="167"/>
      <c r="BA26" s="472"/>
      <c r="BB26" s="167"/>
      <c r="BC26" s="167"/>
      <c r="BD26" s="167"/>
      <c r="BE26" s="167"/>
      <c r="BF26" s="472"/>
      <c r="BG26" s="167"/>
      <c r="BH26" s="167"/>
      <c r="BI26" s="167"/>
      <c r="BJ26" s="167"/>
      <c r="BK26" s="472"/>
      <c r="BL26" s="167"/>
      <c r="BM26" s="167"/>
      <c r="BN26" s="167"/>
      <c r="BO26" s="167"/>
      <c r="BP26" s="472"/>
      <c r="BQ26" s="167"/>
      <c r="BR26" s="167"/>
      <c r="BS26" s="167"/>
      <c r="BT26" s="167"/>
      <c r="BU26" s="472"/>
    </row>
    <row r="27" spans="2:73" ht="13.35" customHeight="1">
      <c r="B27" s="158" t="s">
        <v>103</v>
      </c>
      <c r="C27" s="166"/>
      <c r="D27" s="167"/>
      <c r="E27" s="167"/>
      <c r="F27" s="167"/>
      <c r="G27" s="167"/>
      <c r="H27" s="167"/>
      <c r="I27" s="167"/>
      <c r="J27" s="167"/>
      <c r="K27" s="167"/>
      <c r="L27" s="167"/>
      <c r="M27" s="472"/>
      <c r="N27" s="167"/>
      <c r="O27" s="167"/>
      <c r="P27" s="167"/>
      <c r="Q27" s="167"/>
      <c r="R27" s="472"/>
      <c r="S27" s="167"/>
      <c r="T27" s="167"/>
      <c r="U27" s="167"/>
      <c r="V27" s="167"/>
      <c r="W27" s="472"/>
      <c r="X27" s="167"/>
      <c r="Y27" s="167"/>
      <c r="Z27" s="167"/>
      <c r="AA27" s="167"/>
      <c r="AB27" s="472"/>
      <c r="AC27" s="167"/>
      <c r="AD27" s="167"/>
      <c r="AE27" s="167"/>
      <c r="AF27" s="167"/>
      <c r="AG27" s="472"/>
      <c r="AH27" s="167"/>
      <c r="AI27" s="167"/>
      <c r="AJ27" s="167"/>
      <c r="AK27" s="167"/>
      <c r="AL27" s="472"/>
      <c r="AM27" s="167"/>
      <c r="AN27" s="167"/>
      <c r="AO27" s="167"/>
      <c r="AP27" s="167"/>
      <c r="AQ27" s="472"/>
      <c r="AR27" s="167"/>
      <c r="AS27" s="167"/>
      <c r="AT27" s="167"/>
      <c r="AU27" s="167"/>
      <c r="AV27" s="472"/>
      <c r="AW27" s="167"/>
      <c r="AX27" s="167"/>
      <c r="AY27" s="167"/>
      <c r="AZ27" s="167"/>
      <c r="BA27" s="472"/>
      <c r="BB27" s="167"/>
      <c r="BC27" s="167"/>
      <c r="BD27" s="167"/>
      <c r="BE27" s="167"/>
      <c r="BF27" s="472"/>
      <c r="BG27" s="167"/>
      <c r="BH27" s="167"/>
      <c r="BI27" s="167"/>
      <c r="BJ27" s="167"/>
      <c r="BK27" s="472"/>
      <c r="BL27" s="167"/>
      <c r="BM27" s="167"/>
      <c r="BN27" s="167"/>
      <c r="BO27" s="167"/>
      <c r="BP27" s="472"/>
      <c r="BQ27" s="167"/>
      <c r="BR27" s="167"/>
      <c r="BS27" s="167"/>
      <c r="BT27" s="167"/>
      <c r="BU27" s="472"/>
    </row>
    <row r="28" spans="2:73" ht="13.35" customHeight="1">
      <c r="B28" s="155" t="s">
        <v>104</v>
      </c>
      <c r="C28" s="167"/>
      <c r="D28" s="167"/>
      <c r="E28" s="167"/>
      <c r="F28" s="167"/>
      <c r="G28" s="167">
        <v>3536</v>
      </c>
      <c r="H28" s="167">
        <v>3536</v>
      </c>
      <c r="I28" s="167">
        <v>2892</v>
      </c>
      <c r="J28" s="167">
        <v>2990</v>
      </c>
      <c r="K28" s="167">
        <v>2868</v>
      </c>
      <c r="L28" s="167">
        <v>2038</v>
      </c>
      <c r="M28" s="472">
        <f>+L28</f>
        <v>2038</v>
      </c>
      <c r="N28" s="167">
        <v>1657</v>
      </c>
      <c r="O28" s="167">
        <v>4200</v>
      </c>
      <c r="P28" s="167">
        <v>2675</v>
      </c>
      <c r="Q28" s="167">
        <v>4012</v>
      </c>
      <c r="R28" s="472">
        <f>+Q28</f>
        <v>4012</v>
      </c>
      <c r="S28" s="167">
        <v>3495</v>
      </c>
      <c r="T28" s="167">
        <v>2257</v>
      </c>
      <c r="U28" s="167">
        <v>3567</v>
      </c>
      <c r="V28" s="167">
        <v>2240</v>
      </c>
      <c r="W28" s="472">
        <f t="shared" ref="W28:W35" si="26">+V28</f>
        <v>2240</v>
      </c>
      <c r="X28" s="167">
        <v>5669</v>
      </c>
      <c r="Y28" s="167">
        <v>4612</v>
      </c>
      <c r="Z28" s="167">
        <v>2766</v>
      </c>
      <c r="AA28" s="167">
        <v>7048</v>
      </c>
      <c r="AB28" s="472">
        <f t="shared" ref="AB28:AB35" si="27">+AA28</f>
        <v>7048</v>
      </c>
      <c r="AC28" s="167">
        <v>6297</v>
      </c>
      <c r="AD28" s="167">
        <v>12975</v>
      </c>
      <c r="AE28" s="167">
        <v>6549</v>
      </c>
      <c r="AF28" s="167">
        <f>6836</f>
        <v>6836</v>
      </c>
      <c r="AG28" s="472">
        <f>+AF28</f>
        <v>6836</v>
      </c>
      <c r="AH28" s="167">
        <v>10062</v>
      </c>
      <c r="AI28" s="167">
        <v>7078</v>
      </c>
      <c r="AJ28" s="167">
        <f>9033</f>
        <v>9033</v>
      </c>
      <c r="AK28" s="167">
        <f>3860</f>
        <v>3860</v>
      </c>
      <c r="AL28" s="472">
        <f>+AK28</f>
        <v>3860</v>
      </c>
      <c r="AM28" s="167">
        <f>4296</f>
        <v>4296</v>
      </c>
      <c r="AN28" s="167">
        <f>2063+44730</f>
        <v>46793</v>
      </c>
      <c r="AO28" s="167">
        <f>7514+44804</f>
        <v>52318</v>
      </c>
      <c r="AP28" s="167">
        <f>3521</f>
        <v>3521</v>
      </c>
      <c r="AQ28" s="472">
        <f>+AP28</f>
        <v>3521</v>
      </c>
      <c r="AR28" s="167">
        <f>12163</f>
        <v>12163</v>
      </c>
      <c r="AS28" s="167">
        <f>6832</f>
        <v>6832</v>
      </c>
      <c r="AT28" s="167">
        <f>13864</f>
        <v>13864</v>
      </c>
      <c r="AU28" s="167">
        <f>10255</f>
        <v>10255</v>
      </c>
      <c r="AV28" s="472">
        <f t="shared" ref="AV28:AV35" si="28">+AU28</f>
        <v>10255</v>
      </c>
      <c r="AW28" s="167">
        <f>8475</f>
        <v>8475</v>
      </c>
      <c r="AX28" s="167">
        <f>8989</f>
        <v>8989</v>
      </c>
      <c r="AY28" s="167">
        <f>8951</f>
        <v>8951</v>
      </c>
      <c r="AZ28" s="167">
        <f>15812</f>
        <v>15812</v>
      </c>
      <c r="BA28" s="472">
        <f t="shared" ref="BA28:BA35" si="29">+AZ28</f>
        <v>15812</v>
      </c>
      <c r="BB28" s="167">
        <f>11516</f>
        <v>11516</v>
      </c>
      <c r="BC28" s="167">
        <f>12820</f>
        <v>12820</v>
      </c>
      <c r="BD28" s="167">
        <f>6005</f>
        <v>6005</v>
      </c>
      <c r="BE28" s="167">
        <f>18908</f>
        <v>18908</v>
      </c>
      <c r="BF28" s="472">
        <f t="shared" ref="BF28:BF35" si="30">+BE28</f>
        <v>18908</v>
      </c>
      <c r="BG28" s="167">
        <f>12318</f>
        <v>12318</v>
      </c>
      <c r="BH28" s="167">
        <f>15943</f>
        <v>15943</v>
      </c>
      <c r="BI28" s="167">
        <f>15571</f>
        <v>15571</v>
      </c>
      <c r="BJ28" s="167">
        <f>11041</f>
        <v>11041</v>
      </c>
      <c r="BK28" s="472">
        <f t="shared" ref="BK28:BK35" si="31">+BJ28</f>
        <v>11041</v>
      </c>
      <c r="BL28" s="167">
        <f>+BL63*BL104/90</f>
        <v>12555.274345833332</v>
      </c>
      <c r="BM28" s="167">
        <f>+BM63*BM104/90</f>
        <v>16930.953828444442</v>
      </c>
      <c r="BN28" s="167">
        <f>+BN63*BN104/90</f>
        <v>15597.351055555555</v>
      </c>
      <c r="BO28" s="167">
        <f>+BO63*BO104/90</f>
        <v>14755.651916666668</v>
      </c>
      <c r="BP28" s="472">
        <f t="shared" ref="BP28:BP35" si="32">+BO28</f>
        <v>14755.651916666668</v>
      </c>
      <c r="BQ28" s="167">
        <f>+BQ63*BQ104/90</f>
        <v>12317.347883333334</v>
      </c>
      <c r="BR28" s="167">
        <f>+BR63*BR104/90</f>
        <v>11747.807071333335</v>
      </c>
      <c r="BS28" s="167">
        <f>+BS63*BS104/90</f>
        <v>15851.806368000001</v>
      </c>
      <c r="BT28" s="167">
        <f>+BT63*BT104/90</f>
        <v>14235.822818799999</v>
      </c>
      <c r="BU28" s="472">
        <f t="shared" ref="BU28:BU35" si="33">+BT28</f>
        <v>14235.822818799999</v>
      </c>
    </row>
    <row r="29" spans="2:73" ht="13.35" customHeight="1">
      <c r="B29" s="155" t="s">
        <v>427</v>
      </c>
      <c r="C29" s="167"/>
      <c r="D29" s="167"/>
      <c r="E29" s="167"/>
      <c r="F29" s="167"/>
      <c r="G29" s="167">
        <v>11907</v>
      </c>
      <c r="H29" s="167">
        <v>11907</v>
      </c>
      <c r="I29" s="167">
        <v>7956</v>
      </c>
      <c r="J29" s="167">
        <v>12765</v>
      </c>
      <c r="K29" s="167">
        <v>15725</v>
      </c>
      <c r="L29" s="167">
        <v>24707</v>
      </c>
      <c r="M29" s="472">
        <f>+L29</f>
        <v>24707</v>
      </c>
      <c r="N29" s="167">
        <v>14424</v>
      </c>
      <c r="O29" s="167">
        <v>19798</v>
      </c>
      <c r="P29" s="167">
        <v>22226</v>
      </c>
      <c r="Q29" s="167">
        <v>23499</v>
      </c>
      <c r="R29" s="472">
        <f>+Q29</f>
        <v>23499</v>
      </c>
      <c r="S29" s="167">
        <v>16346</v>
      </c>
      <c r="T29" s="167">
        <v>20667</v>
      </c>
      <c r="U29" s="167">
        <v>23737</v>
      </c>
      <c r="V29" s="167">
        <v>29728</v>
      </c>
      <c r="W29" s="472">
        <f t="shared" si="26"/>
        <v>29728</v>
      </c>
      <c r="X29" s="167">
        <v>18372</v>
      </c>
      <c r="Y29" s="167">
        <v>21832</v>
      </c>
      <c r="Z29" s="167">
        <v>27392</v>
      </c>
      <c r="AA29" s="167">
        <v>37376</v>
      </c>
      <c r="AB29" s="472">
        <f t="shared" si="27"/>
        <v>37376</v>
      </c>
      <c r="AC29" s="167">
        <v>25062</v>
      </c>
      <c r="AD29" s="167">
        <v>33069</v>
      </c>
      <c r="AE29" s="167">
        <v>33174</v>
      </c>
      <c r="AF29" s="167">
        <f>41021</f>
        <v>41021</v>
      </c>
      <c r="AG29" s="472">
        <f>+AF29</f>
        <v>41021</v>
      </c>
      <c r="AH29" s="167">
        <v>26486</v>
      </c>
      <c r="AI29" s="167">
        <v>36165</v>
      </c>
      <c r="AJ29" s="167">
        <f>48035</f>
        <v>48035</v>
      </c>
      <c r="AK29" s="167">
        <f>61677</f>
        <v>61677</v>
      </c>
      <c r="AL29" s="472">
        <f>+AK29</f>
        <v>61677</v>
      </c>
      <c r="AM29" s="167">
        <f>47806</f>
        <v>47806</v>
      </c>
      <c r="AN29" s="167">
        <f>55633</f>
        <v>55633</v>
      </c>
      <c r="AO29" s="167">
        <f>57975</f>
        <v>57975</v>
      </c>
      <c r="AP29" s="167">
        <f>82620</f>
        <v>82620</v>
      </c>
      <c r="AQ29" s="472">
        <f>+AP29</f>
        <v>82620</v>
      </c>
      <c r="AR29" s="167">
        <f>56502</f>
        <v>56502</v>
      </c>
      <c r="AS29" s="167">
        <f>66348</f>
        <v>66348</v>
      </c>
      <c r="AT29" s="167">
        <f>64427</f>
        <v>64427</v>
      </c>
      <c r="AU29" s="167">
        <f>80306</f>
        <v>80306</v>
      </c>
      <c r="AV29" s="472">
        <f t="shared" si="28"/>
        <v>80306</v>
      </c>
      <c r="AW29" s="167">
        <f>57545</f>
        <v>57545</v>
      </c>
      <c r="AX29" s="167">
        <f>69456</f>
        <v>69456</v>
      </c>
      <c r="AY29" s="167">
        <f>63388</f>
        <v>63388</v>
      </c>
      <c r="AZ29" s="167">
        <f>84489</f>
        <v>84489</v>
      </c>
      <c r="BA29" s="472">
        <f t="shared" si="29"/>
        <v>84489</v>
      </c>
      <c r="BB29" s="167">
        <f>60605</f>
        <v>60605</v>
      </c>
      <c r="BC29" s="167">
        <f>67242</f>
        <v>67242</v>
      </c>
      <c r="BD29" s="167">
        <f>82319</f>
        <v>82319</v>
      </c>
      <c r="BE29" s="167">
        <f>88802</f>
        <v>88802</v>
      </c>
      <c r="BF29" s="472">
        <f t="shared" si="30"/>
        <v>88802</v>
      </c>
      <c r="BG29" s="167">
        <f>69458</f>
        <v>69458</v>
      </c>
      <c r="BH29" s="167">
        <f>78125</f>
        <v>78125</v>
      </c>
      <c r="BI29" s="167">
        <f>80539</f>
        <v>80539</v>
      </c>
      <c r="BJ29" s="167">
        <f>96998</f>
        <v>96998</v>
      </c>
      <c r="BK29" s="472">
        <f t="shared" si="31"/>
        <v>96998</v>
      </c>
      <c r="BL29" s="167">
        <f>+(BL63+BL64)*BL107</f>
        <v>69466.637391249998</v>
      </c>
      <c r="BM29" s="167">
        <f>+(BM63+BM64)*BM107</f>
        <v>72272.402608000004</v>
      </c>
      <c r="BN29" s="167">
        <f>+(BN63+BN64)*BN107</f>
        <v>80439.914704950002</v>
      </c>
      <c r="BO29" s="167">
        <f>+(BO63+BO64)*BO107</f>
        <v>89819.117927804997</v>
      </c>
      <c r="BP29" s="472">
        <f t="shared" si="32"/>
        <v>89819.117927804997</v>
      </c>
      <c r="BQ29" s="167">
        <f>+(BQ63+BQ64)*BQ107</f>
        <v>67707.838374754152</v>
      </c>
      <c r="BR29" s="167">
        <f>+(BR63+BR64)*BR107</f>
        <v>73550.732224553431</v>
      </c>
      <c r="BS29" s="167">
        <f>+(BS63+BS64)*BS107</f>
        <v>82832.797341016631</v>
      </c>
      <c r="BT29" s="167">
        <f>+(BT63+BT64)*BT107</f>
        <v>103780.00477703112</v>
      </c>
      <c r="BU29" s="472">
        <f t="shared" si="33"/>
        <v>103780.00477703112</v>
      </c>
    </row>
    <row r="30" spans="2:73" ht="13.35" customHeight="1">
      <c r="B30" s="155" t="s">
        <v>438</v>
      </c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472"/>
      <c r="N30" s="167"/>
      <c r="O30" s="167"/>
      <c r="P30" s="167"/>
      <c r="Q30" s="167"/>
      <c r="R30" s="472"/>
      <c r="S30" s="167"/>
      <c r="T30" s="167"/>
      <c r="U30" s="167"/>
      <c r="V30" s="167"/>
      <c r="W30" s="472"/>
      <c r="X30" s="167"/>
      <c r="Y30" s="167"/>
      <c r="Z30" s="167"/>
      <c r="AA30" s="167"/>
      <c r="AB30" s="472"/>
      <c r="AC30" s="167"/>
      <c r="AD30" s="167"/>
      <c r="AE30" s="167"/>
      <c r="AF30" s="167"/>
      <c r="AG30" s="472"/>
      <c r="AH30" s="167"/>
      <c r="AI30" s="167"/>
      <c r="AJ30" s="167"/>
      <c r="AK30" s="167"/>
      <c r="AL30" s="472"/>
      <c r="AM30" s="167"/>
      <c r="AN30" s="167"/>
      <c r="AO30" s="167"/>
      <c r="AP30" s="167"/>
      <c r="AQ30" s="472"/>
      <c r="AR30" s="167"/>
      <c r="AS30" s="167"/>
      <c r="AT30" s="167"/>
      <c r="AU30" s="167"/>
      <c r="AV30" s="472">
        <f>+AU30</f>
        <v>0</v>
      </c>
      <c r="AW30" s="167"/>
      <c r="AX30" s="167"/>
      <c r="AY30" s="167"/>
      <c r="AZ30" s="167"/>
      <c r="BA30" s="472">
        <f>+AZ30</f>
        <v>0</v>
      </c>
      <c r="BB30" s="167">
        <f>0</f>
        <v>0</v>
      </c>
      <c r="BC30" s="167">
        <f>45737</f>
        <v>45737</v>
      </c>
      <c r="BD30" s="167">
        <f>45816</f>
        <v>45816</v>
      </c>
      <c r="BE30" s="167">
        <f>45895</f>
        <v>45895</v>
      </c>
      <c r="BF30" s="472">
        <f t="shared" si="30"/>
        <v>45895</v>
      </c>
      <c r="BG30" s="167">
        <f>45967</f>
        <v>45967</v>
      </c>
      <c r="BH30" s="167">
        <v>0</v>
      </c>
      <c r="BI30" s="167">
        <f>0</f>
        <v>0</v>
      </c>
      <c r="BJ30" s="167">
        <v>0</v>
      </c>
      <c r="BK30" s="472">
        <f t="shared" si="31"/>
        <v>0</v>
      </c>
      <c r="BL30" s="167"/>
      <c r="BM30" s="167"/>
      <c r="BN30" s="167"/>
      <c r="BO30" s="167"/>
      <c r="BP30" s="472">
        <f t="shared" si="32"/>
        <v>0</v>
      </c>
      <c r="BQ30" s="167"/>
      <c r="BR30" s="167"/>
      <c r="BS30" s="167"/>
      <c r="BT30" s="167"/>
      <c r="BU30" s="472">
        <f t="shared" si="33"/>
        <v>0</v>
      </c>
    </row>
    <row r="31" spans="2:73" ht="13.35" customHeight="1" collapsed="1">
      <c r="B31" s="155" t="s">
        <v>345</v>
      </c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472">
        <f>+L31</f>
        <v>0</v>
      </c>
      <c r="N31" s="167"/>
      <c r="O31" s="167"/>
      <c r="P31" s="167"/>
      <c r="Q31" s="167"/>
      <c r="R31" s="472">
        <f>+Q31</f>
        <v>0</v>
      </c>
      <c r="S31" s="167"/>
      <c r="T31" s="167"/>
      <c r="U31" s="167"/>
      <c r="V31" s="167"/>
      <c r="W31" s="472">
        <f>+V31</f>
        <v>0</v>
      </c>
      <c r="X31" s="167"/>
      <c r="Y31" s="167"/>
      <c r="Z31" s="167"/>
      <c r="AA31" s="167"/>
      <c r="AB31" s="472">
        <f>+AA31</f>
        <v>0</v>
      </c>
      <c r="AC31" s="167">
        <v>5231</v>
      </c>
      <c r="AD31" s="167">
        <f>6057</f>
        <v>6057</v>
      </c>
      <c r="AE31" s="167">
        <v>6460</v>
      </c>
      <c r="AF31" s="167">
        <f>7179</f>
        <v>7179</v>
      </c>
      <c r="AG31" s="472">
        <f>+AF31</f>
        <v>7179</v>
      </c>
      <c r="AH31" s="167">
        <v>8866</v>
      </c>
      <c r="AI31" s="167">
        <v>9436</v>
      </c>
      <c r="AJ31" s="167">
        <f>9568</f>
        <v>9568</v>
      </c>
      <c r="AK31" s="167">
        <f>9612</f>
        <v>9612</v>
      </c>
      <c r="AL31" s="472">
        <f>+AK31</f>
        <v>9612</v>
      </c>
      <c r="AM31" s="167">
        <f>9261</f>
        <v>9261</v>
      </c>
      <c r="AN31" s="167">
        <f>9285</f>
        <v>9285</v>
      </c>
      <c r="AO31" s="167">
        <f>9395</f>
        <v>9395</v>
      </c>
      <c r="AP31" s="167">
        <f>9630</f>
        <v>9630</v>
      </c>
      <c r="AQ31" s="472">
        <f>+AP31</f>
        <v>9630</v>
      </c>
      <c r="AR31" s="167">
        <f>11336</f>
        <v>11336</v>
      </c>
      <c r="AS31" s="167">
        <f>11809</f>
        <v>11809</v>
      </c>
      <c r="AT31" s="167">
        <f>11858</f>
        <v>11858</v>
      </c>
      <c r="AU31" s="167">
        <f>12444</f>
        <v>12444</v>
      </c>
      <c r="AV31" s="472">
        <f>+AU31</f>
        <v>12444</v>
      </c>
      <c r="AW31" s="167">
        <f>12853</f>
        <v>12853</v>
      </c>
      <c r="AX31" s="167">
        <f>12116</f>
        <v>12116</v>
      </c>
      <c r="AY31" s="167">
        <f>12472</f>
        <v>12472</v>
      </c>
      <c r="AZ31" s="167">
        <f>13452</f>
        <v>13452</v>
      </c>
      <c r="BA31" s="472">
        <f>+AZ31</f>
        <v>13452</v>
      </c>
      <c r="BB31" s="167">
        <f>14257</f>
        <v>14257</v>
      </c>
      <c r="BC31" s="167">
        <f>15592</f>
        <v>15592</v>
      </c>
      <c r="BD31" s="167">
        <f>15849</f>
        <v>15849</v>
      </c>
      <c r="BE31" s="167">
        <f>15493</f>
        <v>15493</v>
      </c>
      <c r="BF31" s="472">
        <f>+BE31</f>
        <v>15493</v>
      </c>
      <c r="BG31" s="167">
        <f>13614</f>
        <v>13614</v>
      </c>
      <c r="BH31" s="167">
        <f>15185</f>
        <v>15185</v>
      </c>
      <c r="BI31" s="167">
        <f>15955</f>
        <v>15955</v>
      </c>
      <c r="BJ31" s="167">
        <f>16176</f>
        <v>16176</v>
      </c>
      <c r="BK31" s="472">
        <f t="shared" ref="BK31:BP31" si="34">+BJ31</f>
        <v>16176</v>
      </c>
      <c r="BL31" s="167">
        <f t="shared" si="34"/>
        <v>16176</v>
      </c>
      <c r="BM31" s="167">
        <f t="shared" si="34"/>
        <v>16176</v>
      </c>
      <c r="BN31" s="167">
        <f t="shared" si="34"/>
        <v>16176</v>
      </c>
      <c r="BO31" s="167">
        <f t="shared" si="34"/>
        <v>16176</v>
      </c>
      <c r="BP31" s="472">
        <f t="shared" si="34"/>
        <v>16176</v>
      </c>
      <c r="BQ31" s="167">
        <f t="shared" ref="BQ31" si="35">+BP31</f>
        <v>16176</v>
      </c>
      <c r="BR31" s="167">
        <f t="shared" ref="BR31" si="36">+BQ31</f>
        <v>16176</v>
      </c>
      <c r="BS31" s="167">
        <f t="shared" ref="BS31" si="37">+BR31</f>
        <v>16176</v>
      </c>
      <c r="BT31" s="167">
        <f t="shared" ref="BT31" si="38">+BS31</f>
        <v>16176</v>
      </c>
      <c r="BU31" s="472">
        <f t="shared" si="33"/>
        <v>16176</v>
      </c>
    </row>
    <row r="32" spans="2:73" ht="13.35" customHeight="1">
      <c r="B32" s="155" t="s">
        <v>105</v>
      </c>
      <c r="C32" s="167"/>
      <c r="D32" s="167"/>
      <c r="E32" s="167"/>
      <c r="F32" s="167"/>
      <c r="G32" s="167">
        <v>58164</v>
      </c>
      <c r="H32" s="167">
        <v>58164</v>
      </c>
      <c r="I32" s="167">
        <v>60539</v>
      </c>
      <c r="J32" s="167">
        <v>66040</v>
      </c>
      <c r="K32" s="167">
        <v>74347</v>
      </c>
      <c r="L32" s="167">
        <v>87917</v>
      </c>
      <c r="M32" s="472">
        <f>+L32</f>
        <v>87917</v>
      </c>
      <c r="N32" s="167">
        <v>90081</v>
      </c>
      <c r="O32" s="167">
        <v>99360</v>
      </c>
      <c r="P32" s="167">
        <v>104663</v>
      </c>
      <c r="Q32" s="167">
        <v>116903</v>
      </c>
      <c r="R32" s="472">
        <f>+Q32</f>
        <v>116903</v>
      </c>
      <c r="S32" s="167">
        <v>116564</v>
      </c>
      <c r="T32" s="167">
        <v>126085</v>
      </c>
      <c r="U32" s="167">
        <v>133117</v>
      </c>
      <c r="V32" s="167">
        <v>142020</v>
      </c>
      <c r="W32" s="472">
        <f t="shared" si="26"/>
        <v>142020</v>
      </c>
      <c r="X32" s="167">
        <v>140448</v>
      </c>
      <c r="Y32" s="167">
        <v>153634</v>
      </c>
      <c r="Z32" s="167">
        <v>159408</v>
      </c>
      <c r="AA32" s="167">
        <v>189855</v>
      </c>
      <c r="AB32" s="472">
        <f t="shared" si="27"/>
        <v>189855</v>
      </c>
      <c r="AC32" s="167">
        <v>184453</v>
      </c>
      <c r="AD32" s="167">
        <v>199048</v>
      </c>
      <c r="AE32" s="167">
        <v>200314</v>
      </c>
      <c r="AF32" s="167">
        <f>231518</f>
        <v>231518</v>
      </c>
      <c r="AG32" s="472">
        <f>+AF32</f>
        <v>231518</v>
      </c>
      <c r="AH32" s="167">
        <v>219432</v>
      </c>
      <c r="AI32" s="167">
        <v>227318</v>
      </c>
      <c r="AJ32" s="167">
        <f>231560</f>
        <v>231560</v>
      </c>
      <c r="AK32" s="167">
        <f>278585</f>
        <v>278585</v>
      </c>
      <c r="AL32" s="472">
        <f>+AK32</f>
        <v>278585</v>
      </c>
      <c r="AM32" s="167">
        <f>282245</f>
        <v>282245</v>
      </c>
      <c r="AN32" s="167">
        <f>302186</f>
        <v>302186</v>
      </c>
      <c r="AO32" s="167">
        <f>316045</f>
        <v>316045</v>
      </c>
      <c r="AP32" s="167">
        <f>372067</f>
        <v>372067</v>
      </c>
      <c r="AQ32" s="472">
        <f>+AP32</f>
        <v>372067</v>
      </c>
      <c r="AR32" s="167">
        <f>378338</f>
        <v>378338</v>
      </c>
      <c r="AS32" s="167">
        <f>395208</f>
        <v>395208</v>
      </c>
      <c r="AT32" s="167">
        <f>391761</f>
        <v>391761</v>
      </c>
      <c r="AU32" s="167">
        <f>426599</f>
        <v>426599</v>
      </c>
      <c r="AV32" s="472">
        <f t="shared" si="28"/>
        <v>426599</v>
      </c>
      <c r="AW32" s="167">
        <f>413992</f>
        <v>413992</v>
      </c>
      <c r="AX32" s="167">
        <f>429328</f>
        <v>429328</v>
      </c>
      <c r="AY32" s="167">
        <f>421898</f>
        <v>421898</v>
      </c>
      <c r="AZ32" s="167">
        <f>455503</f>
        <v>455503</v>
      </c>
      <c r="BA32" s="472">
        <f t="shared" si="29"/>
        <v>455503</v>
      </c>
      <c r="BB32" s="167">
        <f>437687</f>
        <v>437687</v>
      </c>
      <c r="BC32" s="167">
        <f>437222</f>
        <v>437222</v>
      </c>
      <c r="BD32" s="167">
        <f>423640</f>
        <v>423640</v>
      </c>
      <c r="BE32" s="167">
        <f>461118</f>
        <v>461118</v>
      </c>
      <c r="BF32" s="472">
        <f t="shared" si="30"/>
        <v>461118</v>
      </c>
      <c r="BG32" s="167">
        <f>447798</f>
        <v>447798</v>
      </c>
      <c r="BH32" s="167">
        <f>446688</f>
        <v>446688</v>
      </c>
      <c r="BI32" s="167">
        <f>422943</f>
        <v>422943</v>
      </c>
      <c r="BJ32" s="167">
        <f>451155</f>
        <v>451155</v>
      </c>
      <c r="BK32" s="472">
        <f t="shared" si="31"/>
        <v>451155</v>
      </c>
      <c r="BL32" s="167">
        <f>+BG32*(1+BL112)</f>
        <v>447798</v>
      </c>
      <c r="BM32" s="167">
        <f>+BH32*(1+BM112)</f>
        <v>451154.88</v>
      </c>
      <c r="BN32" s="167">
        <f>+BI32*(1+BN112)</f>
        <v>427172.43</v>
      </c>
      <c r="BO32" s="167">
        <f>+BJ32*(1+BO112)</f>
        <v>460178.10000000003</v>
      </c>
      <c r="BP32" s="472">
        <f t="shared" si="32"/>
        <v>460178.10000000003</v>
      </c>
      <c r="BQ32" s="167">
        <f>+BL32*(1+BQ112)</f>
        <v>456753.96</v>
      </c>
      <c r="BR32" s="167">
        <f>+BM32*(1+BR112)</f>
        <v>460177.97759999998</v>
      </c>
      <c r="BS32" s="167">
        <f>+BN32*(1+BS112)</f>
        <v>435715.8786</v>
      </c>
      <c r="BT32" s="167">
        <f>+BO32*(1+BT112)</f>
        <v>469381.66200000007</v>
      </c>
      <c r="BU32" s="472">
        <f t="shared" si="33"/>
        <v>469381.66200000007</v>
      </c>
    </row>
    <row r="33" spans="2:73" ht="13.35" hidden="1" customHeight="1" outlineLevel="1">
      <c r="B33" s="155" t="s">
        <v>163</v>
      </c>
      <c r="C33" s="167"/>
      <c r="D33" s="167"/>
      <c r="E33" s="167"/>
      <c r="F33" s="167"/>
      <c r="G33" s="167">
        <v>0</v>
      </c>
      <c r="H33" s="167">
        <v>0</v>
      </c>
      <c r="I33" s="167">
        <v>1703</v>
      </c>
      <c r="J33" s="167">
        <v>3976</v>
      </c>
      <c r="K33" s="167">
        <v>0</v>
      </c>
      <c r="L33" s="167">
        <v>0</v>
      </c>
      <c r="M33" s="472">
        <f>+L33</f>
        <v>0</v>
      </c>
      <c r="N33" s="167">
        <v>0</v>
      </c>
      <c r="O33" s="167">
        <v>0</v>
      </c>
      <c r="P33" s="167">
        <v>0</v>
      </c>
      <c r="Q33" s="167">
        <v>0</v>
      </c>
      <c r="R33" s="472">
        <f>+Q33</f>
        <v>0</v>
      </c>
      <c r="S33" s="167">
        <v>0</v>
      </c>
      <c r="T33" s="167">
        <v>0</v>
      </c>
      <c r="U33" s="167">
        <f>+T33</f>
        <v>0</v>
      </c>
      <c r="V33" s="167">
        <v>0</v>
      </c>
      <c r="W33" s="472">
        <f t="shared" si="26"/>
        <v>0</v>
      </c>
      <c r="X33" s="167">
        <v>0</v>
      </c>
      <c r="Y33" s="167">
        <v>0</v>
      </c>
      <c r="Z33" s="167">
        <v>0</v>
      </c>
      <c r="AA33" s="167">
        <v>0</v>
      </c>
      <c r="AB33" s="472">
        <f t="shared" si="27"/>
        <v>0</v>
      </c>
      <c r="AC33" s="167">
        <v>0</v>
      </c>
      <c r="AD33" s="167">
        <f>+AC33</f>
        <v>0</v>
      </c>
      <c r="AE33" s="167">
        <v>0</v>
      </c>
      <c r="AF33" s="167">
        <f>+AE33</f>
        <v>0</v>
      </c>
      <c r="AG33" s="472">
        <f>+AF33</f>
        <v>0</v>
      </c>
      <c r="AH33" s="167">
        <f>+AF33</f>
        <v>0</v>
      </c>
      <c r="AI33" s="167">
        <f t="shared" ref="AI33:AK34" si="39">+AH33</f>
        <v>0</v>
      </c>
      <c r="AJ33" s="167">
        <f t="shared" si="39"/>
        <v>0</v>
      </c>
      <c r="AK33" s="167">
        <f t="shared" si="39"/>
        <v>0</v>
      </c>
      <c r="AL33" s="472">
        <f>+AK33</f>
        <v>0</v>
      </c>
      <c r="AM33" s="167">
        <f>+AK33</f>
        <v>0</v>
      </c>
      <c r="AN33" s="167"/>
      <c r="AO33" s="167"/>
      <c r="AP33" s="167">
        <v>0</v>
      </c>
      <c r="AQ33" s="472">
        <f>+AP33</f>
        <v>0</v>
      </c>
      <c r="AR33" s="167"/>
      <c r="AS33" s="167"/>
      <c r="AT33" s="167"/>
      <c r="AU33" s="167"/>
      <c r="AV33" s="472">
        <f t="shared" si="28"/>
        <v>0</v>
      </c>
      <c r="AW33" s="167"/>
      <c r="AX33" s="167"/>
      <c r="AY33" s="167"/>
      <c r="AZ33" s="167"/>
      <c r="BA33" s="472">
        <f t="shared" si="29"/>
        <v>0</v>
      </c>
      <c r="BB33" s="167"/>
      <c r="BC33" s="167"/>
      <c r="BD33" s="167"/>
      <c r="BE33" s="167"/>
      <c r="BF33" s="472">
        <f t="shared" si="30"/>
        <v>0</v>
      </c>
      <c r="BG33" s="167"/>
      <c r="BH33" s="167"/>
      <c r="BI33" s="167">
        <f t="shared" ref="BI33:BI34" si="40">+BH33</f>
        <v>0</v>
      </c>
      <c r="BJ33" s="167"/>
      <c r="BK33" s="472">
        <f t="shared" si="31"/>
        <v>0</v>
      </c>
      <c r="BL33" s="167">
        <f>+BJ33</f>
        <v>0</v>
      </c>
      <c r="BM33" s="167">
        <f t="shared" ref="BM33:BO35" si="41">+BL33</f>
        <v>0</v>
      </c>
      <c r="BN33" s="167">
        <f t="shared" si="41"/>
        <v>0</v>
      </c>
      <c r="BO33" s="167">
        <f t="shared" si="41"/>
        <v>0</v>
      </c>
      <c r="BP33" s="472">
        <f t="shared" si="32"/>
        <v>0</v>
      </c>
      <c r="BQ33" s="167">
        <f>+BO33</f>
        <v>0</v>
      </c>
      <c r="BR33" s="167">
        <f t="shared" ref="BR33:BR35" si="42">+BQ33</f>
        <v>0</v>
      </c>
      <c r="BS33" s="167">
        <f t="shared" ref="BS33:BS35" si="43">+BR33</f>
        <v>0</v>
      </c>
      <c r="BT33" s="167">
        <f t="shared" ref="BT33:BT35" si="44">+BS33</f>
        <v>0</v>
      </c>
      <c r="BU33" s="472">
        <f t="shared" si="33"/>
        <v>0</v>
      </c>
    </row>
    <row r="34" spans="2:73" ht="13.35" hidden="1" customHeight="1" outlineLevel="1">
      <c r="B34" s="155" t="s">
        <v>164</v>
      </c>
      <c r="C34" s="167"/>
      <c r="D34" s="167"/>
      <c r="E34" s="167"/>
      <c r="F34" s="167"/>
      <c r="G34" s="167">
        <v>0</v>
      </c>
      <c r="H34" s="167">
        <v>0</v>
      </c>
      <c r="I34" s="167">
        <v>0</v>
      </c>
      <c r="J34" s="167">
        <v>0</v>
      </c>
      <c r="K34" s="167">
        <v>0</v>
      </c>
      <c r="L34" s="167">
        <v>0</v>
      </c>
      <c r="M34" s="472">
        <f>+L34</f>
        <v>0</v>
      </c>
      <c r="N34" s="167">
        <v>0</v>
      </c>
      <c r="O34" s="167">
        <v>0</v>
      </c>
      <c r="P34" s="167">
        <v>0</v>
      </c>
      <c r="Q34" s="167">
        <v>0</v>
      </c>
      <c r="R34" s="472">
        <f>+Q34</f>
        <v>0</v>
      </c>
      <c r="S34" s="167">
        <v>0</v>
      </c>
      <c r="T34" s="167">
        <v>0</v>
      </c>
      <c r="U34" s="167">
        <f>+T34</f>
        <v>0</v>
      </c>
      <c r="V34" s="167">
        <v>0</v>
      </c>
      <c r="W34" s="472">
        <f t="shared" si="26"/>
        <v>0</v>
      </c>
      <c r="X34" s="167">
        <v>0</v>
      </c>
      <c r="Y34" s="167">
        <v>0</v>
      </c>
      <c r="Z34" s="167">
        <v>0</v>
      </c>
      <c r="AA34" s="167">
        <v>0</v>
      </c>
      <c r="AB34" s="472">
        <f t="shared" si="27"/>
        <v>0</v>
      </c>
      <c r="AC34" s="167">
        <v>0</v>
      </c>
      <c r="AD34" s="167">
        <f>+AC34</f>
        <v>0</v>
      </c>
      <c r="AE34" s="167">
        <v>0</v>
      </c>
      <c r="AF34" s="167">
        <f>+AE34</f>
        <v>0</v>
      </c>
      <c r="AG34" s="472">
        <f>+AF34</f>
        <v>0</v>
      </c>
      <c r="AH34" s="167">
        <f>+AF34</f>
        <v>0</v>
      </c>
      <c r="AI34" s="167">
        <f t="shared" si="39"/>
        <v>0</v>
      </c>
      <c r="AJ34" s="167">
        <f t="shared" si="39"/>
        <v>0</v>
      </c>
      <c r="AK34" s="167">
        <f t="shared" si="39"/>
        <v>0</v>
      </c>
      <c r="AL34" s="472">
        <f>+AK34</f>
        <v>0</v>
      </c>
      <c r="AM34" s="167">
        <f>+AK34</f>
        <v>0</v>
      </c>
      <c r="AN34" s="167"/>
      <c r="AO34" s="167"/>
      <c r="AP34" s="167">
        <v>0</v>
      </c>
      <c r="AQ34" s="472">
        <f>+AP34</f>
        <v>0</v>
      </c>
      <c r="AR34" s="167"/>
      <c r="AS34" s="167"/>
      <c r="AT34" s="167"/>
      <c r="AU34" s="167"/>
      <c r="AV34" s="472">
        <f t="shared" si="28"/>
        <v>0</v>
      </c>
      <c r="AW34" s="167"/>
      <c r="AX34" s="167"/>
      <c r="AY34" s="167"/>
      <c r="AZ34" s="167"/>
      <c r="BA34" s="472">
        <f t="shared" si="29"/>
        <v>0</v>
      </c>
      <c r="BB34" s="167"/>
      <c r="BC34" s="167"/>
      <c r="BD34" s="167"/>
      <c r="BE34" s="167"/>
      <c r="BF34" s="472">
        <f t="shared" si="30"/>
        <v>0</v>
      </c>
      <c r="BG34" s="167"/>
      <c r="BH34" s="167"/>
      <c r="BI34" s="167">
        <f t="shared" si="40"/>
        <v>0</v>
      </c>
      <c r="BJ34" s="167"/>
      <c r="BK34" s="472">
        <f t="shared" si="31"/>
        <v>0</v>
      </c>
      <c r="BL34" s="167">
        <f>+BJ34</f>
        <v>0</v>
      </c>
      <c r="BM34" s="167">
        <f t="shared" si="41"/>
        <v>0</v>
      </c>
      <c r="BN34" s="167">
        <f t="shared" si="41"/>
        <v>0</v>
      </c>
      <c r="BO34" s="167">
        <f t="shared" si="41"/>
        <v>0</v>
      </c>
      <c r="BP34" s="472">
        <f t="shared" si="32"/>
        <v>0</v>
      </c>
      <c r="BQ34" s="167">
        <f>+BO34</f>
        <v>0</v>
      </c>
      <c r="BR34" s="167">
        <f t="shared" si="42"/>
        <v>0</v>
      </c>
      <c r="BS34" s="167">
        <f t="shared" si="43"/>
        <v>0</v>
      </c>
      <c r="BT34" s="167">
        <f t="shared" si="44"/>
        <v>0</v>
      </c>
      <c r="BU34" s="472">
        <f t="shared" si="33"/>
        <v>0</v>
      </c>
    </row>
    <row r="35" spans="2:73" ht="13.35" customHeight="1" collapsed="1">
      <c r="B35" s="155" t="s">
        <v>165</v>
      </c>
      <c r="C35" s="167"/>
      <c r="D35" s="167"/>
      <c r="E35" s="167"/>
      <c r="F35" s="167"/>
      <c r="G35" s="167">
        <v>642</v>
      </c>
      <c r="H35" s="167">
        <v>642</v>
      </c>
      <c r="I35" s="167">
        <v>887</v>
      </c>
      <c r="J35" s="167">
        <v>991</v>
      </c>
      <c r="K35" s="167">
        <v>1030</v>
      </c>
      <c r="L35" s="167">
        <v>1105</v>
      </c>
      <c r="M35" s="472">
        <f>+L35</f>
        <v>1105</v>
      </c>
      <c r="N35" s="167">
        <v>767</v>
      </c>
      <c r="O35" s="167">
        <v>1047</v>
      </c>
      <c r="P35" s="167">
        <v>1352</v>
      </c>
      <c r="Q35" s="167">
        <v>1195</v>
      </c>
      <c r="R35" s="472">
        <f>+Q35</f>
        <v>1195</v>
      </c>
      <c r="S35" s="167">
        <v>1239</v>
      </c>
      <c r="T35" s="167">
        <v>1334</v>
      </c>
      <c r="U35" s="167">
        <v>1394</v>
      </c>
      <c r="V35" s="167">
        <v>1706</v>
      </c>
      <c r="W35" s="472">
        <f t="shared" si="26"/>
        <v>1706</v>
      </c>
      <c r="X35" s="167">
        <v>1702</v>
      </c>
      <c r="Y35" s="167">
        <v>1079</v>
      </c>
      <c r="Z35" s="167">
        <v>838</v>
      </c>
      <c r="AA35" s="167">
        <v>707</v>
      </c>
      <c r="AB35" s="472">
        <f t="shared" si="27"/>
        <v>707</v>
      </c>
      <c r="AC35" s="167">
        <f>7385</f>
        <v>7385</v>
      </c>
      <c r="AD35" s="167">
        <v>126</v>
      </c>
      <c r="AE35" s="167">
        <v>285</v>
      </c>
      <c r="AF35" s="167">
        <f>119</f>
        <v>119</v>
      </c>
      <c r="AG35" s="472">
        <f>+AF35</f>
        <v>119</v>
      </c>
      <c r="AH35" s="167">
        <v>35</v>
      </c>
      <c r="AI35" s="167">
        <v>0</v>
      </c>
      <c r="AJ35" s="167">
        <f>85</f>
        <v>85</v>
      </c>
      <c r="AK35" s="167">
        <f>0</f>
        <v>0</v>
      </c>
      <c r="AL35" s="472">
        <f>+AK35</f>
        <v>0</v>
      </c>
      <c r="AM35" s="167">
        <f>127</f>
        <v>127</v>
      </c>
      <c r="AN35" s="167">
        <f>303</f>
        <v>303</v>
      </c>
      <c r="AO35" s="167">
        <f>809</f>
        <v>809</v>
      </c>
      <c r="AP35" s="167">
        <f>842</f>
        <v>842</v>
      </c>
      <c r="AQ35" s="472">
        <f>+AP35</f>
        <v>842</v>
      </c>
      <c r="AR35" s="167">
        <f>1264</f>
        <v>1264</v>
      </c>
      <c r="AS35" s="167">
        <f>3473</f>
        <v>3473</v>
      </c>
      <c r="AT35" s="167">
        <f>5254</f>
        <v>5254</v>
      </c>
      <c r="AU35" s="167">
        <f>1663</f>
        <v>1663</v>
      </c>
      <c r="AV35" s="472">
        <f t="shared" si="28"/>
        <v>1663</v>
      </c>
      <c r="AW35" s="167">
        <f>809</f>
        <v>809</v>
      </c>
      <c r="AX35" s="167">
        <f>562</f>
        <v>562</v>
      </c>
      <c r="AY35" s="167">
        <f>888</f>
        <v>888</v>
      </c>
      <c r="AZ35" s="167">
        <f>536</f>
        <v>536</v>
      </c>
      <c r="BA35" s="472">
        <f t="shared" si="29"/>
        <v>536</v>
      </c>
      <c r="BB35" s="167">
        <v>0</v>
      </c>
      <c r="BC35" s="167">
        <f>0</f>
        <v>0</v>
      </c>
      <c r="BD35" s="167">
        <f>0</f>
        <v>0</v>
      </c>
      <c r="BE35" s="167">
        <f>0</f>
        <v>0</v>
      </c>
      <c r="BF35" s="472">
        <f t="shared" si="30"/>
        <v>0</v>
      </c>
      <c r="BG35" s="167">
        <f>0</f>
        <v>0</v>
      </c>
      <c r="BH35" s="167">
        <f>0</f>
        <v>0</v>
      </c>
      <c r="BI35" s="167">
        <f>0</f>
        <v>0</v>
      </c>
      <c r="BJ35" s="167"/>
      <c r="BK35" s="472">
        <f t="shared" si="31"/>
        <v>0</v>
      </c>
      <c r="BL35" s="167">
        <f>+BJ35</f>
        <v>0</v>
      </c>
      <c r="BM35" s="167">
        <f t="shared" si="41"/>
        <v>0</v>
      </c>
      <c r="BN35" s="167">
        <f t="shared" si="41"/>
        <v>0</v>
      </c>
      <c r="BO35" s="167">
        <f t="shared" si="41"/>
        <v>0</v>
      </c>
      <c r="BP35" s="472">
        <f t="shared" si="32"/>
        <v>0</v>
      </c>
      <c r="BQ35" s="167">
        <f>+BO35</f>
        <v>0</v>
      </c>
      <c r="BR35" s="167">
        <f t="shared" si="42"/>
        <v>0</v>
      </c>
      <c r="BS35" s="167">
        <f t="shared" si="43"/>
        <v>0</v>
      </c>
      <c r="BT35" s="167">
        <f t="shared" si="44"/>
        <v>0</v>
      </c>
      <c r="BU35" s="472">
        <f t="shared" si="33"/>
        <v>0</v>
      </c>
    </row>
    <row r="36" spans="2:73" ht="3" customHeight="1">
      <c r="B36" s="155"/>
      <c r="C36" s="204"/>
      <c r="D36" s="173" t="s">
        <v>1</v>
      </c>
      <c r="E36" s="173" t="s">
        <v>1</v>
      </c>
      <c r="F36" s="173" t="s">
        <v>1</v>
      </c>
      <c r="G36" s="173" t="s">
        <v>1</v>
      </c>
      <c r="H36" s="173" t="s">
        <v>1</v>
      </c>
      <c r="I36" s="173" t="s">
        <v>1</v>
      </c>
      <c r="J36" s="173" t="s">
        <v>1</v>
      </c>
      <c r="K36" s="173" t="s">
        <v>1</v>
      </c>
      <c r="L36" s="173" t="s">
        <v>1</v>
      </c>
      <c r="M36" s="473" t="s">
        <v>1</v>
      </c>
      <c r="N36" s="173" t="s">
        <v>1</v>
      </c>
      <c r="O36" s="173" t="s">
        <v>1</v>
      </c>
      <c r="P36" s="173" t="s">
        <v>1</v>
      </c>
      <c r="Q36" s="173" t="s">
        <v>1</v>
      </c>
      <c r="R36" s="473" t="s">
        <v>1</v>
      </c>
      <c r="S36" s="173" t="s">
        <v>1</v>
      </c>
      <c r="T36" s="173" t="s">
        <v>1</v>
      </c>
      <c r="U36" s="173" t="s">
        <v>1</v>
      </c>
      <c r="V36" s="173" t="s">
        <v>1</v>
      </c>
      <c r="W36" s="473" t="s">
        <v>1</v>
      </c>
      <c r="X36" s="173" t="s">
        <v>1</v>
      </c>
      <c r="Y36" s="173" t="s">
        <v>1</v>
      </c>
      <c r="Z36" s="173" t="s">
        <v>1</v>
      </c>
      <c r="AA36" s="173" t="s">
        <v>1</v>
      </c>
      <c r="AB36" s="473" t="s">
        <v>1</v>
      </c>
      <c r="AC36" s="173" t="s">
        <v>1</v>
      </c>
      <c r="AD36" s="173" t="s">
        <v>1</v>
      </c>
      <c r="AE36" s="173" t="s">
        <v>1</v>
      </c>
      <c r="AF36" s="173" t="s">
        <v>1</v>
      </c>
      <c r="AG36" s="473" t="s">
        <v>1</v>
      </c>
      <c r="AH36" s="173" t="s">
        <v>1</v>
      </c>
      <c r="AI36" s="173" t="s">
        <v>1</v>
      </c>
      <c r="AJ36" s="173" t="s">
        <v>1</v>
      </c>
      <c r="AK36" s="173" t="s">
        <v>1</v>
      </c>
      <c r="AL36" s="473" t="s">
        <v>1</v>
      </c>
      <c r="AM36" s="173" t="s">
        <v>1</v>
      </c>
      <c r="AN36" s="173" t="s">
        <v>1</v>
      </c>
      <c r="AO36" s="173" t="s">
        <v>1</v>
      </c>
      <c r="AP36" s="173" t="s">
        <v>1</v>
      </c>
      <c r="AQ36" s="473" t="s">
        <v>1</v>
      </c>
      <c r="AR36" s="173" t="s">
        <v>1</v>
      </c>
      <c r="AS36" s="173" t="s">
        <v>1</v>
      </c>
      <c r="AT36" s="173" t="s">
        <v>1</v>
      </c>
      <c r="AU36" s="173" t="s">
        <v>1</v>
      </c>
      <c r="AV36" s="473" t="s">
        <v>1</v>
      </c>
      <c r="AW36" s="173" t="s">
        <v>1</v>
      </c>
      <c r="AX36" s="173" t="s">
        <v>1</v>
      </c>
      <c r="AY36" s="173" t="s">
        <v>1</v>
      </c>
      <c r="AZ36" s="173" t="s">
        <v>1</v>
      </c>
      <c r="BA36" s="473" t="s">
        <v>1</v>
      </c>
      <c r="BB36" s="173" t="s">
        <v>1</v>
      </c>
      <c r="BC36" s="173" t="s">
        <v>1</v>
      </c>
      <c r="BD36" s="173" t="s">
        <v>1</v>
      </c>
      <c r="BE36" s="173" t="s">
        <v>1</v>
      </c>
      <c r="BF36" s="473" t="s">
        <v>1</v>
      </c>
      <c r="BG36" s="173" t="s">
        <v>1</v>
      </c>
      <c r="BH36" s="173" t="s">
        <v>1</v>
      </c>
      <c r="BI36" s="173" t="s">
        <v>1</v>
      </c>
      <c r="BJ36" s="173" t="s">
        <v>1</v>
      </c>
      <c r="BK36" s="473" t="s">
        <v>1</v>
      </c>
      <c r="BL36" s="173" t="s">
        <v>1</v>
      </c>
      <c r="BM36" s="173" t="s">
        <v>1</v>
      </c>
      <c r="BN36" s="173" t="s">
        <v>1</v>
      </c>
      <c r="BO36" s="173" t="s">
        <v>1</v>
      </c>
      <c r="BP36" s="473" t="s">
        <v>1</v>
      </c>
      <c r="BQ36" s="173" t="s">
        <v>1</v>
      </c>
      <c r="BR36" s="173" t="s">
        <v>1</v>
      </c>
      <c r="BS36" s="173" t="s">
        <v>1</v>
      </c>
      <c r="BT36" s="173" t="s">
        <v>1</v>
      </c>
      <c r="BU36" s="473" t="s">
        <v>1</v>
      </c>
    </row>
    <row r="37" spans="2:73" ht="13.35" customHeight="1">
      <c r="B37" s="175" t="s">
        <v>106</v>
      </c>
      <c r="C37" s="166"/>
      <c r="D37" s="166" t="e">
        <f>SUM(D28:D35)-#REF!</f>
        <v>#REF!</v>
      </c>
      <c r="E37" s="166" t="e">
        <f>SUM(E28:E35)-#REF!</f>
        <v>#REF!</v>
      </c>
      <c r="F37" s="166" t="e">
        <f>SUM(F28:F35)-#REF!</f>
        <v>#REF!</v>
      </c>
      <c r="G37" s="166" t="e">
        <f>SUM(G28:G35)-#REF!</f>
        <v>#REF!</v>
      </c>
      <c r="H37" s="166" t="e">
        <f>SUM(H28:H35)-#REF!</f>
        <v>#REF!</v>
      </c>
      <c r="I37" s="166" t="e">
        <f>SUM(I28:I35)-#REF!</f>
        <v>#REF!</v>
      </c>
      <c r="J37" s="166" t="e">
        <f>SUM(J28:J35)-#REF!</f>
        <v>#REF!</v>
      </c>
      <c r="K37" s="166" t="e">
        <f>SUM(K28:K35)-#REF!</f>
        <v>#REF!</v>
      </c>
      <c r="L37" s="166" t="e">
        <f>SUM(L28:L35)-#REF!</f>
        <v>#REF!</v>
      </c>
      <c r="M37" s="471">
        <f t="shared" ref="M37:AR37" si="45">SUM(M28:M35)</f>
        <v>115767</v>
      </c>
      <c r="N37" s="166">
        <f t="shared" si="45"/>
        <v>106929</v>
      </c>
      <c r="O37" s="166">
        <f t="shared" si="45"/>
        <v>124405</v>
      </c>
      <c r="P37" s="166">
        <f t="shared" si="45"/>
        <v>130916</v>
      </c>
      <c r="Q37" s="166">
        <f t="shared" si="45"/>
        <v>145609</v>
      </c>
      <c r="R37" s="471">
        <f t="shared" si="45"/>
        <v>145609</v>
      </c>
      <c r="S37" s="166">
        <f t="shared" si="45"/>
        <v>137644</v>
      </c>
      <c r="T37" s="166">
        <f t="shared" si="45"/>
        <v>150343</v>
      </c>
      <c r="U37" s="166">
        <f t="shared" si="45"/>
        <v>161815</v>
      </c>
      <c r="V37" s="166">
        <f t="shared" si="45"/>
        <v>175694</v>
      </c>
      <c r="W37" s="471">
        <f t="shared" si="45"/>
        <v>175694</v>
      </c>
      <c r="X37" s="166">
        <f t="shared" si="45"/>
        <v>166191</v>
      </c>
      <c r="Y37" s="166">
        <f t="shared" si="45"/>
        <v>181157</v>
      </c>
      <c r="Z37" s="166">
        <f t="shared" si="45"/>
        <v>190404</v>
      </c>
      <c r="AA37" s="166">
        <f t="shared" si="45"/>
        <v>234986</v>
      </c>
      <c r="AB37" s="471">
        <f t="shared" si="45"/>
        <v>234986</v>
      </c>
      <c r="AC37" s="166">
        <f t="shared" si="45"/>
        <v>228428</v>
      </c>
      <c r="AD37" s="166">
        <f t="shared" si="45"/>
        <v>251275</v>
      </c>
      <c r="AE37" s="166">
        <f t="shared" si="45"/>
        <v>246782</v>
      </c>
      <c r="AF37" s="166">
        <f t="shared" si="45"/>
        <v>286673</v>
      </c>
      <c r="AG37" s="471">
        <f t="shared" si="45"/>
        <v>286673</v>
      </c>
      <c r="AH37" s="166">
        <f t="shared" si="45"/>
        <v>264881</v>
      </c>
      <c r="AI37" s="166">
        <f t="shared" si="45"/>
        <v>279997</v>
      </c>
      <c r="AJ37" s="166">
        <f t="shared" si="45"/>
        <v>298281</v>
      </c>
      <c r="AK37" s="166">
        <f t="shared" si="45"/>
        <v>353734</v>
      </c>
      <c r="AL37" s="471">
        <f t="shared" si="45"/>
        <v>353734</v>
      </c>
      <c r="AM37" s="166">
        <f t="shared" si="45"/>
        <v>343735</v>
      </c>
      <c r="AN37" s="166">
        <f t="shared" si="45"/>
        <v>414200</v>
      </c>
      <c r="AO37" s="166">
        <f t="shared" si="45"/>
        <v>436542</v>
      </c>
      <c r="AP37" s="166">
        <f t="shared" si="45"/>
        <v>468680</v>
      </c>
      <c r="AQ37" s="471">
        <f t="shared" si="45"/>
        <v>468680</v>
      </c>
      <c r="AR37" s="166">
        <f t="shared" si="45"/>
        <v>459603</v>
      </c>
      <c r="AS37" s="166">
        <f t="shared" ref="AS37:BP37" si="46">SUM(AS28:AS35)</f>
        <v>483670</v>
      </c>
      <c r="AT37" s="166">
        <f t="shared" si="46"/>
        <v>487164</v>
      </c>
      <c r="AU37" s="166">
        <f t="shared" si="46"/>
        <v>531267</v>
      </c>
      <c r="AV37" s="471">
        <f t="shared" si="46"/>
        <v>531267</v>
      </c>
      <c r="AW37" s="166">
        <f t="shared" si="46"/>
        <v>493674</v>
      </c>
      <c r="AX37" s="166">
        <f t="shared" si="46"/>
        <v>520451</v>
      </c>
      <c r="AY37" s="166">
        <f t="shared" si="46"/>
        <v>507597</v>
      </c>
      <c r="AZ37" s="166">
        <f t="shared" si="46"/>
        <v>569792</v>
      </c>
      <c r="BA37" s="471">
        <f t="shared" si="46"/>
        <v>569792</v>
      </c>
      <c r="BB37" s="166">
        <f t="shared" si="46"/>
        <v>524065</v>
      </c>
      <c r="BC37" s="166">
        <f t="shared" si="46"/>
        <v>578613</v>
      </c>
      <c r="BD37" s="166">
        <f t="shared" si="46"/>
        <v>573629</v>
      </c>
      <c r="BE37" s="166">
        <f t="shared" si="46"/>
        <v>630216</v>
      </c>
      <c r="BF37" s="471">
        <f t="shared" si="46"/>
        <v>630216</v>
      </c>
      <c r="BG37" s="166">
        <f t="shared" si="46"/>
        <v>589155</v>
      </c>
      <c r="BH37" s="166">
        <f t="shared" si="46"/>
        <v>555941</v>
      </c>
      <c r="BI37" s="166">
        <f t="shared" si="46"/>
        <v>535008</v>
      </c>
      <c r="BJ37" s="166">
        <f t="shared" si="46"/>
        <v>575370</v>
      </c>
      <c r="BK37" s="471">
        <f t="shared" si="46"/>
        <v>575370</v>
      </c>
      <c r="BL37" s="166">
        <f t="shared" si="46"/>
        <v>545995.91173708334</v>
      </c>
      <c r="BM37" s="166">
        <f t="shared" si="46"/>
        <v>556534.23643644445</v>
      </c>
      <c r="BN37" s="166">
        <f t="shared" si="46"/>
        <v>539385.69576050551</v>
      </c>
      <c r="BO37" s="166">
        <f t="shared" si="46"/>
        <v>580928.86984447169</v>
      </c>
      <c r="BP37" s="471">
        <f t="shared" si="46"/>
        <v>580928.86984447169</v>
      </c>
      <c r="BQ37" s="166">
        <f t="shared" ref="BQ37:BU37" si="47">SUM(BQ28:BQ35)</f>
        <v>552955.14625808748</v>
      </c>
      <c r="BR37" s="166">
        <f t="shared" si="47"/>
        <v>561652.51689588674</v>
      </c>
      <c r="BS37" s="166">
        <f t="shared" si="47"/>
        <v>550576.48230901663</v>
      </c>
      <c r="BT37" s="166">
        <f t="shared" si="47"/>
        <v>603573.48959583114</v>
      </c>
      <c r="BU37" s="471">
        <f t="shared" si="47"/>
        <v>603573.48959583114</v>
      </c>
    </row>
    <row r="38" spans="2:73" ht="3.75" customHeight="1">
      <c r="B38" s="155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472"/>
      <c r="N38" s="167"/>
      <c r="O38" s="167"/>
      <c r="P38" s="167"/>
      <c r="Q38" s="167"/>
      <c r="R38" s="472"/>
      <c r="S38" s="167"/>
      <c r="T38" s="167"/>
      <c r="U38" s="167"/>
      <c r="V38" s="167"/>
      <c r="W38" s="472"/>
      <c r="X38" s="167"/>
      <c r="Y38" s="167"/>
      <c r="Z38" s="167"/>
      <c r="AA38" s="167"/>
      <c r="AB38" s="472"/>
      <c r="AC38" s="167"/>
      <c r="AD38" s="167"/>
      <c r="AE38" s="167"/>
      <c r="AF38" s="167"/>
      <c r="AG38" s="472"/>
      <c r="AH38" s="167"/>
      <c r="AI38" s="167"/>
      <c r="AJ38" s="167"/>
      <c r="AK38" s="167"/>
      <c r="AL38" s="472"/>
      <c r="AM38" s="167"/>
      <c r="AN38" s="167"/>
      <c r="AO38" s="167"/>
      <c r="AP38" s="167"/>
      <c r="AQ38" s="472"/>
      <c r="AR38" s="167"/>
      <c r="AS38" s="167"/>
      <c r="AT38" s="167"/>
      <c r="AU38" s="167"/>
      <c r="AV38" s="472"/>
      <c r="AW38" s="167"/>
      <c r="AX38" s="167"/>
      <c r="AY38" s="167"/>
      <c r="AZ38" s="167"/>
      <c r="BA38" s="472"/>
      <c r="BB38" s="167"/>
      <c r="BC38" s="167"/>
      <c r="BD38" s="167"/>
      <c r="BE38" s="167"/>
      <c r="BF38" s="472"/>
      <c r="BG38" s="167"/>
      <c r="BH38" s="167"/>
      <c r="BI38" s="167"/>
      <c r="BJ38" s="167"/>
      <c r="BK38" s="472"/>
      <c r="BL38" s="167"/>
      <c r="BM38" s="167"/>
      <c r="BN38" s="167"/>
      <c r="BO38" s="167"/>
      <c r="BP38" s="472"/>
      <c r="BQ38" s="167"/>
      <c r="BR38" s="167"/>
      <c r="BS38" s="167"/>
      <c r="BT38" s="167"/>
      <c r="BU38" s="472"/>
    </row>
    <row r="39" spans="2:73" ht="13.35" customHeight="1">
      <c r="B39" s="155" t="s">
        <v>125</v>
      </c>
      <c r="C39" s="167"/>
      <c r="D39" s="167"/>
      <c r="E39" s="167"/>
      <c r="F39" s="167"/>
      <c r="G39" s="167">
        <v>26892</v>
      </c>
      <c r="H39" s="167">
        <v>26892</v>
      </c>
      <c r="I39" s="167">
        <v>28104</v>
      </c>
      <c r="J39" s="167">
        <v>31471</v>
      </c>
      <c r="K39" s="167">
        <v>35805</v>
      </c>
      <c r="L39" s="167">
        <v>42400</v>
      </c>
      <c r="M39" s="472">
        <f t="shared" ref="M39:M44" si="48">+L39</f>
        <v>42400</v>
      </c>
      <c r="N39" s="167">
        <v>41776</v>
      </c>
      <c r="O39" s="167">
        <v>45362</v>
      </c>
      <c r="P39" s="167">
        <v>44601</v>
      </c>
      <c r="Q39" s="167">
        <v>52160</v>
      </c>
      <c r="R39" s="472">
        <f t="shared" ref="R39:R44" si="49">+Q39</f>
        <v>52160</v>
      </c>
      <c r="S39" s="167">
        <v>51083</v>
      </c>
      <c r="T39" s="167">
        <v>54344</v>
      </c>
      <c r="U39" s="167">
        <v>55526</v>
      </c>
      <c r="V39" s="167">
        <v>83373</v>
      </c>
      <c r="W39" s="472">
        <f t="shared" ref="W39:W44" si="50">+V39</f>
        <v>83373</v>
      </c>
      <c r="X39" s="167">
        <v>78450</v>
      </c>
      <c r="Y39" s="167">
        <v>70766</v>
      </c>
      <c r="Z39" s="167">
        <v>63680</v>
      </c>
      <c r="AA39" s="167">
        <v>58716</v>
      </c>
      <c r="AB39" s="472">
        <f t="shared" ref="AB39:AB44" si="51">+AA39</f>
        <v>58716</v>
      </c>
      <c r="AC39" s="167">
        <v>52014</v>
      </c>
      <c r="AD39" s="167">
        <v>44944</v>
      </c>
      <c r="AE39" s="167">
        <v>36620</v>
      </c>
      <c r="AF39" s="167">
        <f>36226</f>
        <v>36226</v>
      </c>
      <c r="AG39" s="472">
        <f t="shared" ref="AG39:AG44" si="52">+AF39</f>
        <v>36226</v>
      </c>
      <c r="AH39" s="167">
        <v>31641</v>
      </c>
      <c r="AI39" s="167">
        <v>33280</v>
      </c>
      <c r="AJ39" s="167">
        <f>30632</f>
        <v>30632</v>
      </c>
      <c r="AK39" s="167">
        <f>31365</f>
        <v>31365</v>
      </c>
      <c r="AL39" s="472">
        <f t="shared" ref="AL39:AL44" si="53">+AK39</f>
        <v>31365</v>
      </c>
      <c r="AM39" s="167">
        <f>28833</f>
        <v>28833</v>
      </c>
      <c r="AN39" s="167">
        <f>30124</f>
        <v>30124</v>
      </c>
      <c r="AO39" s="167">
        <f>27905</f>
        <v>27905</v>
      </c>
      <c r="AP39" s="167">
        <f>33056</f>
        <v>33056</v>
      </c>
      <c r="AQ39" s="472">
        <f t="shared" ref="AQ39:AQ44" si="54">+AP39</f>
        <v>33056</v>
      </c>
      <c r="AR39" s="167">
        <f>30616</f>
        <v>30616</v>
      </c>
      <c r="AS39" s="167">
        <f>33098</f>
        <v>33098</v>
      </c>
      <c r="AT39" s="167">
        <f>31659</f>
        <v>31659</v>
      </c>
      <c r="AU39" s="167">
        <f>31040</f>
        <v>31040</v>
      </c>
      <c r="AV39" s="472">
        <f t="shared" ref="AV39:AV44" si="55">+AU39</f>
        <v>31040</v>
      </c>
      <c r="AW39" s="167">
        <f>31585</f>
        <v>31585</v>
      </c>
      <c r="AX39" s="167">
        <f>30064</f>
        <v>30064</v>
      </c>
      <c r="AY39" s="167">
        <f>29344</f>
        <v>29344</v>
      </c>
      <c r="AZ39" s="167">
        <f>32577</f>
        <v>32577</v>
      </c>
      <c r="BA39" s="472">
        <f t="shared" ref="BA39:BA44" si="56">+AZ39</f>
        <v>32577</v>
      </c>
      <c r="BB39" s="167">
        <f>29207</f>
        <v>29207</v>
      </c>
      <c r="BC39" s="167">
        <f>27512</f>
        <v>27512</v>
      </c>
      <c r="BD39" s="167">
        <f>28239</f>
        <v>28239</v>
      </c>
      <c r="BE39" s="167">
        <f>27078</f>
        <v>27078</v>
      </c>
      <c r="BF39" s="472">
        <f t="shared" ref="BF39:BF44" si="57">+BE39</f>
        <v>27078</v>
      </c>
      <c r="BG39" s="167">
        <f>27524</f>
        <v>27524</v>
      </c>
      <c r="BH39" s="167">
        <f>29183</f>
        <v>29183</v>
      </c>
      <c r="BI39" s="167">
        <f>28342</f>
        <v>28342</v>
      </c>
      <c r="BJ39" s="167">
        <f>29971</f>
        <v>29971</v>
      </c>
      <c r="BK39" s="472">
        <f t="shared" ref="BK39:BK44" si="58">+BJ39</f>
        <v>29971</v>
      </c>
      <c r="BL39" s="167">
        <f>+BJ39*(1+BL116)</f>
        <v>28472.449999999997</v>
      </c>
      <c r="BM39" s="167">
        <f>+BL39*(1+BM116)</f>
        <v>27903.000999999997</v>
      </c>
      <c r="BN39" s="167">
        <f>+BM39*(1+BN116)</f>
        <v>27344.940979999996</v>
      </c>
      <c r="BO39" s="167">
        <f>+BN39*(1+BO116)</f>
        <v>27071.491570199996</v>
      </c>
      <c r="BP39" s="472">
        <f t="shared" ref="BP39:BP44" si="59">+BO39</f>
        <v>27071.491570199996</v>
      </c>
      <c r="BQ39" s="167">
        <f>+BO39*(1+BQ116)</f>
        <v>25717.916991689995</v>
      </c>
      <c r="BR39" s="167">
        <f>+BQ39*(1+BR116)</f>
        <v>25203.558651856194</v>
      </c>
      <c r="BS39" s="167">
        <f>+BR39*(1+BS116)</f>
        <v>24699.487478819068</v>
      </c>
      <c r="BT39" s="167">
        <f>+BS39*(1+BT116)</f>
        <v>24452.492604030878</v>
      </c>
      <c r="BU39" s="472">
        <f t="shared" ref="BU39:BU44" si="60">+BT39</f>
        <v>24452.492604030878</v>
      </c>
    </row>
    <row r="40" spans="2:73" ht="13.35" hidden="1" customHeight="1" outlineLevel="1">
      <c r="B40" s="155" t="s">
        <v>326</v>
      </c>
      <c r="C40" s="167"/>
      <c r="D40" s="167"/>
      <c r="E40" s="167"/>
      <c r="F40" s="167"/>
      <c r="G40" s="167">
        <v>211598</v>
      </c>
      <c r="H40" s="167">
        <v>211598</v>
      </c>
      <c r="I40" s="167">
        <v>222871</v>
      </c>
      <c r="J40" s="167">
        <v>246659</v>
      </c>
      <c r="K40" s="167">
        <v>0</v>
      </c>
      <c r="L40" s="167">
        <v>0</v>
      </c>
      <c r="M40" s="472">
        <f t="shared" si="48"/>
        <v>0</v>
      </c>
      <c r="N40" s="167">
        <v>0</v>
      </c>
      <c r="O40" s="167">
        <v>0</v>
      </c>
      <c r="P40" s="167">
        <v>0</v>
      </c>
      <c r="Q40" s="167">
        <v>0</v>
      </c>
      <c r="R40" s="472">
        <f t="shared" si="49"/>
        <v>0</v>
      </c>
      <c r="S40" s="167">
        <v>0</v>
      </c>
      <c r="T40" s="167">
        <v>0</v>
      </c>
      <c r="U40" s="167">
        <f>+T40</f>
        <v>0</v>
      </c>
      <c r="V40" s="167">
        <v>0</v>
      </c>
      <c r="W40" s="472">
        <f t="shared" si="50"/>
        <v>0</v>
      </c>
      <c r="X40" s="167">
        <v>0</v>
      </c>
      <c r="Y40" s="167">
        <v>0</v>
      </c>
      <c r="Z40" s="167">
        <v>0</v>
      </c>
      <c r="AA40" s="167">
        <v>0</v>
      </c>
      <c r="AB40" s="472">
        <f t="shared" si="51"/>
        <v>0</v>
      </c>
      <c r="AC40" s="167">
        <v>0</v>
      </c>
      <c r="AD40" s="167">
        <f>+AC40</f>
        <v>0</v>
      </c>
      <c r="AE40" s="167">
        <f>+AD40</f>
        <v>0</v>
      </c>
      <c r="AF40" s="167">
        <f>+AE40</f>
        <v>0</v>
      </c>
      <c r="AG40" s="472">
        <f t="shared" si="52"/>
        <v>0</v>
      </c>
      <c r="AH40" s="167">
        <f>+AF40</f>
        <v>0</v>
      </c>
      <c r="AI40" s="167">
        <v>0</v>
      </c>
      <c r="AJ40" s="167">
        <f>+AI40</f>
        <v>0</v>
      </c>
      <c r="AK40" s="167">
        <f>+AJ40</f>
        <v>0</v>
      </c>
      <c r="AL40" s="472">
        <f t="shared" si="53"/>
        <v>0</v>
      </c>
      <c r="AM40" s="167">
        <f>+AK40</f>
        <v>0</v>
      </c>
      <c r="AN40" s="167"/>
      <c r="AO40" s="167"/>
      <c r="AP40" s="167"/>
      <c r="AQ40" s="472">
        <f t="shared" si="54"/>
        <v>0</v>
      </c>
      <c r="AR40" s="167"/>
      <c r="AS40" s="167"/>
      <c r="AT40" s="167"/>
      <c r="AU40" s="167"/>
      <c r="AV40" s="472">
        <f t="shared" si="55"/>
        <v>0</v>
      </c>
      <c r="AW40" s="167"/>
      <c r="AX40" s="167"/>
      <c r="AY40" s="167"/>
      <c r="AZ40" s="167"/>
      <c r="BA40" s="472">
        <f t="shared" si="56"/>
        <v>0</v>
      </c>
      <c r="BB40" s="167"/>
      <c r="BC40" s="167"/>
      <c r="BD40" s="167"/>
      <c r="BE40" s="167"/>
      <c r="BF40" s="472">
        <f t="shared" si="57"/>
        <v>0</v>
      </c>
      <c r="BG40" s="167"/>
      <c r="BH40" s="167"/>
      <c r="BI40" s="167">
        <f t="shared" ref="BH40:BJ44" si="61">+BH40</f>
        <v>0</v>
      </c>
      <c r="BJ40" s="167"/>
      <c r="BK40" s="472">
        <f t="shared" si="58"/>
        <v>0</v>
      </c>
      <c r="BL40" s="167">
        <f>+BJ40</f>
        <v>0</v>
      </c>
      <c r="BM40" s="167">
        <f t="shared" ref="BM40:BO44" si="62">+BL40</f>
        <v>0</v>
      </c>
      <c r="BN40" s="167">
        <f t="shared" si="62"/>
        <v>0</v>
      </c>
      <c r="BO40" s="167">
        <f t="shared" si="62"/>
        <v>0</v>
      </c>
      <c r="BP40" s="472">
        <f t="shared" si="59"/>
        <v>0</v>
      </c>
      <c r="BQ40" s="167">
        <f>+BO40</f>
        <v>0</v>
      </c>
      <c r="BR40" s="167">
        <f t="shared" ref="BR40:BR44" si="63">+BQ40</f>
        <v>0</v>
      </c>
      <c r="BS40" s="167">
        <f t="shared" ref="BS40:BS44" si="64">+BR40</f>
        <v>0</v>
      </c>
      <c r="BT40" s="167">
        <f t="shared" ref="BT40:BT44" si="65">+BS40</f>
        <v>0</v>
      </c>
      <c r="BU40" s="472">
        <f t="shared" si="60"/>
        <v>0</v>
      </c>
    </row>
    <row r="41" spans="2:73" ht="13.35" customHeight="1" collapsed="1">
      <c r="B41" s="155" t="s">
        <v>330</v>
      </c>
      <c r="C41" s="167"/>
      <c r="D41" s="167"/>
      <c r="E41" s="167"/>
      <c r="F41" s="167"/>
      <c r="G41" s="167">
        <v>0</v>
      </c>
      <c r="H41" s="167">
        <v>0</v>
      </c>
      <c r="I41" s="167">
        <v>0</v>
      </c>
      <c r="J41" s="167">
        <v>0</v>
      </c>
      <c r="K41" s="167">
        <v>0</v>
      </c>
      <c r="L41" s="167">
        <v>0</v>
      </c>
      <c r="M41" s="472">
        <f t="shared" si="48"/>
        <v>0</v>
      </c>
      <c r="N41" s="167">
        <v>0</v>
      </c>
      <c r="O41" s="167">
        <v>0</v>
      </c>
      <c r="P41" s="167">
        <v>0</v>
      </c>
      <c r="Q41" s="167">
        <v>0</v>
      </c>
      <c r="R41" s="472">
        <f t="shared" si="49"/>
        <v>0</v>
      </c>
      <c r="S41" s="167">
        <v>0</v>
      </c>
      <c r="T41" s="167">
        <v>0</v>
      </c>
      <c r="U41" s="167">
        <f>+T41</f>
        <v>0</v>
      </c>
      <c r="V41" s="167">
        <v>0</v>
      </c>
      <c r="W41" s="472">
        <f>+V41</f>
        <v>0</v>
      </c>
      <c r="X41" s="167">
        <v>0</v>
      </c>
      <c r="Y41" s="167">
        <v>0</v>
      </c>
      <c r="Z41" s="167">
        <v>172165</v>
      </c>
      <c r="AA41" s="167">
        <v>174688</v>
      </c>
      <c r="AB41" s="472">
        <f>+AA41</f>
        <v>174688</v>
      </c>
      <c r="AC41" s="167">
        <v>177198</v>
      </c>
      <c r="AD41" s="167">
        <v>179791</v>
      </c>
      <c r="AE41" s="167">
        <v>182471</v>
      </c>
      <c r="AF41" s="167">
        <f>185200</f>
        <v>185200</v>
      </c>
      <c r="AG41" s="472">
        <f>+AF41</f>
        <v>185200</v>
      </c>
      <c r="AH41" s="167">
        <v>187944</v>
      </c>
      <c r="AI41" s="167">
        <v>368161</v>
      </c>
      <c r="AJ41" s="167">
        <f>373318</f>
        <v>373318</v>
      </c>
      <c r="AK41" s="167">
        <f>378586</f>
        <v>378586</v>
      </c>
      <c r="AL41" s="472">
        <f>+AK41</f>
        <v>378586</v>
      </c>
      <c r="AM41" s="167">
        <f>855709</f>
        <v>855709</v>
      </c>
      <c r="AN41" s="167">
        <f>810093</f>
        <v>810093</v>
      </c>
      <c r="AO41" s="167">
        <f>811068</f>
        <v>811068</v>
      </c>
      <c r="AP41" s="167">
        <f>812063</f>
        <v>812063</v>
      </c>
      <c r="AQ41" s="472">
        <f t="shared" si="54"/>
        <v>812063</v>
      </c>
      <c r="AR41" s="167">
        <f>812995</f>
        <v>812995</v>
      </c>
      <c r="AS41" s="167">
        <f>813950</f>
        <v>813950</v>
      </c>
      <c r="AT41" s="167">
        <f>814947</f>
        <v>814947</v>
      </c>
      <c r="AU41" s="167">
        <f>815948</f>
        <v>815948</v>
      </c>
      <c r="AV41" s="472">
        <f t="shared" si="55"/>
        <v>815948</v>
      </c>
      <c r="AW41" s="167">
        <f>816894</f>
        <v>816894</v>
      </c>
      <c r="AX41" s="167">
        <f>817873</f>
        <v>817873</v>
      </c>
      <c r="AY41" s="167">
        <f>928892</f>
        <v>928892</v>
      </c>
      <c r="AZ41" s="167">
        <f>929996</f>
        <v>929996</v>
      </c>
      <c r="BA41" s="472">
        <f t="shared" si="56"/>
        <v>929996</v>
      </c>
      <c r="BB41" s="167">
        <f>931001</f>
        <v>931001</v>
      </c>
      <c r="BC41" s="167">
        <f>886272</f>
        <v>886272</v>
      </c>
      <c r="BD41" s="167">
        <f>887362</f>
        <v>887362</v>
      </c>
      <c r="BE41" s="167">
        <f>888356</f>
        <v>888356</v>
      </c>
      <c r="BF41" s="472">
        <f t="shared" si="57"/>
        <v>888356</v>
      </c>
      <c r="BG41" s="167">
        <f>889303</f>
        <v>889303</v>
      </c>
      <c r="BH41" s="167">
        <f>890277</f>
        <v>890277</v>
      </c>
      <c r="BI41" s="167">
        <f>891279</f>
        <v>891279</v>
      </c>
      <c r="BJ41" s="167">
        <f>892284</f>
        <v>892284</v>
      </c>
      <c r="BK41" s="472">
        <f t="shared" si="58"/>
        <v>892284</v>
      </c>
      <c r="BL41" s="167">
        <f>+BJ41</f>
        <v>892284</v>
      </c>
      <c r="BM41" s="167">
        <f t="shared" si="62"/>
        <v>892284</v>
      </c>
      <c r="BN41" s="167">
        <f t="shared" si="62"/>
        <v>892284</v>
      </c>
      <c r="BO41" s="167">
        <f t="shared" si="62"/>
        <v>892284</v>
      </c>
      <c r="BP41" s="472">
        <f t="shared" si="59"/>
        <v>892284</v>
      </c>
      <c r="BQ41" s="167">
        <f>+BO41</f>
        <v>892284</v>
      </c>
      <c r="BR41" s="167">
        <f t="shared" si="63"/>
        <v>892284</v>
      </c>
      <c r="BS41" s="167">
        <f t="shared" si="64"/>
        <v>892284</v>
      </c>
      <c r="BT41" s="167">
        <f t="shared" si="65"/>
        <v>892284</v>
      </c>
      <c r="BU41" s="472">
        <f t="shared" si="60"/>
        <v>892284</v>
      </c>
    </row>
    <row r="42" spans="2:73" ht="13.35" customHeight="1">
      <c r="B42" s="155" t="s">
        <v>346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472">
        <f t="shared" si="48"/>
        <v>0</v>
      </c>
      <c r="N42" s="167"/>
      <c r="O42" s="167"/>
      <c r="P42" s="167"/>
      <c r="Q42" s="167"/>
      <c r="R42" s="472">
        <f t="shared" si="49"/>
        <v>0</v>
      </c>
      <c r="S42" s="167"/>
      <c r="T42" s="167"/>
      <c r="U42" s="167"/>
      <c r="V42" s="167"/>
      <c r="W42" s="472">
        <f>+V42</f>
        <v>0</v>
      </c>
      <c r="X42" s="167"/>
      <c r="Y42" s="167"/>
      <c r="Z42" s="167"/>
      <c r="AA42" s="167"/>
      <c r="AB42" s="472">
        <f>+AA42</f>
        <v>0</v>
      </c>
      <c r="AC42" s="167">
        <v>16394</v>
      </c>
      <c r="AD42" s="167">
        <f>71722</f>
        <v>71722</v>
      </c>
      <c r="AE42" s="167">
        <v>73266</v>
      </c>
      <c r="AF42" s="167">
        <f>72294</f>
        <v>72294</v>
      </c>
      <c r="AG42" s="472">
        <f t="shared" si="52"/>
        <v>72294</v>
      </c>
      <c r="AH42" s="167">
        <v>71586</v>
      </c>
      <c r="AI42" s="167">
        <v>80081</v>
      </c>
      <c r="AJ42" s="167">
        <f>77863</f>
        <v>77863</v>
      </c>
      <c r="AK42" s="167">
        <f>75737</f>
        <v>75737</v>
      </c>
      <c r="AL42" s="472">
        <f>+AK42</f>
        <v>75737</v>
      </c>
      <c r="AM42" s="167">
        <f>73466</f>
        <v>73466</v>
      </c>
      <c r="AN42" s="167">
        <f>71691</f>
        <v>71691</v>
      </c>
      <c r="AO42" s="167">
        <f>69418</f>
        <v>69418</v>
      </c>
      <c r="AP42" s="167">
        <f>90865</f>
        <v>90865</v>
      </c>
      <c r="AQ42" s="472">
        <f t="shared" si="54"/>
        <v>90865</v>
      </c>
      <c r="AR42" s="167">
        <f>93954</f>
        <v>93954</v>
      </c>
      <c r="AS42" s="167">
        <f>89473</f>
        <v>89473</v>
      </c>
      <c r="AT42" s="167">
        <f>90427</f>
        <v>90427</v>
      </c>
      <c r="AU42" s="167">
        <f>85946</f>
        <v>85946</v>
      </c>
      <c r="AV42" s="472">
        <f t="shared" si="55"/>
        <v>85946</v>
      </c>
      <c r="AW42" s="167">
        <f>84114</f>
        <v>84114</v>
      </c>
      <c r="AX42" s="167">
        <f>84751</f>
        <v>84751</v>
      </c>
      <c r="AY42" s="167">
        <f>81065</f>
        <v>81065</v>
      </c>
      <c r="AZ42" s="167">
        <f>81130</f>
        <v>81130</v>
      </c>
      <c r="BA42" s="472">
        <f t="shared" si="56"/>
        <v>81130</v>
      </c>
      <c r="BB42" s="167">
        <f>77069</f>
        <v>77069</v>
      </c>
      <c r="BC42" s="167">
        <f>73425</f>
        <v>73425</v>
      </c>
      <c r="BD42" s="167">
        <f>72555</f>
        <v>72555</v>
      </c>
      <c r="BE42" s="167">
        <f>68430</f>
        <v>68430</v>
      </c>
      <c r="BF42" s="472">
        <f t="shared" si="57"/>
        <v>68430</v>
      </c>
      <c r="BG42" s="167">
        <f>65484</f>
        <v>65484</v>
      </c>
      <c r="BH42" s="167">
        <f>62187</f>
        <v>62187</v>
      </c>
      <c r="BI42" s="167">
        <f>63551</f>
        <v>63551</v>
      </c>
      <c r="BJ42" s="167">
        <f>59908</f>
        <v>59908</v>
      </c>
      <c r="BK42" s="472">
        <f t="shared" si="58"/>
        <v>59908</v>
      </c>
      <c r="BL42" s="167">
        <f>+BK42</f>
        <v>59908</v>
      </c>
      <c r="BM42" s="167">
        <f t="shared" si="62"/>
        <v>59908</v>
      </c>
      <c r="BN42" s="167">
        <f t="shared" si="62"/>
        <v>59908</v>
      </c>
      <c r="BO42" s="167">
        <f t="shared" si="62"/>
        <v>59908</v>
      </c>
      <c r="BP42" s="472">
        <f t="shared" si="59"/>
        <v>59908</v>
      </c>
      <c r="BQ42" s="167">
        <f>+BP42</f>
        <v>59908</v>
      </c>
      <c r="BR42" s="167">
        <f t="shared" si="63"/>
        <v>59908</v>
      </c>
      <c r="BS42" s="167">
        <f t="shared" si="64"/>
        <v>59908</v>
      </c>
      <c r="BT42" s="167">
        <f t="shared" si="65"/>
        <v>59908</v>
      </c>
      <c r="BU42" s="472">
        <f t="shared" si="60"/>
        <v>59908</v>
      </c>
    </row>
    <row r="43" spans="2:73" ht="13.35" customHeight="1">
      <c r="B43" s="155" t="s">
        <v>119</v>
      </c>
      <c r="C43" s="204"/>
      <c r="D43" s="167"/>
      <c r="E43" s="167"/>
      <c r="F43" s="167"/>
      <c r="G43" s="167">
        <v>4218</v>
      </c>
      <c r="H43" s="167">
        <v>4218</v>
      </c>
      <c r="I43" s="167">
        <v>3958</v>
      </c>
      <c r="J43" s="167">
        <v>5050</v>
      </c>
      <c r="K43" s="167">
        <v>4305</v>
      </c>
      <c r="L43" s="167">
        <v>4319</v>
      </c>
      <c r="M43" s="472">
        <f t="shared" si="48"/>
        <v>4319</v>
      </c>
      <c r="N43" s="167">
        <v>4460</v>
      </c>
      <c r="O43" s="167">
        <v>2939</v>
      </c>
      <c r="P43" s="167">
        <v>2872</v>
      </c>
      <c r="Q43" s="167">
        <v>3496</v>
      </c>
      <c r="R43" s="472">
        <f t="shared" si="49"/>
        <v>3496</v>
      </c>
      <c r="S43" s="167">
        <v>3187</v>
      </c>
      <c r="T43" s="167">
        <v>2539</v>
      </c>
      <c r="U43" s="167">
        <v>2333</v>
      </c>
      <c r="V43" s="167">
        <v>2238</v>
      </c>
      <c r="W43" s="472">
        <f t="shared" si="50"/>
        <v>2238</v>
      </c>
      <c r="X43" s="167">
        <v>1907</v>
      </c>
      <c r="Y43" s="167">
        <v>2305</v>
      </c>
      <c r="Z43" s="167">
        <v>2607</v>
      </c>
      <c r="AA43" s="167">
        <v>3660</v>
      </c>
      <c r="AB43" s="472">
        <f t="shared" si="51"/>
        <v>3660</v>
      </c>
      <c r="AC43" s="167">
        <f>1021</f>
        <v>1021</v>
      </c>
      <c r="AD43" s="167">
        <v>1023</v>
      </c>
      <c r="AE43" s="167">
        <v>1280</v>
      </c>
      <c r="AF43" s="167">
        <f>1352</f>
        <v>1352</v>
      </c>
      <c r="AG43" s="472">
        <f t="shared" si="52"/>
        <v>1352</v>
      </c>
      <c r="AH43" s="167">
        <v>1325</v>
      </c>
      <c r="AI43" s="167">
        <v>8204</v>
      </c>
      <c r="AJ43" s="167">
        <f>1370</f>
        <v>1370</v>
      </c>
      <c r="AK43" s="167">
        <f>2164</f>
        <v>2164</v>
      </c>
      <c r="AL43" s="472">
        <f t="shared" si="53"/>
        <v>2164</v>
      </c>
      <c r="AM43" s="167">
        <f>2175</f>
        <v>2175</v>
      </c>
      <c r="AN43" s="167">
        <f>9596</f>
        <v>9596</v>
      </c>
      <c r="AO43" s="167">
        <f>20950</f>
        <v>20950</v>
      </c>
      <c r="AP43" s="167">
        <f>17342</f>
        <v>17342</v>
      </c>
      <c r="AQ43" s="472">
        <f t="shared" si="54"/>
        <v>17342</v>
      </c>
      <c r="AR43" s="167">
        <f>13253</f>
        <v>13253</v>
      </c>
      <c r="AS43" s="167">
        <f>13512</f>
        <v>13512</v>
      </c>
      <c r="AT43" s="167">
        <f>13636</f>
        <v>13636</v>
      </c>
      <c r="AU43" s="167">
        <f>14864</f>
        <v>14864</v>
      </c>
      <c r="AV43" s="472">
        <f t="shared" si="55"/>
        <v>14864</v>
      </c>
      <c r="AW43" s="167">
        <f>13364</f>
        <v>13364</v>
      </c>
      <c r="AX43" s="167">
        <f>13542</f>
        <v>13542</v>
      </c>
      <c r="AY43" s="167">
        <f>14047</f>
        <v>14047</v>
      </c>
      <c r="AZ43" s="167">
        <f>10032</f>
        <v>10032</v>
      </c>
      <c r="BA43" s="472">
        <f t="shared" si="56"/>
        <v>10032</v>
      </c>
      <c r="BB43" s="167">
        <f>13580</f>
        <v>13580</v>
      </c>
      <c r="BC43" s="167">
        <v>13691</v>
      </c>
      <c r="BD43" s="167">
        <f>19050</f>
        <v>19050</v>
      </c>
      <c r="BE43" s="167">
        <f>20243</f>
        <v>20243</v>
      </c>
      <c r="BF43" s="472">
        <f t="shared" si="57"/>
        <v>20243</v>
      </c>
      <c r="BG43" s="167">
        <f>20622</f>
        <v>20622</v>
      </c>
      <c r="BH43" s="167">
        <f>20705</f>
        <v>20705</v>
      </c>
      <c r="BI43" s="167">
        <f>21011</f>
        <v>21011</v>
      </c>
      <c r="BJ43" s="167">
        <f>14201</f>
        <v>14201</v>
      </c>
      <c r="BK43" s="472">
        <f t="shared" si="58"/>
        <v>14201</v>
      </c>
      <c r="BL43" s="167">
        <f>+BJ43</f>
        <v>14201</v>
      </c>
      <c r="BM43" s="167">
        <f t="shared" si="62"/>
        <v>14201</v>
      </c>
      <c r="BN43" s="167">
        <f t="shared" si="62"/>
        <v>14201</v>
      </c>
      <c r="BO43" s="167">
        <f t="shared" si="62"/>
        <v>14201</v>
      </c>
      <c r="BP43" s="472">
        <f t="shared" si="59"/>
        <v>14201</v>
      </c>
      <c r="BQ43" s="167">
        <f>+BO43</f>
        <v>14201</v>
      </c>
      <c r="BR43" s="167">
        <f t="shared" si="63"/>
        <v>14201</v>
      </c>
      <c r="BS43" s="167">
        <f t="shared" si="64"/>
        <v>14201</v>
      </c>
      <c r="BT43" s="167">
        <f t="shared" si="65"/>
        <v>14201</v>
      </c>
      <c r="BU43" s="472">
        <f t="shared" si="60"/>
        <v>14201</v>
      </c>
    </row>
    <row r="44" spans="2:73" ht="13.35" hidden="1" customHeight="1" outlineLevel="1">
      <c r="B44" s="155" t="s">
        <v>163</v>
      </c>
      <c r="C44" s="204"/>
      <c r="D44" s="167"/>
      <c r="E44" s="167"/>
      <c r="F44" s="167"/>
      <c r="G44" s="167">
        <v>16871</v>
      </c>
      <c r="H44" s="167">
        <v>16871</v>
      </c>
      <c r="I44" s="167">
        <v>15306</v>
      </c>
      <c r="J44" s="167">
        <v>13172</v>
      </c>
      <c r="K44" s="167">
        <v>0</v>
      </c>
      <c r="L44" s="167">
        <v>0</v>
      </c>
      <c r="M44" s="472">
        <f t="shared" si="48"/>
        <v>0</v>
      </c>
      <c r="N44" s="167">
        <v>0</v>
      </c>
      <c r="O44" s="167">
        <v>0</v>
      </c>
      <c r="P44" s="167">
        <v>0</v>
      </c>
      <c r="Q44" s="167">
        <v>0</v>
      </c>
      <c r="R44" s="472">
        <f t="shared" si="49"/>
        <v>0</v>
      </c>
      <c r="S44" s="167">
        <v>0</v>
      </c>
      <c r="T44" s="167">
        <v>0</v>
      </c>
      <c r="U44" s="167">
        <f>+T44</f>
        <v>0</v>
      </c>
      <c r="V44" s="167">
        <v>0</v>
      </c>
      <c r="W44" s="472">
        <f t="shared" si="50"/>
        <v>0</v>
      </c>
      <c r="X44" s="167">
        <v>0</v>
      </c>
      <c r="Y44" s="167">
        <v>0</v>
      </c>
      <c r="Z44" s="167">
        <v>0</v>
      </c>
      <c r="AA44" s="167">
        <v>0</v>
      </c>
      <c r="AB44" s="472">
        <f t="shared" si="51"/>
        <v>0</v>
      </c>
      <c r="AC44" s="167">
        <v>0</v>
      </c>
      <c r="AD44" s="167">
        <f>+AC44</f>
        <v>0</v>
      </c>
      <c r="AE44" s="167">
        <f>+AD44</f>
        <v>0</v>
      </c>
      <c r="AF44" s="167">
        <f>+AE44</f>
        <v>0</v>
      </c>
      <c r="AG44" s="472">
        <f t="shared" si="52"/>
        <v>0</v>
      </c>
      <c r="AH44" s="167">
        <f>+AF44</f>
        <v>0</v>
      </c>
      <c r="AI44" s="167">
        <f>+AH44</f>
        <v>0</v>
      </c>
      <c r="AJ44" s="167">
        <f>+AI44</f>
        <v>0</v>
      </c>
      <c r="AK44" s="167">
        <f>+AJ44</f>
        <v>0</v>
      </c>
      <c r="AL44" s="472">
        <f t="shared" si="53"/>
        <v>0</v>
      </c>
      <c r="AM44" s="167">
        <f>+AK44</f>
        <v>0</v>
      </c>
      <c r="AN44" s="167">
        <f>+AM44</f>
        <v>0</v>
      </c>
      <c r="AO44" s="167">
        <f>+AN44</f>
        <v>0</v>
      </c>
      <c r="AP44" s="167">
        <f>+AO44</f>
        <v>0</v>
      </c>
      <c r="AQ44" s="472">
        <f t="shared" si="54"/>
        <v>0</v>
      </c>
      <c r="AR44" s="167">
        <f>+AP44</f>
        <v>0</v>
      </c>
      <c r="AS44" s="167">
        <f>+AR44</f>
        <v>0</v>
      </c>
      <c r="AT44" s="167">
        <f>+AS44</f>
        <v>0</v>
      </c>
      <c r="AU44" s="167">
        <f>+AT44</f>
        <v>0</v>
      </c>
      <c r="AV44" s="472">
        <f t="shared" si="55"/>
        <v>0</v>
      </c>
      <c r="AW44" s="167">
        <f>+AU44</f>
        <v>0</v>
      </c>
      <c r="AX44" s="167">
        <f>+AW44</f>
        <v>0</v>
      </c>
      <c r="AY44" s="167">
        <f>+AX44</f>
        <v>0</v>
      </c>
      <c r="AZ44" s="167">
        <f>+AY44</f>
        <v>0</v>
      </c>
      <c r="BA44" s="472">
        <f t="shared" si="56"/>
        <v>0</v>
      </c>
      <c r="BB44" s="167">
        <f>+AZ44</f>
        <v>0</v>
      </c>
      <c r="BC44" s="167">
        <f>+BB44</f>
        <v>0</v>
      </c>
      <c r="BD44" s="167">
        <f>+BC44</f>
        <v>0</v>
      </c>
      <c r="BE44" s="167">
        <f>+BD44</f>
        <v>0</v>
      </c>
      <c r="BF44" s="472">
        <f t="shared" si="57"/>
        <v>0</v>
      </c>
      <c r="BG44" s="167">
        <f>+BE44</f>
        <v>0</v>
      </c>
      <c r="BH44" s="167">
        <f t="shared" si="61"/>
        <v>0</v>
      </c>
      <c r="BI44" s="167">
        <f t="shared" si="61"/>
        <v>0</v>
      </c>
      <c r="BJ44" s="167">
        <f t="shared" si="61"/>
        <v>0</v>
      </c>
      <c r="BK44" s="472">
        <f t="shared" si="58"/>
        <v>0</v>
      </c>
      <c r="BL44" s="167">
        <f>+BJ44</f>
        <v>0</v>
      </c>
      <c r="BM44" s="167">
        <f t="shared" si="62"/>
        <v>0</v>
      </c>
      <c r="BN44" s="167">
        <f t="shared" si="62"/>
        <v>0</v>
      </c>
      <c r="BO44" s="167">
        <f t="shared" si="62"/>
        <v>0</v>
      </c>
      <c r="BP44" s="472">
        <f t="shared" si="59"/>
        <v>0</v>
      </c>
      <c r="BQ44" s="167">
        <f>+BO44</f>
        <v>0</v>
      </c>
      <c r="BR44" s="167">
        <f t="shared" si="63"/>
        <v>0</v>
      </c>
      <c r="BS44" s="167">
        <f t="shared" si="64"/>
        <v>0</v>
      </c>
      <c r="BT44" s="167">
        <f t="shared" si="65"/>
        <v>0</v>
      </c>
      <c r="BU44" s="472">
        <f t="shared" si="60"/>
        <v>0</v>
      </c>
    </row>
    <row r="45" spans="2:73" ht="3.75" customHeight="1" collapsed="1">
      <c r="B45" s="155"/>
      <c r="C45" s="204"/>
      <c r="D45" s="173" t="s">
        <v>1</v>
      </c>
      <c r="E45" s="173" t="s">
        <v>1</v>
      </c>
      <c r="F45" s="173" t="s">
        <v>1</v>
      </c>
      <c r="G45" s="173" t="s">
        <v>1</v>
      </c>
      <c r="H45" s="173" t="s">
        <v>1</v>
      </c>
      <c r="I45" s="173" t="s">
        <v>1</v>
      </c>
      <c r="J45" s="173" t="s">
        <v>1</v>
      </c>
      <c r="K45" s="173" t="s">
        <v>1</v>
      </c>
      <c r="L45" s="173" t="s">
        <v>1</v>
      </c>
      <c r="M45" s="473" t="s">
        <v>1</v>
      </c>
      <c r="N45" s="173" t="s">
        <v>1</v>
      </c>
      <c r="O45" s="173" t="s">
        <v>1</v>
      </c>
      <c r="P45" s="173" t="s">
        <v>1</v>
      </c>
      <c r="Q45" s="173" t="s">
        <v>1</v>
      </c>
      <c r="R45" s="473" t="s">
        <v>1</v>
      </c>
      <c r="S45" s="173" t="s">
        <v>1</v>
      </c>
      <c r="T45" s="173" t="s">
        <v>1</v>
      </c>
      <c r="U45" s="173" t="s">
        <v>1</v>
      </c>
      <c r="V45" s="173" t="s">
        <v>1</v>
      </c>
      <c r="W45" s="473" t="s">
        <v>1</v>
      </c>
      <c r="X45" s="173" t="s">
        <v>1</v>
      </c>
      <c r="Y45" s="173" t="s">
        <v>1</v>
      </c>
      <c r="Z45" s="173" t="s">
        <v>1</v>
      </c>
      <c r="AA45" s="173" t="s">
        <v>1</v>
      </c>
      <c r="AB45" s="473" t="s">
        <v>1</v>
      </c>
      <c r="AC45" s="173" t="s">
        <v>1</v>
      </c>
      <c r="AD45" s="173" t="s">
        <v>1</v>
      </c>
      <c r="AE45" s="173" t="s">
        <v>1</v>
      </c>
      <c r="AF45" s="173" t="s">
        <v>1</v>
      </c>
      <c r="AG45" s="473" t="s">
        <v>1</v>
      </c>
      <c r="AH45" s="173" t="s">
        <v>1</v>
      </c>
      <c r="AI45" s="173" t="s">
        <v>1</v>
      </c>
      <c r="AJ45" s="173" t="s">
        <v>1</v>
      </c>
      <c r="AK45" s="173" t="s">
        <v>1</v>
      </c>
      <c r="AL45" s="473" t="s">
        <v>1</v>
      </c>
      <c r="AM45" s="173" t="s">
        <v>1</v>
      </c>
      <c r="AN45" s="173" t="s">
        <v>1</v>
      </c>
      <c r="AO45" s="173" t="s">
        <v>1</v>
      </c>
      <c r="AP45" s="173" t="s">
        <v>1</v>
      </c>
      <c r="AQ45" s="473" t="s">
        <v>1</v>
      </c>
      <c r="AR45" s="173" t="s">
        <v>1</v>
      </c>
      <c r="AS45" s="173" t="s">
        <v>1</v>
      </c>
      <c r="AT45" s="173" t="s">
        <v>1</v>
      </c>
      <c r="AU45" s="173" t="s">
        <v>1</v>
      </c>
      <c r="AV45" s="473" t="s">
        <v>1</v>
      </c>
      <c r="AW45" s="173" t="s">
        <v>1</v>
      </c>
      <c r="AX45" s="173" t="s">
        <v>1</v>
      </c>
      <c r="AY45" s="173" t="s">
        <v>1</v>
      </c>
      <c r="AZ45" s="173" t="s">
        <v>1</v>
      </c>
      <c r="BA45" s="473" t="s">
        <v>1</v>
      </c>
      <c r="BB45" s="173" t="s">
        <v>1</v>
      </c>
      <c r="BC45" s="173" t="s">
        <v>1</v>
      </c>
      <c r="BD45" s="173" t="s">
        <v>1</v>
      </c>
      <c r="BE45" s="173" t="s">
        <v>1</v>
      </c>
      <c r="BF45" s="473" t="s">
        <v>1</v>
      </c>
      <c r="BG45" s="173" t="s">
        <v>1</v>
      </c>
      <c r="BH45" s="173" t="s">
        <v>1</v>
      </c>
      <c r="BI45" s="173" t="s">
        <v>1</v>
      </c>
      <c r="BJ45" s="173" t="s">
        <v>1</v>
      </c>
      <c r="BK45" s="473" t="s">
        <v>1</v>
      </c>
      <c r="BL45" s="173" t="s">
        <v>1</v>
      </c>
      <c r="BM45" s="173" t="s">
        <v>1</v>
      </c>
      <c r="BN45" s="173" t="s">
        <v>1</v>
      </c>
      <c r="BO45" s="173" t="s">
        <v>1</v>
      </c>
      <c r="BP45" s="473" t="s">
        <v>1</v>
      </c>
      <c r="BQ45" s="173" t="s">
        <v>1</v>
      </c>
      <c r="BR45" s="173" t="s">
        <v>1</v>
      </c>
      <c r="BS45" s="173" t="s">
        <v>1</v>
      </c>
      <c r="BT45" s="173" t="s">
        <v>1</v>
      </c>
      <c r="BU45" s="473" t="s">
        <v>1</v>
      </c>
    </row>
    <row r="46" spans="2:73" ht="13.35" customHeight="1">
      <c r="B46" s="175" t="s">
        <v>107</v>
      </c>
      <c r="C46" s="166"/>
      <c r="D46" s="166" t="e">
        <f>SUM(D37:D44)-#REF!</f>
        <v>#REF!</v>
      </c>
      <c r="E46" s="166" t="e">
        <f>SUM(E37:E44)-#REF!</f>
        <v>#REF!</v>
      </c>
      <c r="F46" s="166" t="e">
        <f>SUM(F37:F44)-#REF!</f>
        <v>#REF!</v>
      </c>
      <c r="G46" s="166" t="e">
        <f>SUM(G37:G44)-#REF!</f>
        <v>#REF!</v>
      </c>
      <c r="H46" s="166" t="e">
        <f>SUM(H37:H44)-#REF!</f>
        <v>#REF!</v>
      </c>
      <c r="I46" s="166" t="e">
        <f>SUM(I37:I44)-#REF!</f>
        <v>#REF!</v>
      </c>
      <c r="J46" s="166" t="e">
        <f>SUM(J37:J44)-#REF!</f>
        <v>#REF!</v>
      </c>
      <c r="K46" s="166" t="e">
        <f>SUM(K37:K44)-#REF!</f>
        <v>#REF!</v>
      </c>
      <c r="L46" s="166" t="e">
        <f>SUM(L37:L44)-#REF!</f>
        <v>#REF!</v>
      </c>
      <c r="M46" s="471">
        <f t="shared" ref="M46:S46" si="66">SUM(M37:M44)</f>
        <v>162486</v>
      </c>
      <c r="N46" s="166">
        <f t="shared" si="66"/>
        <v>153165</v>
      </c>
      <c r="O46" s="166">
        <f t="shared" si="66"/>
        <v>172706</v>
      </c>
      <c r="P46" s="166">
        <f t="shared" si="66"/>
        <v>178389</v>
      </c>
      <c r="Q46" s="166">
        <f t="shared" si="66"/>
        <v>201265</v>
      </c>
      <c r="R46" s="471">
        <f t="shared" si="66"/>
        <v>201265</v>
      </c>
      <c r="S46" s="166">
        <f t="shared" si="66"/>
        <v>191914</v>
      </c>
      <c r="T46" s="166">
        <f t="shared" ref="T46:AQ46" si="67">SUM(T37:T44)</f>
        <v>207226</v>
      </c>
      <c r="U46" s="166">
        <f t="shared" si="67"/>
        <v>219674</v>
      </c>
      <c r="V46" s="166">
        <f t="shared" si="67"/>
        <v>261305</v>
      </c>
      <c r="W46" s="471">
        <f t="shared" si="67"/>
        <v>261305</v>
      </c>
      <c r="X46" s="166">
        <f t="shared" si="67"/>
        <v>246548</v>
      </c>
      <c r="Y46" s="166">
        <f t="shared" si="67"/>
        <v>254228</v>
      </c>
      <c r="Z46" s="166">
        <f t="shared" si="67"/>
        <v>428856</v>
      </c>
      <c r="AA46" s="166">
        <f t="shared" si="67"/>
        <v>472050</v>
      </c>
      <c r="AB46" s="471">
        <f t="shared" si="67"/>
        <v>472050</v>
      </c>
      <c r="AC46" s="166">
        <f t="shared" si="67"/>
        <v>475055</v>
      </c>
      <c r="AD46" s="166">
        <f t="shared" si="67"/>
        <v>548755</v>
      </c>
      <c r="AE46" s="166">
        <f t="shared" si="67"/>
        <v>540419</v>
      </c>
      <c r="AF46" s="166">
        <f t="shared" si="67"/>
        <v>581745</v>
      </c>
      <c r="AG46" s="471">
        <f t="shared" si="67"/>
        <v>581745</v>
      </c>
      <c r="AH46" s="166">
        <f t="shared" si="67"/>
        <v>557377</v>
      </c>
      <c r="AI46" s="166">
        <f t="shared" si="67"/>
        <v>769723</v>
      </c>
      <c r="AJ46" s="166">
        <f t="shared" si="67"/>
        <v>781464</v>
      </c>
      <c r="AK46" s="166">
        <f t="shared" si="67"/>
        <v>841586</v>
      </c>
      <c r="AL46" s="471">
        <f t="shared" si="67"/>
        <v>841586</v>
      </c>
      <c r="AM46" s="166">
        <f t="shared" si="67"/>
        <v>1303918</v>
      </c>
      <c r="AN46" s="166">
        <f t="shared" si="67"/>
        <v>1335704</v>
      </c>
      <c r="AO46" s="166">
        <f t="shared" si="67"/>
        <v>1365883</v>
      </c>
      <c r="AP46" s="166">
        <f t="shared" si="67"/>
        <v>1422006</v>
      </c>
      <c r="AQ46" s="471">
        <f t="shared" si="67"/>
        <v>1422006</v>
      </c>
      <c r="AR46" s="166">
        <f t="shared" ref="AR46:AU46" si="68">SUM(AR37:AR44)</f>
        <v>1410421</v>
      </c>
      <c r="AS46" s="166">
        <f t="shared" si="68"/>
        <v>1433703</v>
      </c>
      <c r="AT46" s="166">
        <f t="shared" si="68"/>
        <v>1437833</v>
      </c>
      <c r="AU46" s="166">
        <f t="shared" si="68"/>
        <v>1479065</v>
      </c>
      <c r="AV46" s="471">
        <f>SUM(AV37:AV45)</f>
        <v>1479065</v>
      </c>
      <c r="AW46" s="166">
        <f t="shared" ref="AW46:BP46" si="69">SUM(AW37:AW45)</f>
        <v>1439631</v>
      </c>
      <c r="AX46" s="166">
        <f t="shared" si="69"/>
        <v>1466681</v>
      </c>
      <c r="AY46" s="166">
        <f t="shared" si="69"/>
        <v>1560945</v>
      </c>
      <c r="AZ46" s="166">
        <f t="shared" si="69"/>
        <v>1623527</v>
      </c>
      <c r="BA46" s="471">
        <f t="shared" si="69"/>
        <v>1623527</v>
      </c>
      <c r="BB46" s="166">
        <f t="shared" si="69"/>
        <v>1574922</v>
      </c>
      <c r="BC46" s="166">
        <f t="shared" si="69"/>
        <v>1579513</v>
      </c>
      <c r="BD46" s="166">
        <f t="shared" si="69"/>
        <v>1580835</v>
      </c>
      <c r="BE46" s="166">
        <f t="shared" si="69"/>
        <v>1634323</v>
      </c>
      <c r="BF46" s="471">
        <f t="shared" si="69"/>
        <v>1634323</v>
      </c>
      <c r="BG46" s="166">
        <f t="shared" si="69"/>
        <v>1592088</v>
      </c>
      <c r="BH46" s="166">
        <f t="shared" si="69"/>
        <v>1558293</v>
      </c>
      <c r="BI46" s="166">
        <f t="shared" si="69"/>
        <v>1539191</v>
      </c>
      <c r="BJ46" s="166">
        <f t="shared" si="69"/>
        <v>1571734</v>
      </c>
      <c r="BK46" s="471">
        <f t="shared" si="69"/>
        <v>1571734</v>
      </c>
      <c r="BL46" s="166">
        <f t="shared" si="69"/>
        <v>1540861.3617370832</v>
      </c>
      <c r="BM46" s="166">
        <f t="shared" si="69"/>
        <v>1550830.2374364445</v>
      </c>
      <c r="BN46" s="166">
        <f t="shared" si="69"/>
        <v>1533123.6367405055</v>
      </c>
      <c r="BO46" s="166">
        <f t="shared" si="69"/>
        <v>1574393.3614146716</v>
      </c>
      <c r="BP46" s="471">
        <f t="shared" si="69"/>
        <v>1574393.3614146716</v>
      </c>
      <c r="BQ46" s="166">
        <f t="shared" ref="BQ46:BU46" si="70">SUM(BQ37:BQ45)</f>
        <v>1545066.0632497775</v>
      </c>
      <c r="BR46" s="166">
        <f t="shared" si="70"/>
        <v>1553249.0755477429</v>
      </c>
      <c r="BS46" s="166">
        <f t="shared" si="70"/>
        <v>1541668.9697878356</v>
      </c>
      <c r="BT46" s="166">
        <f t="shared" si="70"/>
        <v>1594418.9821998621</v>
      </c>
      <c r="BU46" s="471">
        <f t="shared" si="70"/>
        <v>1594418.9821998621</v>
      </c>
    </row>
    <row r="47" spans="2:73" ht="4.5" customHeight="1">
      <c r="B47" s="155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472"/>
      <c r="N47" s="167"/>
      <c r="O47" s="167"/>
      <c r="P47" s="167"/>
      <c r="Q47" s="167"/>
      <c r="R47" s="472"/>
      <c r="S47" s="167"/>
      <c r="T47" s="167"/>
      <c r="U47" s="167"/>
      <c r="V47" s="167"/>
      <c r="W47" s="472"/>
      <c r="X47" s="167"/>
      <c r="Y47" s="167"/>
      <c r="Z47" s="167"/>
      <c r="AA47" s="167"/>
      <c r="AB47" s="472"/>
      <c r="AC47" s="167"/>
      <c r="AD47" s="167"/>
      <c r="AE47" s="167"/>
      <c r="AF47" s="167"/>
      <c r="AG47" s="472"/>
      <c r="AH47" s="167"/>
      <c r="AI47" s="167"/>
      <c r="AJ47" s="167"/>
      <c r="AK47" s="167"/>
      <c r="AL47" s="472"/>
      <c r="AM47" s="167"/>
      <c r="AN47" s="167"/>
      <c r="AO47" s="167"/>
      <c r="AP47" s="167"/>
      <c r="AQ47" s="472"/>
      <c r="AR47" s="167"/>
      <c r="AS47" s="167"/>
      <c r="AT47" s="167"/>
      <c r="AU47" s="167"/>
      <c r="AV47" s="472"/>
      <c r="AW47" s="167"/>
      <c r="AX47" s="167"/>
      <c r="AY47" s="167"/>
      <c r="AZ47" s="167"/>
      <c r="BA47" s="472"/>
      <c r="BB47" s="167"/>
      <c r="BC47" s="167"/>
      <c r="BD47" s="167"/>
      <c r="BE47" s="167"/>
      <c r="BF47" s="472"/>
      <c r="BG47" s="167"/>
      <c r="BH47" s="167"/>
      <c r="BI47" s="167"/>
      <c r="BJ47" s="167"/>
      <c r="BK47" s="472"/>
      <c r="BL47" s="167"/>
      <c r="BM47" s="167"/>
      <c r="BN47" s="167"/>
      <c r="BO47" s="167"/>
      <c r="BP47" s="472"/>
      <c r="BQ47" s="167"/>
      <c r="BR47" s="167"/>
      <c r="BS47" s="167"/>
      <c r="BT47" s="167"/>
      <c r="BU47" s="472"/>
    </row>
    <row r="48" spans="2:73" ht="13.35" customHeight="1">
      <c r="B48" s="175" t="s">
        <v>108</v>
      </c>
      <c r="C48" s="166"/>
      <c r="D48" s="166"/>
      <c r="E48" s="166"/>
      <c r="F48" s="166"/>
      <c r="G48" s="166">
        <v>-246862</v>
      </c>
      <c r="H48" s="166">
        <v>-246862</v>
      </c>
      <c r="I48" s="166">
        <v>-264834</v>
      </c>
      <c r="J48" s="166">
        <v>-296640</v>
      </c>
      <c r="K48" s="166">
        <v>52458</v>
      </c>
      <c r="L48" s="166">
        <v>68075</v>
      </c>
      <c r="M48" s="471">
        <f>+L48</f>
        <v>68075</v>
      </c>
      <c r="N48" s="166">
        <v>60615</v>
      </c>
      <c r="O48" s="166">
        <v>51146</v>
      </c>
      <c r="P48" s="166">
        <v>47646</v>
      </c>
      <c r="Q48" s="166">
        <v>42038</v>
      </c>
      <c r="R48" s="471">
        <f>+Q48</f>
        <v>42038</v>
      </c>
      <c r="S48" s="166">
        <v>37857</v>
      </c>
      <c r="T48" s="166">
        <v>34627</v>
      </c>
      <c r="U48" s="166">
        <v>31766</v>
      </c>
      <c r="V48" s="166">
        <v>50026</v>
      </c>
      <c r="W48" s="471">
        <f>+V48</f>
        <v>50026</v>
      </c>
      <c r="X48" s="166">
        <v>73922</v>
      </c>
      <c r="Y48" s="166">
        <v>69543</v>
      </c>
      <c r="Z48" s="166">
        <v>93101</v>
      </c>
      <c r="AA48" s="166">
        <v>87319</v>
      </c>
      <c r="AB48" s="471">
        <f>+AA48</f>
        <v>87319</v>
      </c>
      <c r="AC48" s="166">
        <v>88851</v>
      </c>
      <c r="AD48" s="166">
        <v>87524</v>
      </c>
      <c r="AE48" s="166">
        <f>+AE23-AE46</f>
        <v>86175</v>
      </c>
      <c r="AF48" s="166">
        <f>83168</f>
        <v>83168</v>
      </c>
      <c r="AG48" s="471">
        <f>+AF48</f>
        <v>83168</v>
      </c>
      <c r="AH48" s="166">
        <f>+AH23-AH46</f>
        <v>76300</v>
      </c>
      <c r="AI48" s="166">
        <v>90688</v>
      </c>
      <c r="AJ48" s="166">
        <f>85353</f>
        <v>85353</v>
      </c>
      <c r="AK48" s="166">
        <f>71536</f>
        <v>71536</v>
      </c>
      <c r="AL48" s="471">
        <f>+AK48</f>
        <v>71536</v>
      </c>
      <c r="AM48" s="166">
        <f>-81225</f>
        <v>-81225</v>
      </c>
      <c r="AN48" s="166">
        <f>-95395</f>
        <v>-95395</v>
      </c>
      <c r="AO48" s="166">
        <f>-105003</f>
        <v>-105003</v>
      </c>
      <c r="AP48" s="166">
        <f>-125995</f>
        <v>-125995</v>
      </c>
      <c r="AQ48" s="471">
        <f>+AP48</f>
        <v>-125995</v>
      </c>
      <c r="AR48" s="166">
        <f>-136551</f>
        <v>-136551</v>
      </c>
      <c r="AS48" s="166">
        <f>-148155</f>
        <v>-148155</v>
      </c>
      <c r="AT48" s="166">
        <f>-142284</f>
        <v>-142284</v>
      </c>
      <c r="AU48" s="166">
        <f>-120074</f>
        <v>-120074</v>
      </c>
      <c r="AV48" s="471">
        <f>+AU48</f>
        <v>-120074</v>
      </c>
      <c r="AW48" s="166">
        <f>-110172</f>
        <v>-110172</v>
      </c>
      <c r="AX48" s="166">
        <f>-111022</f>
        <v>-111022</v>
      </c>
      <c r="AY48" s="166">
        <f>-161645</f>
        <v>-161645</v>
      </c>
      <c r="AZ48" s="166">
        <f>-118179</f>
        <v>-118179</v>
      </c>
      <c r="BA48" s="471">
        <f>+AZ48</f>
        <v>-118179</v>
      </c>
      <c r="BB48" s="166">
        <f>+BB23-BB46</f>
        <v>-86449</v>
      </c>
      <c r="BC48" s="166">
        <f>-52920</f>
        <v>-52920</v>
      </c>
      <c r="BD48" s="166">
        <f>-6304</f>
        <v>-6304</v>
      </c>
      <c r="BE48" s="166">
        <v>17711</v>
      </c>
      <c r="BF48" s="471">
        <f>+BE48</f>
        <v>17711</v>
      </c>
      <c r="BG48" s="166">
        <f>52722</f>
        <v>52722</v>
      </c>
      <c r="BH48" s="166">
        <f>90447</f>
        <v>90447</v>
      </c>
      <c r="BI48" s="166">
        <f>127216</f>
        <v>127216</v>
      </c>
      <c r="BJ48" s="166">
        <f>154730</f>
        <v>154730</v>
      </c>
      <c r="BK48" s="471">
        <f>+BJ48</f>
        <v>154730</v>
      </c>
      <c r="BL48" s="166">
        <f>+BL23-BL46</f>
        <v>173211.39355625003</v>
      </c>
      <c r="BM48" s="166">
        <f>+BM23-BM46</f>
        <v>195375.42996224994</v>
      </c>
      <c r="BN48" s="166">
        <f>+BN23-BN46</f>
        <v>225221.31847579987</v>
      </c>
      <c r="BO48" s="166">
        <f>+BO23-BO46</f>
        <v>251232.92898393073</v>
      </c>
      <c r="BP48" s="471">
        <f>+BO48</f>
        <v>251232.92898393073</v>
      </c>
      <c r="BQ48" s="166">
        <f>+BQ23-BQ46</f>
        <v>281014.23392782523</v>
      </c>
      <c r="BR48" s="166">
        <f>+BR23-BR46</f>
        <v>307034.59505008999</v>
      </c>
      <c r="BS48" s="166">
        <f>+BS23-BS46</f>
        <v>338676.57108281925</v>
      </c>
      <c r="BT48" s="166">
        <f>+BT23-BT46</f>
        <v>366220.47280463134</v>
      </c>
      <c r="BU48" s="471">
        <f>+BT48</f>
        <v>366220.47280463134</v>
      </c>
    </row>
    <row r="49" spans="2:73" ht="3" customHeight="1">
      <c r="B49" s="155"/>
      <c r="C49" s="167"/>
      <c r="D49" s="173" t="s">
        <v>1</v>
      </c>
      <c r="E49" s="173" t="s">
        <v>1</v>
      </c>
      <c r="F49" s="173" t="s">
        <v>1</v>
      </c>
      <c r="G49" s="173" t="s">
        <v>1</v>
      </c>
      <c r="H49" s="173" t="s">
        <v>1</v>
      </c>
      <c r="I49" s="173" t="s">
        <v>1</v>
      </c>
      <c r="J49" s="173" t="s">
        <v>1</v>
      </c>
      <c r="K49" s="173" t="s">
        <v>1</v>
      </c>
      <c r="L49" s="173" t="s">
        <v>1</v>
      </c>
      <c r="M49" s="473" t="s">
        <v>1</v>
      </c>
      <c r="N49" s="173" t="s">
        <v>1</v>
      </c>
      <c r="O49" s="173" t="s">
        <v>1</v>
      </c>
      <c r="P49" s="173" t="s">
        <v>1</v>
      </c>
      <c r="Q49" s="173" t="s">
        <v>1</v>
      </c>
      <c r="R49" s="473" t="s">
        <v>1</v>
      </c>
      <c r="S49" s="173" t="s">
        <v>1</v>
      </c>
      <c r="T49" s="173" t="s">
        <v>1</v>
      </c>
      <c r="U49" s="173" t="s">
        <v>1</v>
      </c>
      <c r="V49" s="173" t="s">
        <v>1</v>
      </c>
      <c r="W49" s="473" t="s">
        <v>1</v>
      </c>
      <c r="X49" s="173" t="s">
        <v>1</v>
      </c>
      <c r="Y49" s="173" t="s">
        <v>1</v>
      </c>
      <c r="Z49" s="173" t="s">
        <v>1</v>
      </c>
      <c r="AA49" s="173" t="s">
        <v>1</v>
      </c>
      <c r="AB49" s="473" t="s">
        <v>1</v>
      </c>
      <c r="AC49" s="173" t="s">
        <v>1</v>
      </c>
      <c r="AD49" s="173" t="s">
        <v>1</v>
      </c>
      <c r="AE49" s="173" t="s">
        <v>1</v>
      </c>
      <c r="AF49" s="173" t="s">
        <v>1</v>
      </c>
      <c r="AG49" s="473" t="s">
        <v>1</v>
      </c>
      <c r="AH49" s="173" t="s">
        <v>1</v>
      </c>
      <c r="AI49" s="173" t="s">
        <v>1</v>
      </c>
      <c r="AJ49" s="173" t="s">
        <v>1</v>
      </c>
      <c r="AK49" s="173" t="s">
        <v>1</v>
      </c>
      <c r="AL49" s="473" t="s">
        <v>1</v>
      </c>
      <c r="AM49" s="173" t="s">
        <v>1</v>
      </c>
      <c r="AN49" s="173" t="s">
        <v>1</v>
      </c>
      <c r="AO49" s="173" t="s">
        <v>1</v>
      </c>
      <c r="AP49" s="173" t="s">
        <v>1</v>
      </c>
      <c r="AQ49" s="473" t="s">
        <v>1</v>
      </c>
      <c r="AR49" s="173" t="s">
        <v>1</v>
      </c>
      <c r="AS49" s="173" t="s">
        <v>1</v>
      </c>
      <c r="AT49" s="173" t="s">
        <v>1</v>
      </c>
      <c r="AU49" s="173" t="s">
        <v>1</v>
      </c>
      <c r="AV49" s="473" t="s">
        <v>1</v>
      </c>
      <c r="AW49" s="173" t="s">
        <v>1</v>
      </c>
      <c r="AX49" s="173" t="s">
        <v>1</v>
      </c>
      <c r="AY49" s="173" t="s">
        <v>1</v>
      </c>
      <c r="AZ49" s="173" t="s">
        <v>1</v>
      </c>
      <c r="BA49" s="473" t="s">
        <v>1</v>
      </c>
      <c r="BB49" s="173" t="s">
        <v>1</v>
      </c>
      <c r="BC49" s="173" t="s">
        <v>1</v>
      </c>
      <c r="BD49" s="173" t="s">
        <v>1</v>
      </c>
      <c r="BE49" s="173" t="s">
        <v>1</v>
      </c>
      <c r="BF49" s="473" t="s">
        <v>1</v>
      </c>
      <c r="BG49" s="173" t="s">
        <v>1</v>
      </c>
      <c r="BH49" s="173" t="s">
        <v>1</v>
      </c>
      <c r="BI49" s="173" t="s">
        <v>1</v>
      </c>
      <c r="BJ49" s="173" t="s">
        <v>1</v>
      </c>
      <c r="BK49" s="473" t="s">
        <v>1</v>
      </c>
      <c r="BL49" s="173" t="s">
        <v>1</v>
      </c>
      <c r="BM49" s="173" t="s">
        <v>1</v>
      </c>
      <c r="BN49" s="173" t="s">
        <v>1</v>
      </c>
      <c r="BO49" s="173" t="s">
        <v>1</v>
      </c>
      <c r="BP49" s="473" t="s">
        <v>1</v>
      </c>
      <c r="BQ49" s="173" t="s">
        <v>1</v>
      </c>
      <c r="BR49" s="173" t="s">
        <v>1</v>
      </c>
      <c r="BS49" s="173" t="s">
        <v>1</v>
      </c>
      <c r="BT49" s="173" t="s">
        <v>1</v>
      </c>
      <c r="BU49" s="473" t="s">
        <v>1</v>
      </c>
    </row>
    <row r="50" spans="2:73" ht="13.35" customHeight="1">
      <c r="B50" s="175" t="s">
        <v>109</v>
      </c>
      <c r="C50" s="166"/>
      <c r="D50" s="166" t="e">
        <f t="shared" ref="D50:AB50" si="71">+D48+D46</f>
        <v>#REF!</v>
      </c>
      <c r="E50" s="166" t="e">
        <f t="shared" si="71"/>
        <v>#REF!</v>
      </c>
      <c r="F50" s="166" t="e">
        <f t="shared" si="71"/>
        <v>#REF!</v>
      </c>
      <c r="G50" s="166" t="e">
        <f t="shared" si="71"/>
        <v>#REF!</v>
      </c>
      <c r="H50" s="166" t="e">
        <f>+H48+H46</f>
        <v>#REF!</v>
      </c>
      <c r="I50" s="166" t="e">
        <f t="shared" si="71"/>
        <v>#REF!</v>
      </c>
      <c r="J50" s="166" t="e">
        <f t="shared" si="71"/>
        <v>#REF!</v>
      </c>
      <c r="K50" s="166" t="e">
        <f t="shared" si="71"/>
        <v>#REF!</v>
      </c>
      <c r="L50" s="166" t="e">
        <f>+L48+L46</f>
        <v>#REF!</v>
      </c>
      <c r="M50" s="471">
        <f>+M48+M46</f>
        <v>230561</v>
      </c>
      <c r="N50" s="166">
        <f t="shared" si="71"/>
        <v>213780</v>
      </c>
      <c r="O50" s="166">
        <f t="shared" si="71"/>
        <v>223852</v>
      </c>
      <c r="P50" s="166">
        <f t="shared" si="71"/>
        <v>226035</v>
      </c>
      <c r="Q50" s="166">
        <f t="shared" si="71"/>
        <v>243303</v>
      </c>
      <c r="R50" s="471">
        <f t="shared" si="71"/>
        <v>243303</v>
      </c>
      <c r="S50" s="166">
        <f t="shared" si="71"/>
        <v>229771</v>
      </c>
      <c r="T50" s="166">
        <f t="shared" si="71"/>
        <v>241853</v>
      </c>
      <c r="U50" s="166">
        <f t="shared" si="71"/>
        <v>251440</v>
      </c>
      <c r="V50" s="166">
        <f t="shared" si="71"/>
        <v>311331</v>
      </c>
      <c r="W50" s="471">
        <f t="shared" si="71"/>
        <v>311331</v>
      </c>
      <c r="X50" s="166">
        <f t="shared" si="71"/>
        <v>320470</v>
      </c>
      <c r="Y50" s="166">
        <f t="shared" si="71"/>
        <v>323771</v>
      </c>
      <c r="Z50" s="166">
        <f t="shared" si="71"/>
        <v>521957</v>
      </c>
      <c r="AA50" s="166">
        <f t="shared" si="71"/>
        <v>559369</v>
      </c>
      <c r="AB50" s="471">
        <f t="shared" si="71"/>
        <v>559369</v>
      </c>
      <c r="AC50" s="166">
        <f t="shared" ref="AC50:BP50" si="72">+AC48+AC46</f>
        <v>563906</v>
      </c>
      <c r="AD50" s="166">
        <f t="shared" si="72"/>
        <v>636279</v>
      </c>
      <c r="AE50" s="166">
        <f t="shared" si="72"/>
        <v>626594</v>
      </c>
      <c r="AF50" s="166">
        <f t="shared" si="72"/>
        <v>664913</v>
      </c>
      <c r="AG50" s="471">
        <f t="shared" si="72"/>
        <v>664913</v>
      </c>
      <c r="AH50" s="166">
        <f t="shared" si="72"/>
        <v>633677</v>
      </c>
      <c r="AI50" s="166">
        <f t="shared" si="72"/>
        <v>860411</v>
      </c>
      <c r="AJ50" s="166">
        <f t="shared" si="72"/>
        <v>866817</v>
      </c>
      <c r="AK50" s="166">
        <f t="shared" si="72"/>
        <v>913122</v>
      </c>
      <c r="AL50" s="471">
        <f t="shared" si="72"/>
        <v>913122</v>
      </c>
      <c r="AM50" s="166">
        <f t="shared" si="72"/>
        <v>1222693</v>
      </c>
      <c r="AN50" s="166">
        <f t="shared" si="72"/>
        <v>1240309</v>
      </c>
      <c r="AO50" s="166">
        <f t="shared" si="72"/>
        <v>1260880</v>
      </c>
      <c r="AP50" s="166">
        <f t="shared" si="72"/>
        <v>1296011</v>
      </c>
      <c r="AQ50" s="471">
        <f t="shared" si="72"/>
        <v>1296011</v>
      </c>
      <c r="AR50" s="166">
        <f t="shared" si="72"/>
        <v>1273870</v>
      </c>
      <c r="AS50" s="166">
        <f t="shared" si="72"/>
        <v>1285548</v>
      </c>
      <c r="AT50" s="166">
        <f t="shared" si="72"/>
        <v>1295549</v>
      </c>
      <c r="AU50" s="166">
        <f t="shared" si="72"/>
        <v>1358991</v>
      </c>
      <c r="AV50" s="471">
        <f t="shared" si="72"/>
        <v>1358991</v>
      </c>
      <c r="AW50" s="166">
        <f t="shared" si="72"/>
        <v>1329459</v>
      </c>
      <c r="AX50" s="166">
        <f t="shared" si="72"/>
        <v>1355659</v>
      </c>
      <c r="AY50" s="166">
        <f t="shared" si="72"/>
        <v>1399300</v>
      </c>
      <c r="AZ50" s="166">
        <f t="shared" si="72"/>
        <v>1505348</v>
      </c>
      <c r="BA50" s="471">
        <f t="shared" si="72"/>
        <v>1505348</v>
      </c>
      <c r="BB50" s="166">
        <f t="shared" si="72"/>
        <v>1488473</v>
      </c>
      <c r="BC50" s="166">
        <f t="shared" si="72"/>
        <v>1526593</v>
      </c>
      <c r="BD50" s="166">
        <f t="shared" si="72"/>
        <v>1574531</v>
      </c>
      <c r="BE50" s="166">
        <f t="shared" si="72"/>
        <v>1652034</v>
      </c>
      <c r="BF50" s="471">
        <f t="shared" si="72"/>
        <v>1652034</v>
      </c>
      <c r="BG50" s="166">
        <f t="shared" si="72"/>
        <v>1644810</v>
      </c>
      <c r="BH50" s="166">
        <f t="shared" si="72"/>
        <v>1648740</v>
      </c>
      <c r="BI50" s="166">
        <f t="shared" si="72"/>
        <v>1666407</v>
      </c>
      <c r="BJ50" s="166">
        <f t="shared" si="72"/>
        <v>1726464</v>
      </c>
      <c r="BK50" s="471">
        <f t="shared" si="72"/>
        <v>1726464</v>
      </c>
      <c r="BL50" s="166">
        <f t="shared" si="72"/>
        <v>1714072.7552933332</v>
      </c>
      <c r="BM50" s="166">
        <f t="shared" si="72"/>
        <v>1746205.6673986944</v>
      </c>
      <c r="BN50" s="166">
        <f t="shared" si="72"/>
        <v>1758344.9552163053</v>
      </c>
      <c r="BO50" s="166">
        <f t="shared" si="72"/>
        <v>1825626.2903986024</v>
      </c>
      <c r="BP50" s="471">
        <f t="shared" si="72"/>
        <v>1825626.2903986024</v>
      </c>
      <c r="BQ50" s="166">
        <f t="shared" ref="BQ50:BU50" si="73">+BQ48+BQ46</f>
        <v>1826080.2971776028</v>
      </c>
      <c r="BR50" s="166">
        <f t="shared" si="73"/>
        <v>1860283.6705978329</v>
      </c>
      <c r="BS50" s="166">
        <f t="shared" si="73"/>
        <v>1880345.5408706549</v>
      </c>
      <c r="BT50" s="166">
        <f t="shared" si="73"/>
        <v>1960639.4550044935</v>
      </c>
      <c r="BU50" s="471">
        <f t="shared" si="73"/>
        <v>1960639.4550044935</v>
      </c>
    </row>
    <row r="51" spans="2:73" ht="6" customHeight="1">
      <c r="B51" s="175"/>
      <c r="C51" s="158"/>
      <c r="D51" s="168"/>
      <c r="E51" s="168"/>
      <c r="F51" s="168"/>
      <c r="G51" s="168"/>
      <c r="H51" s="168"/>
      <c r="I51" s="168"/>
      <c r="J51" s="168"/>
      <c r="K51" s="168"/>
      <c r="L51" s="168"/>
      <c r="M51" s="474"/>
      <c r="N51" s="168"/>
      <c r="O51" s="168"/>
      <c r="P51" s="168"/>
      <c r="Q51" s="168"/>
      <c r="R51" s="474"/>
      <c r="S51" s="168"/>
      <c r="T51" s="168"/>
      <c r="U51" s="168"/>
      <c r="V51" s="168"/>
      <c r="W51" s="474"/>
      <c r="X51" s="168"/>
      <c r="Y51" s="168"/>
      <c r="Z51" s="168"/>
      <c r="AA51" s="168"/>
      <c r="AB51" s="474"/>
      <c r="AC51" s="168"/>
      <c r="AD51" s="168"/>
      <c r="AE51" s="168"/>
      <c r="AF51" s="168"/>
      <c r="AG51" s="474"/>
      <c r="AH51" s="168"/>
      <c r="AI51" s="168"/>
      <c r="AJ51" s="168"/>
      <c r="AK51" s="168"/>
      <c r="AL51" s="474"/>
      <c r="AM51" s="168"/>
      <c r="AN51" s="168"/>
      <c r="AO51" s="168"/>
      <c r="AP51" s="168"/>
      <c r="AQ51" s="474"/>
      <c r="AR51" s="168"/>
      <c r="AS51" s="168"/>
      <c r="AT51" s="168"/>
      <c r="AU51" s="168"/>
      <c r="AV51" s="474"/>
      <c r="AW51" s="168"/>
      <c r="AX51" s="168"/>
      <c r="AY51" s="168"/>
      <c r="AZ51" s="168"/>
      <c r="BA51" s="474"/>
      <c r="BB51" s="168"/>
      <c r="BC51" s="168"/>
      <c r="BD51" s="168"/>
      <c r="BE51" s="168"/>
      <c r="BF51" s="474"/>
      <c r="BG51" s="168"/>
      <c r="BH51" s="168"/>
      <c r="BI51" s="168"/>
      <c r="BJ51" s="168"/>
      <c r="BK51" s="474"/>
      <c r="BL51" s="168"/>
      <c r="BM51" s="168"/>
      <c r="BN51" s="168"/>
      <c r="BO51" s="168"/>
      <c r="BP51" s="474"/>
      <c r="BQ51" s="168"/>
      <c r="BR51" s="168"/>
      <c r="BS51" s="168"/>
      <c r="BT51" s="168"/>
      <c r="BU51" s="474"/>
    </row>
    <row r="52" spans="2:73" ht="13.35" customHeight="1">
      <c r="B52" s="183" t="s">
        <v>110</v>
      </c>
      <c r="C52" s="183"/>
      <c r="D52" s="183">
        <f t="shared" ref="D52:AI52" si="74">+(D7+D8+D15)/D65</f>
        <v>0</v>
      </c>
      <c r="E52" s="183">
        <f t="shared" si="74"/>
        <v>0</v>
      </c>
      <c r="F52" s="183">
        <f t="shared" si="74"/>
        <v>0</v>
      </c>
      <c r="G52" s="183">
        <f t="shared" si="74"/>
        <v>2.878809567720432</v>
      </c>
      <c r="H52" s="183">
        <f t="shared" si="74"/>
        <v>2.8833483831543485</v>
      </c>
      <c r="I52" s="183">
        <f t="shared" si="74"/>
        <v>2.6374390255863935</v>
      </c>
      <c r="J52" s="183">
        <f t="shared" si="74"/>
        <v>2.1184693572430584</v>
      </c>
      <c r="K52" s="183">
        <f t="shared" si="74"/>
        <v>3.7547602270154492</v>
      </c>
      <c r="L52" s="183">
        <f t="shared" si="74"/>
        <v>2.157577631483103</v>
      </c>
      <c r="M52" s="475">
        <f t="shared" si="74"/>
        <v>3.514002671659858</v>
      </c>
      <c r="N52" s="183">
        <f t="shared" si="74"/>
        <v>2.05950186680275</v>
      </c>
      <c r="O52" s="183">
        <f t="shared" si="74"/>
        <v>2.0639927616695588</v>
      </c>
      <c r="P52" s="183">
        <f t="shared" si="74"/>
        <v>2.1145227854866713</v>
      </c>
      <c r="Q52" s="183">
        <f t="shared" si="74"/>
        <v>2.198155419892823</v>
      </c>
      <c r="R52" s="475">
        <f t="shared" si="74"/>
        <v>2.2326335742726058</v>
      </c>
      <c r="S52" s="183">
        <f t="shared" si="74"/>
        <v>2.2854174794857802</v>
      </c>
      <c r="T52" s="183">
        <f t="shared" si="74"/>
        <v>2.1808152129995517</v>
      </c>
      <c r="U52" s="183">
        <f t="shared" si="74"/>
        <v>1.9637688233503412</v>
      </c>
      <c r="V52" s="183">
        <f t="shared" si="74"/>
        <v>2.100508612080735</v>
      </c>
      <c r="W52" s="475">
        <f t="shared" si="74"/>
        <v>2.1395818572558056</v>
      </c>
      <c r="X52" s="183">
        <f t="shared" si="74"/>
        <v>2.8836823507943441</v>
      </c>
      <c r="Y52" s="183">
        <f t="shared" si="74"/>
        <v>2.5635941199327648</v>
      </c>
      <c r="Z52" s="183">
        <f t="shared" si="74"/>
        <v>6.6305897907785765</v>
      </c>
      <c r="AA52" s="183">
        <f t="shared" si="74"/>
        <v>6.4068776961866432</v>
      </c>
      <c r="AB52" s="475">
        <f t="shared" si="74"/>
        <v>6.5374566684966497</v>
      </c>
      <c r="AC52" s="183">
        <f t="shared" si="74"/>
        <v>5.5697046143080851</v>
      </c>
      <c r="AD52" s="183">
        <f t="shared" si="74"/>
        <v>5.0808607631951102</v>
      </c>
      <c r="AE52" s="183">
        <f t="shared" si="74"/>
        <v>4.9182079371304734</v>
      </c>
      <c r="AF52" s="183">
        <f t="shared" si="74"/>
        <v>4.9911389778082418</v>
      </c>
      <c r="AG52" s="475">
        <f t="shared" si="74"/>
        <v>5.0416358813535709</v>
      </c>
      <c r="AH52" s="183">
        <f t="shared" si="74"/>
        <v>5.0595573550625401</v>
      </c>
      <c r="AI52" s="183">
        <f t="shared" si="74"/>
        <v>6.0497789610027928</v>
      </c>
      <c r="AJ52" s="183">
        <f t="shared" ref="AJ52:BP52" si="75">+(AJ7+AJ8+AJ15)/AJ65</f>
        <v>6.1496596609780028</v>
      </c>
      <c r="AK52" s="183">
        <f t="shared" si="75"/>
        <v>6.201377756278176</v>
      </c>
      <c r="AL52" s="475">
        <f t="shared" si="75"/>
        <v>6.3205343655396735</v>
      </c>
      <c r="AM52" s="183">
        <f t="shared" si="75"/>
        <v>11.661173569221335</v>
      </c>
      <c r="AN52" s="183">
        <f t="shared" si="75"/>
        <v>10.622051034913335</v>
      </c>
      <c r="AO52" s="183">
        <f t="shared" si="75"/>
        <v>5.3036819711436998</v>
      </c>
      <c r="AP52" s="183">
        <f t="shared" si="75"/>
        <v>4.5372614446693307</v>
      </c>
      <c r="AQ52" s="475">
        <f t="shared" si="75"/>
        <v>4.6648550724637685</v>
      </c>
      <c r="AR52" s="183">
        <f t="shared" si="75"/>
        <v>4.552894152759694</v>
      </c>
      <c r="AS52" s="183">
        <f t="shared" si="75"/>
        <v>4.3620052061163923</v>
      </c>
      <c r="AT52" s="183">
        <f t="shared" si="75"/>
        <v>4.0899345651019683</v>
      </c>
      <c r="AU52" s="183">
        <f t="shared" si="75"/>
        <v>4.3269772930839183</v>
      </c>
      <c r="AV52" s="475">
        <f t="shared" si="75"/>
        <v>4.7967620800912192</v>
      </c>
      <c r="AW52" s="183">
        <f t="shared" si="75"/>
        <v>4.0599772355853663</v>
      </c>
      <c r="AX52" s="183">
        <f t="shared" si="75"/>
        <v>4.4017904998556849</v>
      </c>
      <c r="AY52" s="183">
        <f t="shared" si="75"/>
        <v>5.4102788767379533</v>
      </c>
      <c r="AZ52" s="183">
        <f t="shared" si="75"/>
        <v>5.9589106645165195</v>
      </c>
      <c r="BA52" s="475">
        <f t="shared" si="75"/>
        <v>6.096501209929527</v>
      </c>
      <c r="BB52" s="183">
        <f t="shared" si="75"/>
        <v>6.2707418894328617</v>
      </c>
      <c r="BC52" s="183">
        <f t="shared" si="75"/>
        <v>6.6542438312757</v>
      </c>
      <c r="BD52" s="183">
        <f t="shared" si="75"/>
        <v>6.762740989938095</v>
      </c>
      <c r="BE52" s="183">
        <f t="shared" si="75"/>
        <v>7.4447071160311244</v>
      </c>
      <c r="BF52" s="475">
        <f t="shared" si="75"/>
        <v>7.5058232870905028</v>
      </c>
      <c r="BG52" s="183">
        <f t="shared" si="75"/>
        <v>7.858699180658844</v>
      </c>
      <c r="BH52" s="183">
        <f t="shared" si="75"/>
        <v>7.9559564942767089</v>
      </c>
      <c r="BI52" s="183">
        <f t="shared" si="75"/>
        <v>8.3921521700466144</v>
      </c>
      <c r="BJ52" s="183">
        <f t="shared" si="75"/>
        <v>8.6328833116607822</v>
      </c>
      <c r="BK52" s="475">
        <f t="shared" si="75"/>
        <v>8.705069897275818</v>
      </c>
      <c r="BL52" s="183">
        <f t="shared" si="75"/>
        <v>8.87180695465665</v>
      </c>
      <c r="BM52" s="183">
        <f t="shared" si="75"/>
        <v>9.2260088537433713</v>
      </c>
      <c r="BN52" s="183">
        <f t="shared" si="75"/>
        <v>9.485839303270426</v>
      </c>
      <c r="BO52" s="183">
        <f t="shared" si="75"/>
        <v>10.040086077379332</v>
      </c>
      <c r="BP52" s="475">
        <f t="shared" si="75"/>
        <v>10.167827464119439</v>
      </c>
      <c r="BQ52" s="183">
        <f t="shared" ref="BQ52:BU52" si="76">+(BQ7+BQ8+BQ15)/BQ65</f>
        <v>10.331884094111366</v>
      </c>
      <c r="BR52" s="183">
        <f t="shared" si="76"/>
        <v>10.704068972283814</v>
      </c>
      <c r="BS52" s="183">
        <f t="shared" si="76"/>
        <v>11.074807343228944</v>
      </c>
      <c r="BT52" s="183">
        <f t="shared" si="76"/>
        <v>11.723926888568984</v>
      </c>
      <c r="BU52" s="475">
        <f t="shared" si="76"/>
        <v>11.741509843528767</v>
      </c>
    </row>
    <row r="53" spans="2:73" ht="13.35" customHeight="1">
      <c r="B53" s="183" t="s">
        <v>111</v>
      </c>
      <c r="C53" s="203"/>
      <c r="D53" s="203">
        <f t="shared" ref="D53:AI53" si="77">+D33+D44+D41</f>
        <v>0</v>
      </c>
      <c r="E53" s="203">
        <f t="shared" si="77"/>
        <v>0</v>
      </c>
      <c r="F53" s="203">
        <f t="shared" si="77"/>
        <v>0</v>
      </c>
      <c r="G53" s="203">
        <f t="shared" si="77"/>
        <v>16871</v>
      </c>
      <c r="H53" s="203">
        <f t="shared" si="77"/>
        <v>16871</v>
      </c>
      <c r="I53" s="203">
        <f t="shared" si="77"/>
        <v>17009</v>
      </c>
      <c r="J53" s="203">
        <f t="shared" si="77"/>
        <v>17148</v>
      </c>
      <c r="K53" s="203">
        <f t="shared" si="77"/>
        <v>0</v>
      </c>
      <c r="L53" s="203">
        <f t="shared" si="77"/>
        <v>0</v>
      </c>
      <c r="M53" s="476">
        <f t="shared" si="77"/>
        <v>0</v>
      </c>
      <c r="N53" s="203">
        <f t="shared" si="77"/>
        <v>0</v>
      </c>
      <c r="O53" s="203">
        <f t="shared" si="77"/>
        <v>0</v>
      </c>
      <c r="P53" s="203">
        <f t="shared" si="77"/>
        <v>0</v>
      </c>
      <c r="Q53" s="203">
        <f t="shared" si="77"/>
        <v>0</v>
      </c>
      <c r="R53" s="476">
        <f t="shared" si="77"/>
        <v>0</v>
      </c>
      <c r="S53" s="203">
        <f t="shared" si="77"/>
        <v>0</v>
      </c>
      <c r="T53" s="203">
        <f t="shared" si="77"/>
        <v>0</v>
      </c>
      <c r="U53" s="203">
        <f t="shared" si="77"/>
        <v>0</v>
      </c>
      <c r="V53" s="203">
        <f t="shared" si="77"/>
        <v>0</v>
      </c>
      <c r="W53" s="476">
        <f t="shared" si="77"/>
        <v>0</v>
      </c>
      <c r="X53" s="203">
        <f t="shared" si="77"/>
        <v>0</v>
      </c>
      <c r="Y53" s="203">
        <f t="shared" si="77"/>
        <v>0</v>
      </c>
      <c r="Z53" s="203">
        <f t="shared" si="77"/>
        <v>172165</v>
      </c>
      <c r="AA53" s="203">
        <f t="shared" si="77"/>
        <v>174688</v>
      </c>
      <c r="AB53" s="476">
        <f t="shared" si="77"/>
        <v>174688</v>
      </c>
      <c r="AC53" s="203">
        <f t="shared" si="77"/>
        <v>177198</v>
      </c>
      <c r="AD53" s="203">
        <f t="shared" si="77"/>
        <v>179791</v>
      </c>
      <c r="AE53" s="203">
        <f t="shared" si="77"/>
        <v>182471</v>
      </c>
      <c r="AF53" s="203">
        <f t="shared" si="77"/>
        <v>185200</v>
      </c>
      <c r="AG53" s="476">
        <f t="shared" si="77"/>
        <v>185200</v>
      </c>
      <c r="AH53" s="203">
        <f t="shared" si="77"/>
        <v>187944</v>
      </c>
      <c r="AI53" s="203">
        <f t="shared" si="77"/>
        <v>368161</v>
      </c>
      <c r="AJ53" s="203">
        <f t="shared" ref="AJ53:BP53" si="78">+AJ33+AJ44+AJ41</f>
        <v>373318</v>
      </c>
      <c r="AK53" s="203">
        <f t="shared" si="78"/>
        <v>378586</v>
      </c>
      <c r="AL53" s="476">
        <f t="shared" si="78"/>
        <v>378586</v>
      </c>
      <c r="AM53" s="203">
        <f t="shared" si="78"/>
        <v>855709</v>
      </c>
      <c r="AN53" s="203">
        <f t="shared" si="78"/>
        <v>810093</v>
      </c>
      <c r="AO53" s="203">
        <f t="shared" si="78"/>
        <v>811068</v>
      </c>
      <c r="AP53" s="203">
        <f t="shared" si="78"/>
        <v>812063</v>
      </c>
      <c r="AQ53" s="476">
        <f t="shared" si="78"/>
        <v>812063</v>
      </c>
      <c r="AR53" s="203">
        <f t="shared" si="78"/>
        <v>812995</v>
      </c>
      <c r="AS53" s="203">
        <f t="shared" si="78"/>
        <v>813950</v>
      </c>
      <c r="AT53" s="203">
        <f t="shared" si="78"/>
        <v>814947</v>
      </c>
      <c r="AU53" s="203">
        <f t="shared" si="78"/>
        <v>815948</v>
      </c>
      <c r="AV53" s="476">
        <f t="shared" si="78"/>
        <v>815948</v>
      </c>
      <c r="AW53" s="203">
        <f t="shared" si="78"/>
        <v>816894</v>
      </c>
      <c r="AX53" s="203">
        <f t="shared" si="78"/>
        <v>817873</v>
      </c>
      <c r="AY53" s="203">
        <f t="shared" si="78"/>
        <v>928892</v>
      </c>
      <c r="AZ53" s="203">
        <f t="shared" si="78"/>
        <v>929996</v>
      </c>
      <c r="BA53" s="476">
        <f t="shared" si="78"/>
        <v>929996</v>
      </c>
      <c r="BB53" s="203">
        <f t="shared" si="78"/>
        <v>931001</v>
      </c>
      <c r="BC53" s="203">
        <f t="shared" si="78"/>
        <v>886272</v>
      </c>
      <c r="BD53" s="203">
        <f t="shared" si="78"/>
        <v>887362</v>
      </c>
      <c r="BE53" s="203">
        <f t="shared" si="78"/>
        <v>888356</v>
      </c>
      <c r="BF53" s="476">
        <f t="shared" si="78"/>
        <v>888356</v>
      </c>
      <c r="BG53" s="203">
        <f t="shared" si="78"/>
        <v>889303</v>
      </c>
      <c r="BH53" s="203">
        <f t="shared" si="78"/>
        <v>890277</v>
      </c>
      <c r="BI53" s="203">
        <f t="shared" si="78"/>
        <v>891279</v>
      </c>
      <c r="BJ53" s="203">
        <f t="shared" si="78"/>
        <v>892284</v>
      </c>
      <c r="BK53" s="476">
        <f t="shared" si="78"/>
        <v>892284</v>
      </c>
      <c r="BL53" s="203">
        <f t="shared" si="78"/>
        <v>892284</v>
      </c>
      <c r="BM53" s="203">
        <f t="shared" si="78"/>
        <v>892284</v>
      </c>
      <c r="BN53" s="203">
        <f t="shared" si="78"/>
        <v>892284</v>
      </c>
      <c r="BO53" s="203">
        <f t="shared" si="78"/>
        <v>892284</v>
      </c>
      <c r="BP53" s="476">
        <f t="shared" si="78"/>
        <v>892284</v>
      </c>
      <c r="BQ53" s="203">
        <f t="shared" ref="BQ53:BU53" si="79">+BQ33+BQ44+BQ41</f>
        <v>892284</v>
      </c>
      <c r="BR53" s="203">
        <f t="shared" si="79"/>
        <v>892284</v>
      </c>
      <c r="BS53" s="203">
        <f t="shared" si="79"/>
        <v>892284</v>
      </c>
      <c r="BT53" s="203">
        <f t="shared" si="79"/>
        <v>892284</v>
      </c>
      <c r="BU53" s="476">
        <f t="shared" si="79"/>
        <v>892284</v>
      </c>
    </row>
    <row r="54" spans="2:73" ht="13.35" customHeight="1">
      <c r="B54" s="183" t="s">
        <v>357</v>
      </c>
      <c r="C54" s="203"/>
      <c r="D54" s="203">
        <f t="shared" ref="D54:AQ54" si="80">+(D52*D65)-D53</f>
        <v>0</v>
      </c>
      <c r="E54" s="203">
        <f t="shared" si="80"/>
        <v>0</v>
      </c>
      <c r="F54" s="203">
        <f t="shared" si="80"/>
        <v>0</v>
      </c>
      <c r="G54" s="203">
        <f t="shared" si="80"/>
        <v>19952</v>
      </c>
      <c r="H54" s="203">
        <f t="shared" si="80"/>
        <v>19952</v>
      </c>
      <c r="I54" s="203">
        <f t="shared" si="80"/>
        <v>16334</v>
      </c>
      <c r="J54" s="203">
        <f t="shared" si="80"/>
        <v>9851.9999999999964</v>
      </c>
      <c r="K54" s="203">
        <f t="shared" si="80"/>
        <v>123984</v>
      </c>
      <c r="L54" s="203">
        <f t="shared" si="80"/>
        <v>86553</v>
      </c>
      <c r="M54" s="476">
        <f t="shared" si="80"/>
        <v>86553</v>
      </c>
      <c r="N54" s="203">
        <f t="shared" si="80"/>
        <v>83508</v>
      </c>
      <c r="O54" s="203">
        <f t="shared" si="80"/>
        <v>84754.999999999985</v>
      </c>
      <c r="P54" s="203">
        <f t="shared" si="80"/>
        <v>87714.999999999985</v>
      </c>
      <c r="Q54" s="203">
        <f t="shared" si="80"/>
        <v>92089</v>
      </c>
      <c r="R54" s="476">
        <f t="shared" si="80"/>
        <v>92089.000000000015</v>
      </c>
      <c r="S54" s="203">
        <f t="shared" si="80"/>
        <v>96025.999999999985</v>
      </c>
      <c r="T54" s="203">
        <f t="shared" si="80"/>
        <v>93079.999999999985</v>
      </c>
      <c r="U54" s="203">
        <f t="shared" si="80"/>
        <v>84990</v>
      </c>
      <c r="V54" s="203">
        <f t="shared" si="80"/>
        <v>91842</v>
      </c>
      <c r="W54" s="476">
        <f t="shared" si="80"/>
        <v>91842</v>
      </c>
      <c r="X54" s="203">
        <f t="shared" si="80"/>
        <v>130372</v>
      </c>
      <c r="Y54" s="203">
        <f t="shared" si="80"/>
        <v>118643</v>
      </c>
      <c r="Z54" s="203">
        <f t="shared" si="80"/>
        <v>138903</v>
      </c>
      <c r="AA54" s="203">
        <f t="shared" si="80"/>
        <v>128979</v>
      </c>
      <c r="AB54" s="476">
        <f t="shared" si="80"/>
        <v>128979</v>
      </c>
      <c r="AC54" s="203">
        <f t="shared" si="80"/>
        <v>107884</v>
      </c>
      <c r="AD54" s="203">
        <f t="shared" si="80"/>
        <v>84596</v>
      </c>
      <c r="AE54" s="203">
        <f t="shared" si="80"/>
        <v>75266.000000000029</v>
      </c>
      <c r="AF54" s="203">
        <f t="shared" si="80"/>
        <v>77258</v>
      </c>
      <c r="AG54" s="476">
        <f t="shared" si="80"/>
        <v>77258</v>
      </c>
      <c r="AH54" s="203">
        <f t="shared" si="80"/>
        <v>65678</v>
      </c>
      <c r="AI54" s="203">
        <f t="shared" si="80"/>
        <v>-47140</v>
      </c>
      <c r="AJ54" s="203">
        <f t="shared" si="80"/>
        <v>-41887</v>
      </c>
      <c r="AK54" s="203">
        <f t="shared" si="80"/>
        <v>-56006</v>
      </c>
      <c r="AL54" s="476">
        <f t="shared" si="80"/>
        <v>-56006</v>
      </c>
      <c r="AM54" s="203">
        <f t="shared" si="80"/>
        <v>-238776</v>
      </c>
      <c r="AN54" s="203">
        <f t="shared" si="80"/>
        <v>-196864</v>
      </c>
      <c r="AO54" s="203">
        <f t="shared" si="80"/>
        <v>-501455</v>
      </c>
      <c r="AP54" s="203">
        <f t="shared" si="80"/>
        <v>-554563</v>
      </c>
      <c r="AQ54" s="476">
        <f t="shared" si="80"/>
        <v>-554563</v>
      </c>
      <c r="AR54" s="203">
        <f t="shared" ref="AR54:BP54" si="81">+(AR52*AR65)-AR53</f>
        <v>-550180</v>
      </c>
      <c r="AS54" s="203">
        <f t="shared" si="81"/>
        <v>-559907</v>
      </c>
      <c r="AT54" s="203">
        <f t="shared" si="81"/>
        <v>-546656</v>
      </c>
      <c r="AU54" s="203">
        <f t="shared" si="81"/>
        <v>-514743</v>
      </c>
      <c r="AV54" s="476">
        <f t="shared" si="81"/>
        <v>-514743</v>
      </c>
      <c r="AW54" s="203">
        <f t="shared" si="81"/>
        <v>-547311</v>
      </c>
      <c r="AX54" s="203">
        <f t="shared" si="81"/>
        <v>-521934</v>
      </c>
      <c r="AY54" s="203">
        <f t="shared" si="81"/>
        <v>-556128</v>
      </c>
      <c r="AZ54" s="203">
        <f t="shared" si="81"/>
        <v>-490652.00000000006</v>
      </c>
      <c r="BA54" s="476">
        <f t="shared" si="81"/>
        <v>-490652</v>
      </c>
      <c r="BB54" s="203">
        <f t="shared" si="81"/>
        <v>-466830</v>
      </c>
      <c r="BC54" s="203">
        <f t="shared" si="81"/>
        <v>-392192</v>
      </c>
      <c r="BD54" s="203">
        <f t="shared" si="81"/>
        <v>-383287</v>
      </c>
      <c r="BE54" s="203">
        <f t="shared" si="81"/>
        <v>-329371</v>
      </c>
      <c r="BF54" s="476">
        <f t="shared" si="81"/>
        <v>-329371</v>
      </c>
      <c r="BG54" s="203">
        <f t="shared" si="81"/>
        <v>-296694</v>
      </c>
      <c r="BH54" s="203">
        <f t="shared" si="81"/>
        <v>-290528</v>
      </c>
      <c r="BI54" s="203">
        <f t="shared" si="81"/>
        <v>-256733</v>
      </c>
      <c r="BJ54" s="203">
        <f t="shared" si="81"/>
        <v>-233495</v>
      </c>
      <c r="BK54" s="476">
        <f t="shared" si="81"/>
        <v>-233495</v>
      </c>
      <c r="BL54" s="203">
        <f t="shared" si="81"/>
        <v>-208267.68379597226</v>
      </c>
      <c r="BM54" s="203">
        <f t="shared" si="81"/>
        <v>-173845.46455014998</v>
      </c>
      <c r="BN54" s="203">
        <f t="shared" si="81"/>
        <v>-146225.4896911789</v>
      </c>
      <c r="BO54" s="203">
        <f t="shared" si="81"/>
        <v>-97106.592630551662</v>
      </c>
      <c r="BP54" s="476">
        <f t="shared" si="81"/>
        <v>-97106.592630551662</v>
      </c>
      <c r="BQ54" s="203">
        <f t="shared" ref="BQ54:BU54" si="82">+(BQ52*BQ65)-BQ53</f>
        <v>-73177.826544670505</v>
      </c>
      <c r="BR54" s="203">
        <f t="shared" si="82"/>
        <v>-42822.59825355839</v>
      </c>
      <c r="BS54" s="203">
        <f t="shared" si="82"/>
        <v>-12522.386392639135</v>
      </c>
      <c r="BT54" s="203">
        <f t="shared" si="82"/>
        <v>39973.761075351504</v>
      </c>
      <c r="BU54" s="476">
        <f t="shared" si="82"/>
        <v>39973.761075351387</v>
      </c>
    </row>
    <row r="55" spans="2:73" ht="13.35" customHeight="1">
      <c r="B55" s="183" t="s">
        <v>358</v>
      </c>
      <c r="C55" s="183"/>
      <c r="D55" s="183">
        <f t="shared" ref="D55:AQ55" si="83">+D54/D65</f>
        <v>0</v>
      </c>
      <c r="E55" s="183">
        <f t="shared" si="83"/>
        <v>0</v>
      </c>
      <c r="F55" s="183">
        <f t="shared" si="83"/>
        <v>0</v>
      </c>
      <c r="G55" s="183">
        <f t="shared" si="83"/>
        <v>1.5598405478955562</v>
      </c>
      <c r="H55" s="183">
        <f t="shared" si="83"/>
        <v>1.5622998381635274</v>
      </c>
      <c r="I55" s="183">
        <f t="shared" si="83"/>
        <v>1.2920231845943122</v>
      </c>
      <c r="J55" s="183">
        <f t="shared" si="83"/>
        <v>0.77300592990957795</v>
      </c>
      <c r="K55" s="183">
        <f t="shared" si="83"/>
        <v>3.7547602270154492</v>
      </c>
      <c r="L55" s="183">
        <f t="shared" si="83"/>
        <v>2.157577631483103</v>
      </c>
      <c r="M55" s="475">
        <f t="shared" si="83"/>
        <v>3.514002671659858</v>
      </c>
      <c r="N55" s="183">
        <f t="shared" si="83"/>
        <v>2.05950186680275</v>
      </c>
      <c r="O55" s="183">
        <f t="shared" si="83"/>
        <v>2.0639927616695588</v>
      </c>
      <c r="P55" s="183">
        <f t="shared" si="83"/>
        <v>2.1145227854866713</v>
      </c>
      <c r="Q55" s="183">
        <f t="shared" si="83"/>
        <v>2.198155419892823</v>
      </c>
      <c r="R55" s="475">
        <f t="shared" si="83"/>
        <v>2.2326335742726058</v>
      </c>
      <c r="S55" s="183">
        <f t="shared" si="83"/>
        <v>2.2854174794857802</v>
      </c>
      <c r="T55" s="183">
        <f t="shared" si="83"/>
        <v>2.1808152129995517</v>
      </c>
      <c r="U55" s="183">
        <f t="shared" si="83"/>
        <v>1.9637688233503412</v>
      </c>
      <c r="V55" s="183">
        <f t="shared" si="83"/>
        <v>2.100508612080735</v>
      </c>
      <c r="W55" s="475">
        <f t="shared" si="83"/>
        <v>2.1395818572558056</v>
      </c>
      <c r="X55" s="183">
        <f t="shared" si="83"/>
        <v>2.8836823507943441</v>
      </c>
      <c r="Y55" s="183">
        <f t="shared" si="83"/>
        <v>2.5635941199327648</v>
      </c>
      <c r="Z55" s="183">
        <f t="shared" si="83"/>
        <v>2.9607957543319037</v>
      </c>
      <c r="AA55" s="183">
        <f t="shared" si="83"/>
        <v>2.7212462281922534</v>
      </c>
      <c r="AB55" s="475">
        <f t="shared" si="83"/>
        <v>2.7767081166080918</v>
      </c>
      <c r="AC55" s="183">
        <f t="shared" si="83"/>
        <v>2.1077514982005652</v>
      </c>
      <c r="AD55" s="183">
        <f t="shared" si="83"/>
        <v>1.6257247789159583</v>
      </c>
      <c r="AE55" s="183">
        <f t="shared" si="83"/>
        <v>1.4362464007731226</v>
      </c>
      <c r="AF55" s="183">
        <f t="shared" si="83"/>
        <v>1.4692080833790897</v>
      </c>
      <c r="AG55" s="475">
        <f t="shared" si="83"/>
        <v>1.4840725179709295</v>
      </c>
      <c r="AH55" s="183">
        <f t="shared" si="83"/>
        <v>1.3102239078857414</v>
      </c>
      <c r="AI55" s="183">
        <f t="shared" si="83"/>
        <v>-0.88837359618738854</v>
      </c>
      <c r="AJ55" s="183">
        <f t="shared" si="83"/>
        <v>-0.77720790819019836</v>
      </c>
      <c r="AK55" s="183">
        <f t="shared" si="83"/>
        <v>-1.0766766774695131</v>
      </c>
      <c r="AL55" s="475">
        <f t="shared" si="83"/>
        <v>-1.0973645225259314</v>
      </c>
      <c r="AM55" s="183">
        <f t="shared" si="83"/>
        <v>-4.5133075717531623</v>
      </c>
      <c r="AN55" s="183">
        <f t="shared" si="83"/>
        <v>-3.4099813527037677</v>
      </c>
      <c r="AO55" s="183">
        <f t="shared" si="83"/>
        <v>-8.589942421151127</v>
      </c>
      <c r="AP55" s="183">
        <f t="shared" si="83"/>
        <v>-9.7716400720006131</v>
      </c>
      <c r="AQ55" s="475">
        <f t="shared" si="83"/>
        <v>-10.04643115942029</v>
      </c>
      <c r="AR55" s="183">
        <f t="shared" ref="AR55:BP55" si="84">+AR54/AR65</f>
        <v>-9.5310819586603817</v>
      </c>
      <c r="AS55" s="183">
        <f t="shared" si="84"/>
        <v>-9.613794707750305</v>
      </c>
      <c r="AT55" s="183">
        <f t="shared" si="84"/>
        <v>-8.333441187443416</v>
      </c>
      <c r="AU55" s="183">
        <f t="shared" si="84"/>
        <v>-7.3945693888677004</v>
      </c>
      <c r="AV55" s="475">
        <f t="shared" si="84"/>
        <v>-8.1974060968190905</v>
      </c>
      <c r="AW55" s="183">
        <f t="shared" si="84"/>
        <v>-8.2426199010525973</v>
      </c>
      <c r="AX55" s="183">
        <f t="shared" si="84"/>
        <v>-7.7632354057818569</v>
      </c>
      <c r="AY55" s="183">
        <f t="shared" si="84"/>
        <v>-8.0716152073765812</v>
      </c>
      <c r="AZ55" s="183">
        <f t="shared" si="84"/>
        <v>-6.654811344564532</v>
      </c>
      <c r="BA55" s="475">
        <f t="shared" si="84"/>
        <v>-6.8084701547178117</v>
      </c>
      <c r="BB55" s="183">
        <f t="shared" si="84"/>
        <v>-6.3066637860700965</v>
      </c>
      <c r="BC55" s="183">
        <f t="shared" si="84"/>
        <v>-5.2820215282457887</v>
      </c>
      <c r="BD55" s="183">
        <f t="shared" si="84"/>
        <v>-5.1422322190356651</v>
      </c>
      <c r="BE55" s="183">
        <f t="shared" si="84"/>
        <v>-4.3866483492657</v>
      </c>
      <c r="BF55" s="475">
        <f t="shared" si="84"/>
        <v>-4.4226598600897811</v>
      </c>
      <c r="BG55" s="183">
        <f t="shared" si="84"/>
        <v>-3.9345148229378815</v>
      </c>
      <c r="BH55" s="183">
        <f t="shared" si="84"/>
        <v>-3.8539924674642623</v>
      </c>
      <c r="BI55" s="183">
        <f t="shared" si="84"/>
        <v>-3.3954077451793525</v>
      </c>
      <c r="BJ55" s="183">
        <f t="shared" si="84"/>
        <v>-3.0597582668445198</v>
      </c>
      <c r="BK55" s="475">
        <f t="shared" si="84"/>
        <v>-3.0853434038279586</v>
      </c>
      <c r="BL55" s="183">
        <f t="shared" si="84"/>
        <v>-2.7012669753044394</v>
      </c>
      <c r="BM55" s="183">
        <f t="shared" si="84"/>
        <v>-2.2324801858220642</v>
      </c>
      <c r="BN55" s="183">
        <f t="shared" si="84"/>
        <v>-1.8591993497646575</v>
      </c>
      <c r="BO55" s="183">
        <f t="shared" si="84"/>
        <v>-1.2260893476803365</v>
      </c>
      <c r="BP55" s="475">
        <f t="shared" si="84"/>
        <v>-1.2416890499471165</v>
      </c>
      <c r="BQ55" s="183">
        <f t="shared" ref="BQ55:BU55" si="85">+BQ54/BQ65</f>
        <v>-0.9230364104437484</v>
      </c>
      <c r="BR55" s="183">
        <f t="shared" si="85"/>
        <v>-0.53960785544357381</v>
      </c>
      <c r="BS55" s="183">
        <f t="shared" si="85"/>
        <v>-0.15763704011510166</v>
      </c>
      <c r="BT55" s="183">
        <f t="shared" si="85"/>
        <v>0.50270372838512234</v>
      </c>
      <c r="BU55" s="475">
        <f t="shared" si="85"/>
        <v>0.50345765811347232</v>
      </c>
    </row>
    <row r="56" spans="2:73" ht="13.35" customHeight="1">
      <c r="B56" s="183" t="s">
        <v>112</v>
      </c>
      <c r="C56" s="155"/>
      <c r="D56" s="184">
        <f t="shared" ref="D56:AQ56" si="86">+D48/D65</f>
        <v>0</v>
      </c>
      <c r="E56" s="184">
        <f t="shared" si="86"/>
        <v>0</v>
      </c>
      <c r="F56" s="184">
        <f t="shared" si="86"/>
        <v>0</v>
      </c>
      <c r="G56" s="184">
        <f t="shared" si="86"/>
        <v>-19.29958687523019</v>
      </c>
      <c r="H56" s="184">
        <f t="shared" si="86"/>
        <v>-19.330015168841452</v>
      </c>
      <c r="I56" s="184">
        <f t="shared" si="86"/>
        <v>-20.948430762143389</v>
      </c>
      <c r="J56" s="184">
        <f t="shared" si="86"/>
        <v>-23.274916671577071</v>
      </c>
      <c r="K56" s="184">
        <f t="shared" si="86"/>
        <v>1.5886502451024038</v>
      </c>
      <c r="L56" s="184">
        <f t="shared" si="86"/>
        <v>1.6969613677540032</v>
      </c>
      <c r="M56" s="477">
        <f t="shared" si="86"/>
        <v>2.7638063599556899</v>
      </c>
      <c r="N56" s="184">
        <f t="shared" si="86"/>
        <v>1.4949071425042952</v>
      </c>
      <c r="O56" s="184">
        <f t="shared" si="86"/>
        <v>1.2455309278314113</v>
      </c>
      <c r="P56" s="184">
        <f t="shared" si="86"/>
        <v>1.1485897809644638</v>
      </c>
      <c r="Q56" s="184">
        <f t="shared" si="86"/>
        <v>1.003442946947567</v>
      </c>
      <c r="R56" s="477">
        <f t="shared" si="86"/>
        <v>1.0191819891113141</v>
      </c>
      <c r="S56" s="184">
        <f t="shared" si="86"/>
        <v>0.90099607940446536</v>
      </c>
      <c r="T56" s="184">
        <f t="shared" si="86"/>
        <v>0.81129231178057026</v>
      </c>
      <c r="U56" s="184">
        <f t="shared" si="86"/>
        <v>0.73398141478464451</v>
      </c>
      <c r="V56" s="184">
        <f t="shared" si="86"/>
        <v>1.1441393243608682</v>
      </c>
      <c r="W56" s="477">
        <f t="shared" si="86"/>
        <v>1.1654223774643293</v>
      </c>
      <c r="X56" s="184">
        <f t="shared" si="86"/>
        <v>1.6350716928130236</v>
      </c>
      <c r="Y56" s="184">
        <f t="shared" si="86"/>
        <v>1.502659456373189</v>
      </c>
      <c r="Z56" s="184">
        <f t="shared" si="86"/>
        <v>1.9845003025424546</v>
      </c>
      <c r="AA56" s="184">
        <f t="shared" si="86"/>
        <v>1.842288274831712</v>
      </c>
      <c r="AB56" s="477">
        <f t="shared" si="86"/>
        <v>1.8798360666007796</v>
      </c>
      <c r="AC56" s="184">
        <f t="shared" si="86"/>
        <v>1.7358999329522302</v>
      </c>
      <c r="AD56" s="184">
        <f t="shared" si="86"/>
        <v>1.6819936586817386</v>
      </c>
      <c r="AE56" s="184">
        <f t="shared" si="86"/>
        <v>1.6444149228951159</v>
      </c>
      <c r="AF56" s="184">
        <f t="shared" si="86"/>
        <v>1.5815979947509919</v>
      </c>
      <c r="AG56" s="477">
        <f t="shared" si="86"/>
        <v>1.5975995129903215</v>
      </c>
      <c r="AH56" s="184">
        <f t="shared" si="86"/>
        <v>1.5221243669369053</v>
      </c>
      <c r="AI56" s="184">
        <f t="shared" si="86"/>
        <v>1.7090544058345756</v>
      </c>
      <c r="AJ56" s="184">
        <f t="shared" si="86"/>
        <v>1.5837139586926252</v>
      </c>
      <c r="AK56" s="184">
        <f t="shared" si="86"/>
        <v>1.3752302038970661</v>
      </c>
      <c r="AL56" s="477">
        <f t="shared" si="86"/>
        <v>1.4016546170662971</v>
      </c>
      <c r="AM56" s="184">
        <f t="shared" si="86"/>
        <v>-1.5353025744448796</v>
      </c>
      <c r="AN56" s="184">
        <f t="shared" si="86"/>
        <v>-1.6523852565282424</v>
      </c>
      <c r="AO56" s="184">
        <f t="shared" si="86"/>
        <v>-1.7987052159179424</v>
      </c>
      <c r="AP56" s="184">
        <f t="shared" si="86"/>
        <v>-2.2200864299849021</v>
      </c>
      <c r="AQ56" s="477">
        <f t="shared" si="86"/>
        <v>-2.2825181159420289</v>
      </c>
      <c r="AR56" s="184">
        <f t="shared" ref="AR56:BP56" si="87">+AR48/AR65</f>
        <v>-2.3655508606947433</v>
      </c>
      <c r="AS56" s="184">
        <f t="shared" si="87"/>
        <v>-2.5438720268307886</v>
      </c>
      <c r="AT56" s="184">
        <f t="shared" si="87"/>
        <v>-2.1690338090393206</v>
      </c>
      <c r="AU56" s="184">
        <f t="shared" si="87"/>
        <v>-1.7249297703881359</v>
      </c>
      <c r="AV56" s="477">
        <f t="shared" si="87"/>
        <v>-1.9122073338917782</v>
      </c>
      <c r="AW56" s="184">
        <f t="shared" si="87"/>
        <v>-1.6592137189619187</v>
      </c>
      <c r="AX56" s="184">
        <f t="shared" si="87"/>
        <v>-1.6513389072578397</v>
      </c>
      <c r="AY56" s="184">
        <f t="shared" si="87"/>
        <v>-2.346107802873417</v>
      </c>
      <c r="AZ56" s="184">
        <f t="shared" si="87"/>
        <v>-1.6028854460784665</v>
      </c>
      <c r="BA56" s="477">
        <f t="shared" si="87"/>
        <v>-1.6398958822432115</v>
      </c>
      <c r="BB56" s="184">
        <f t="shared" si="87"/>
        <v>-1.1678871915728932</v>
      </c>
      <c r="BC56" s="184">
        <f t="shared" si="87"/>
        <v>-0.71272381709664434</v>
      </c>
      <c r="BD56" s="184">
        <f t="shared" si="87"/>
        <v>-8.4575349304309391E-2</v>
      </c>
      <c r="BE56" s="184">
        <f t="shared" si="87"/>
        <v>0.2358796885999217</v>
      </c>
      <c r="BF56" s="477">
        <f t="shared" si="87"/>
        <v>0.23781610640296233</v>
      </c>
      <c r="BG56" s="184">
        <f t="shared" si="87"/>
        <v>0.69915633782594522</v>
      </c>
      <c r="BH56" s="184">
        <f t="shared" si="87"/>
        <v>1.1998225875121851</v>
      </c>
      <c r="BI56" s="184">
        <f t="shared" si="87"/>
        <v>1.6824880000262394</v>
      </c>
      <c r="BJ56" s="184">
        <f t="shared" si="87"/>
        <v>2.0276082855258251</v>
      </c>
      <c r="BK56" s="477">
        <f t="shared" si="87"/>
        <v>2.0445627738251355</v>
      </c>
      <c r="BL56" s="184">
        <f t="shared" si="87"/>
        <v>2.2465809799773027</v>
      </c>
      <c r="BM56" s="184">
        <f t="shared" si="87"/>
        <v>2.5089626428612699</v>
      </c>
      <c r="BN56" s="184">
        <f t="shared" si="87"/>
        <v>2.8636001134117324</v>
      </c>
      <c r="BO56" s="184">
        <f t="shared" si="87"/>
        <v>3.1721226094881465</v>
      </c>
      <c r="BP56" s="477">
        <f t="shared" si="87"/>
        <v>3.2124819587927922</v>
      </c>
      <c r="BQ56" s="184">
        <f t="shared" ref="BQ56:BU56" si="88">+BQ48/BQ65</f>
        <v>3.5446033589150177</v>
      </c>
      <c r="BR56" s="184">
        <f t="shared" si="88"/>
        <v>3.8689450462805106</v>
      </c>
      <c r="BS56" s="184">
        <f t="shared" si="88"/>
        <v>4.2634024017346874</v>
      </c>
      <c r="BT56" s="184">
        <f t="shared" si="88"/>
        <v>4.6055310317889973</v>
      </c>
      <c r="BU56" s="477">
        <f t="shared" si="88"/>
        <v>4.6124381752288626</v>
      </c>
    </row>
    <row r="57" spans="2:73" ht="13.35" customHeight="1">
      <c r="B57" s="183" t="s">
        <v>113</v>
      </c>
      <c r="C57" s="308"/>
      <c r="D57" s="308">
        <f t="shared" ref="D57:L57" si="89">+D9/D62*90</f>
        <v>0</v>
      </c>
      <c r="E57" s="308">
        <f t="shared" si="89"/>
        <v>0</v>
      </c>
      <c r="F57" s="308">
        <f t="shared" si="89"/>
        <v>0</v>
      </c>
      <c r="G57" s="308">
        <f t="shared" si="89"/>
        <v>104.26624116708457</v>
      </c>
      <c r="H57" s="308">
        <f t="shared" si="89"/>
        <v>29.748699271592091</v>
      </c>
      <c r="I57" s="308">
        <f t="shared" si="89"/>
        <v>80.28636884306988</v>
      </c>
      <c r="J57" s="308">
        <f t="shared" si="89"/>
        <v>91.999612252811175</v>
      </c>
      <c r="K57" s="308">
        <f t="shared" si="89"/>
        <v>101.6251059621362</v>
      </c>
      <c r="L57" s="308">
        <f t="shared" si="89"/>
        <v>120.98621130490365</v>
      </c>
      <c r="M57" s="478">
        <f>+((M9+H9)/2)/M62*360</f>
        <v>113.30980945659846</v>
      </c>
      <c r="N57" s="308">
        <f>+N9/N62*90</f>
        <v>77.121795608690661</v>
      </c>
      <c r="O57" s="308">
        <f>+O9/O62*90</f>
        <v>93.368841901899756</v>
      </c>
      <c r="P57" s="308">
        <f>+P9/P62*90</f>
        <v>85.419569151441536</v>
      </c>
      <c r="Q57" s="308">
        <f>+Q9/Q62*90</f>
        <v>98.233778922591824</v>
      </c>
      <c r="R57" s="478">
        <f>+((R9+M9)/2)/R62*360</f>
        <v>106.69181958497684</v>
      </c>
      <c r="S57" s="308">
        <f>+S9/S62*90</f>
        <v>67.04099900541496</v>
      </c>
      <c r="T57" s="308">
        <f>+T9/T62*90</f>
        <v>90.221950551187746</v>
      </c>
      <c r="U57" s="308">
        <f>+U9/U62*90</f>
        <v>86.738188080204267</v>
      </c>
      <c r="V57" s="308">
        <f>+V9/V62*90</f>
        <v>114.83414456704369</v>
      </c>
      <c r="W57" s="478">
        <f>+((W9+R9)/2)/W62*360</f>
        <v>110.01642281277994</v>
      </c>
      <c r="X57" s="308">
        <f>+X9/X62*90</f>
        <v>63.920388883793457</v>
      </c>
      <c r="Y57" s="308">
        <f>+Y9/Y62*90</f>
        <v>74.653753358087641</v>
      </c>
      <c r="Z57" s="308">
        <f>+Z9/Z62*90</f>
        <v>77.597851358935301</v>
      </c>
      <c r="AA57" s="308">
        <f>+AA9/AA62*90</f>
        <v>98.06819834230042</v>
      </c>
      <c r="AB57" s="478">
        <f>+((AB9+W9)/2)/AB62*360</f>
        <v>109.57913237276261</v>
      </c>
      <c r="AC57" s="308">
        <f>+AC9/AC62*90</f>
        <v>73.42529206804673</v>
      </c>
      <c r="AD57" s="308">
        <f>+AD9/AD62*90</f>
        <v>78.9778239339404</v>
      </c>
      <c r="AE57" s="308">
        <f>+AE9/AE62*90</f>
        <v>67.560339125729058</v>
      </c>
      <c r="AF57" s="308">
        <f>+AF9/AF62*90</f>
        <v>86.345910439944134</v>
      </c>
      <c r="AG57" s="478">
        <f>+((AG9+AB9)/2)/AG62*360</f>
        <v>89.663339929713374</v>
      </c>
      <c r="AH57" s="308">
        <f>+AH9/AH62*90</f>
        <v>61.425906296374819</v>
      </c>
      <c r="AI57" s="308">
        <f>+AI9/AI62*90</f>
        <v>69.90122533160789</v>
      </c>
      <c r="AJ57" s="308">
        <f>+AJ9/AJ62*90</f>
        <v>63.062098501070665</v>
      </c>
      <c r="AK57" s="308">
        <f>+AK9/AK62*90</f>
        <v>88.759267932731831</v>
      </c>
      <c r="AL57" s="478">
        <f>+((AL9+AG9)/2)/AL62*360</f>
        <v>87.28044210495618</v>
      </c>
      <c r="AM57" s="308">
        <f>+AM9/AM62*90</f>
        <v>58.78417382568049</v>
      </c>
      <c r="AN57" s="308">
        <f>+AN9/AN62*90</f>
        <v>70.110741095229443</v>
      </c>
      <c r="AO57" s="308">
        <f>+AO9/AO62*90</f>
        <v>62.259639441291263</v>
      </c>
      <c r="AP57" s="308">
        <f>+AP9/AP62*90</f>
        <v>86.709531911526142</v>
      </c>
      <c r="AQ57" s="478">
        <f>+((AQ9+AL9)/2)/AQ62*360</f>
        <v>86.635027007642833</v>
      </c>
      <c r="AR57" s="308">
        <f>+AR9/AR62*90</f>
        <v>61.370914451278402</v>
      </c>
      <c r="AS57" s="308">
        <f>+AS9/AS62*90</f>
        <v>67.021528171747633</v>
      </c>
      <c r="AT57" s="308">
        <f>+AT9/AT62*90</f>
        <v>61.966432452422268</v>
      </c>
      <c r="AU57" s="308">
        <f>+AU9/AU62*90</f>
        <v>74.176735563397457</v>
      </c>
      <c r="AV57" s="478">
        <f>+((AV9+AQ9)/2)/AV62*360</f>
        <v>78.333603373605825</v>
      </c>
      <c r="AW57" s="308">
        <f>+AW9/AW62*90</f>
        <v>57.330570932555936</v>
      </c>
      <c r="AX57" s="308">
        <f>+AX9/AX62*90</f>
        <v>64.420077512052188</v>
      </c>
      <c r="AY57" s="308">
        <f>+AY9/AY62*90</f>
        <v>62.321027142016568</v>
      </c>
      <c r="AZ57" s="308">
        <f>+AZ9/AZ62*90</f>
        <v>72.283940994212443</v>
      </c>
      <c r="BA57" s="478">
        <f>+((BA9+AV9)/2)/BA62*360</f>
        <v>73.348008954529149</v>
      </c>
      <c r="BB57" s="308">
        <f>+BB9/BB62*90</f>
        <v>54.673307297380312</v>
      </c>
      <c r="BC57" s="308">
        <f>+BC9/BC62*90</f>
        <v>62.168026501146691</v>
      </c>
      <c r="BD57" s="308">
        <f>+BD9/BD62*90</f>
        <v>59.491973128849224</v>
      </c>
      <c r="BE57" s="308">
        <f>+BE9/BE62*90</f>
        <v>70.016230388280832</v>
      </c>
      <c r="BF57" s="478">
        <f>+((BF9+BA9)/2)/BF62*360</f>
        <v>71.040548241898463</v>
      </c>
      <c r="BG57" s="308">
        <f>+BG9/BG62*90</f>
        <v>60.159379414324647</v>
      </c>
      <c r="BH57" s="308">
        <f>+BH9/BH62*90</f>
        <v>63.31425396721648</v>
      </c>
      <c r="BI57" s="308">
        <f>+BI9/BI62*90</f>
        <v>58.361671866397508</v>
      </c>
      <c r="BJ57" s="308">
        <f>+BJ9/BJ62*90</f>
        <v>69.146089020553106</v>
      </c>
      <c r="BK57" s="478">
        <f>+((BK9+BF9)/2)/BK62*360</f>
        <v>70.187300678999861</v>
      </c>
      <c r="BL57" s="308">
        <f>+BL9/BL62*90</f>
        <v>60.999999999999993</v>
      </c>
      <c r="BM57" s="308">
        <f>+BM9/BM62*90</f>
        <v>63.999999999999993</v>
      </c>
      <c r="BN57" s="308">
        <f>+BN9/BN62*90</f>
        <v>58.000000000000007</v>
      </c>
      <c r="BO57" s="308">
        <f>+BO9/BO62*90</f>
        <v>68</v>
      </c>
      <c r="BP57" s="478">
        <f>+((BP9+BK9)/2)/BP62*360</f>
        <v>70.162132196005984</v>
      </c>
      <c r="BQ57" s="308">
        <f>+BQ9/BQ62*90</f>
        <v>60.000000000000007</v>
      </c>
      <c r="BR57" s="308">
        <f>+BR9/BR62*90</f>
        <v>64</v>
      </c>
      <c r="BS57" s="308">
        <f>+BS9/BS62*90</f>
        <v>60.999999999999993</v>
      </c>
      <c r="BT57" s="308">
        <f>+BT9/BT62*90</f>
        <v>72</v>
      </c>
      <c r="BU57" s="478">
        <f>+((BU9+BP9)/2)/BU62*360</f>
        <v>70.087313012942261</v>
      </c>
    </row>
    <row r="58" spans="2:73" ht="13.35" customHeight="1">
      <c r="B58" s="155" t="s">
        <v>190</v>
      </c>
      <c r="C58" s="185"/>
      <c r="D58" s="308">
        <f t="shared" ref="D58:L58" si="90">+D28/D63*90</f>
        <v>0</v>
      </c>
      <c r="E58" s="308">
        <f t="shared" si="90"/>
        <v>0</v>
      </c>
      <c r="F58" s="308">
        <f t="shared" si="90"/>
        <v>0</v>
      </c>
      <c r="G58" s="308">
        <f t="shared" si="90"/>
        <v>55.365344467640917</v>
      </c>
      <c r="H58" s="308">
        <f t="shared" si="90"/>
        <v>17.478031634446396</v>
      </c>
      <c r="I58" s="308">
        <f t="shared" si="90"/>
        <v>41.71153846153846</v>
      </c>
      <c r="J58" s="308">
        <f t="shared" si="90"/>
        <v>42.053445850914208</v>
      </c>
      <c r="K58" s="308">
        <f t="shared" si="90"/>
        <v>38.663870581186337</v>
      </c>
      <c r="L58" s="308">
        <f t="shared" si="90"/>
        <v>22.409285277947465</v>
      </c>
      <c r="M58" s="478">
        <f>+((M28+H28)/2)/M63*360</f>
        <v>36.484363636363639</v>
      </c>
      <c r="N58" s="308">
        <f>+N28/N63*90</f>
        <v>18.34542994218231</v>
      </c>
      <c r="O58" s="308">
        <f>+O28/O63*90</f>
        <v>43.418332184700205</v>
      </c>
      <c r="P58" s="308">
        <f>+P28/P63*90</f>
        <v>25.543766578249336</v>
      </c>
      <c r="Q58" s="308">
        <f>+Q28/Q63*90</f>
        <v>32.609049038201029</v>
      </c>
      <c r="R58" s="478">
        <f>+((R28+M28)/2)/R63*360</f>
        <v>29.169903302708057</v>
      </c>
      <c r="S58" s="308">
        <f>+S28/S63*90</f>
        <v>27.062720468037512</v>
      </c>
      <c r="T58" s="308">
        <f>+T28/T63*90</f>
        <v>16.471780733052221</v>
      </c>
      <c r="U58" s="308">
        <f>+U28/U63*90</f>
        <v>24.303883715648421</v>
      </c>
      <c r="V58" s="308">
        <f>+V28/V63*90</f>
        <v>12.582698789164898</v>
      </c>
      <c r="W58" s="478">
        <f>+((W28+R28)/2)/W63*360</f>
        <v>21.158951603805512</v>
      </c>
      <c r="X58" s="308">
        <f>+X28/X63*90</f>
        <v>33.320924764890279</v>
      </c>
      <c r="Y58" s="308">
        <f>+Y28/Y63*90</f>
        <v>25.892333603642939</v>
      </c>
      <c r="Z58" s="308">
        <f>+Z28/Z63*90</f>
        <v>15.150629906883331</v>
      </c>
      <c r="AA58" s="308">
        <f>+AA28/AA63*90</f>
        <v>35.975499092558984</v>
      </c>
      <c r="AB58" s="478">
        <f>+((AB28+W28)/2)/AB63*360</f>
        <v>25.560957710301807</v>
      </c>
      <c r="AC58" s="308">
        <f>+AC28/AC63*90</f>
        <v>31.411706019288328</v>
      </c>
      <c r="AD58" s="308">
        <f>+AD28/AD63*90</f>
        <v>58.974294227564265</v>
      </c>
      <c r="AE58" s="308">
        <f>+AE28/AE63*90</f>
        <v>27.684828558008459</v>
      </c>
      <c r="AF58" s="308">
        <f>+AF28/AF63*90</f>
        <v>26.640685892439592</v>
      </c>
      <c r="AG58" s="478">
        <f>+((AG28+AB28)/2)/AG63*360</f>
        <v>30.392936626655477</v>
      </c>
      <c r="AH58" s="308">
        <f>+AH28/AH63*90</f>
        <v>36.04298507462687</v>
      </c>
      <c r="AI58" s="308">
        <f>+AI28/AI63*90</f>
        <v>24.714645974781767</v>
      </c>
      <c r="AJ58" s="308">
        <f>+AJ28/AJ63*90</f>
        <v>29.603452042822809</v>
      </c>
      <c r="AK58" s="308">
        <f>+AK28/AK63*90</f>
        <v>11.519713499353383</v>
      </c>
      <c r="AL58" s="478">
        <f>+((AL28+AG28)/2)/AL63*360</f>
        <v>17.741409338456862</v>
      </c>
      <c r="AM58" s="308">
        <f>+AM28/AM63*90</f>
        <v>12.08476589360505</v>
      </c>
      <c r="AN58" s="308">
        <f>+AN28/AN63*90</f>
        <v>121.80038176770015</v>
      </c>
      <c r="AO58" s="308">
        <f>+AO28/AO63*90</f>
        <v>127.06768134715027</v>
      </c>
      <c r="AP58" s="308">
        <f>+AP28/AP63*90</f>
        <v>7.2920358055088936</v>
      </c>
      <c r="AQ58" s="478">
        <f>+((AQ28+AL28)/2)/AQ63*360</f>
        <v>9.0328589979807319</v>
      </c>
      <c r="AR58" s="308">
        <f>+AR28/AR63*90</f>
        <v>24.679742982752789</v>
      </c>
      <c r="AS58" s="308">
        <f>+AS28/AS63*90</f>
        <v>13.179012345679011</v>
      </c>
      <c r="AT58" s="308">
        <f>+AT28/AT63*90</f>
        <v>26.732367812151857</v>
      </c>
      <c r="AU58" s="308">
        <f>+AU28/AU63*90</f>
        <v>19.307769549391239</v>
      </c>
      <c r="AV58" s="478">
        <f>+((AV28+AQ28)/2)/AV63*360</f>
        <v>13.368339901557505</v>
      </c>
      <c r="AW58" s="308">
        <f>+AW28/AW63*90</f>
        <v>15.634287822575686</v>
      </c>
      <c r="AX58" s="308">
        <f>+AX28/AX63*90</f>
        <v>16.071875558734131</v>
      </c>
      <c r="AY58" s="308">
        <f>+AY28/AY63*90</f>
        <v>15.943437302089931</v>
      </c>
      <c r="AZ58" s="308">
        <f>+AZ28/AZ63*90</f>
        <v>26.849046280399222</v>
      </c>
      <c r="BA58" s="478">
        <f>+((BA28+AV28)/2)/BA63*360</f>
        <v>23.152944659643236</v>
      </c>
      <c r="BB58" s="308">
        <f>+BB28/BB63*90</f>
        <v>19.191200977669148</v>
      </c>
      <c r="BC58" s="308">
        <f>+BC28/BC63*90</f>
        <v>21.482033140942097</v>
      </c>
      <c r="BD58" s="308">
        <f>+BD28/BD63*90</f>
        <v>9.7192748983922606</v>
      </c>
      <c r="BE58" s="308">
        <f>+BE28/BE63*90</f>
        <v>29.159512671567366</v>
      </c>
      <c r="BF58" s="478">
        <f>+((BF28+BA28)/2)/BF63*360</f>
        <v>28.191861278142916</v>
      </c>
      <c r="BG58" s="308">
        <f>+BG28/BG63*90</f>
        <v>20.999374917129167</v>
      </c>
      <c r="BH58" s="308">
        <f>+BH28/BH63*90</f>
        <v>25.597081489938631</v>
      </c>
      <c r="BI58" s="308">
        <f>+BI28/BI63*90</f>
        <v>24.119064420081578</v>
      </c>
      <c r="BJ58" s="308">
        <f>+BJ28/BJ63*90</f>
        <v>16.355960101392501</v>
      </c>
      <c r="BK58" s="478">
        <f>+((BK28+BF28)/2)/BK63*360</f>
        <v>23.674474980896417</v>
      </c>
      <c r="BL58" s="308">
        <f>+BL28/BL63*90</f>
        <v>20.999999999999996</v>
      </c>
      <c r="BM58" s="308">
        <f>+BM28/BM63*90</f>
        <v>28</v>
      </c>
      <c r="BN58" s="308">
        <f>+BN28/BN63*90</f>
        <v>25</v>
      </c>
      <c r="BO58" s="308">
        <f>+BO28/BO63*90</f>
        <v>23.000000000000004</v>
      </c>
      <c r="BP58" s="478">
        <f>+((BP28+BK28)/2)/BP63*360</f>
        <v>20.904978382710976</v>
      </c>
      <c r="BQ58" s="308">
        <f>+BQ28/BQ63*90</f>
        <v>20</v>
      </c>
      <c r="BR58" s="308">
        <f>+BR28/BR63*90</f>
        <v>19.000000000000004</v>
      </c>
      <c r="BS58" s="308">
        <f>+BS28/BS63*90</f>
        <v>25</v>
      </c>
      <c r="BT58" s="308">
        <f>+BT28/BT63*90</f>
        <v>22</v>
      </c>
      <c r="BU58" s="478">
        <f>+((BU28+BP28)/2)/BU63*360</f>
        <v>23.051843040921504</v>
      </c>
    </row>
    <row r="59" spans="2:73" ht="6" customHeight="1">
      <c r="B59" s="175"/>
      <c r="C59" s="158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55"/>
      <c r="BI59" s="155"/>
      <c r="BJ59" s="155"/>
      <c r="BK59" s="155"/>
      <c r="BL59" s="155"/>
      <c r="BM59" s="155"/>
      <c r="BN59" s="155"/>
      <c r="BO59" s="155"/>
      <c r="BP59" s="155"/>
      <c r="BQ59" s="155"/>
      <c r="BR59" s="155"/>
      <c r="BS59" s="155"/>
      <c r="BT59" s="155"/>
      <c r="BU59" s="155"/>
    </row>
    <row r="60" spans="2:73" ht="13.35" customHeight="1" thickBot="1">
      <c r="B60" s="178" t="s">
        <v>364</v>
      </c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 t="str">
        <f t="shared" ref="X60:BP60" si="91">IF(X50=X23,"","CHECK")</f>
        <v/>
      </c>
      <c r="Y60" s="179" t="str">
        <f t="shared" si="91"/>
        <v/>
      </c>
      <c r="Z60" s="179" t="str">
        <f t="shared" si="91"/>
        <v/>
      </c>
      <c r="AA60" s="179" t="str">
        <f t="shared" si="91"/>
        <v/>
      </c>
      <c r="AB60" s="179" t="str">
        <f t="shared" si="91"/>
        <v/>
      </c>
      <c r="AC60" s="179" t="str">
        <f t="shared" si="91"/>
        <v/>
      </c>
      <c r="AD60" s="179" t="str">
        <f t="shared" si="91"/>
        <v/>
      </c>
      <c r="AE60" s="179" t="str">
        <f t="shared" si="91"/>
        <v/>
      </c>
      <c r="AF60" s="179" t="str">
        <f t="shared" si="91"/>
        <v/>
      </c>
      <c r="AG60" s="179" t="str">
        <f t="shared" si="91"/>
        <v/>
      </c>
      <c r="AH60" s="179" t="str">
        <f t="shared" si="91"/>
        <v/>
      </c>
      <c r="AI60" s="179" t="str">
        <f t="shared" si="91"/>
        <v/>
      </c>
      <c r="AJ60" s="179" t="str">
        <f t="shared" si="91"/>
        <v/>
      </c>
      <c r="AK60" s="179" t="str">
        <f t="shared" si="91"/>
        <v/>
      </c>
      <c r="AL60" s="179" t="str">
        <f t="shared" si="91"/>
        <v/>
      </c>
      <c r="AM60" s="179" t="str">
        <f t="shared" si="91"/>
        <v/>
      </c>
      <c r="AN60" s="179" t="str">
        <f t="shared" si="91"/>
        <v/>
      </c>
      <c r="AO60" s="179" t="str">
        <f t="shared" si="91"/>
        <v/>
      </c>
      <c r="AP60" s="179" t="str">
        <f t="shared" si="91"/>
        <v/>
      </c>
      <c r="AQ60" s="179" t="str">
        <f t="shared" si="91"/>
        <v/>
      </c>
      <c r="AR60" s="179" t="str">
        <f t="shared" si="91"/>
        <v/>
      </c>
      <c r="AS60" s="179" t="str">
        <f t="shared" si="91"/>
        <v/>
      </c>
      <c r="AT60" s="179" t="str">
        <f t="shared" si="91"/>
        <v/>
      </c>
      <c r="AU60" s="179" t="str">
        <f t="shared" si="91"/>
        <v/>
      </c>
      <c r="AV60" s="179" t="str">
        <f t="shared" si="91"/>
        <v/>
      </c>
      <c r="AW60" s="179" t="str">
        <f t="shared" si="91"/>
        <v/>
      </c>
      <c r="AX60" s="179" t="str">
        <f t="shared" si="91"/>
        <v/>
      </c>
      <c r="AY60" s="179" t="str">
        <f t="shared" si="91"/>
        <v/>
      </c>
      <c r="AZ60" s="179" t="str">
        <f t="shared" si="91"/>
        <v/>
      </c>
      <c r="BA60" s="179" t="str">
        <f t="shared" si="91"/>
        <v/>
      </c>
      <c r="BB60" s="179" t="str">
        <f t="shared" si="91"/>
        <v/>
      </c>
      <c r="BC60" s="179" t="str">
        <f t="shared" si="91"/>
        <v/>
      </c>
      <c r="BD60" s="179" t="str">
        <f t="shared" si="91"/>
        <v/>
      </c>
      <c r="BE60" s="179" t="str">
        <f t="shared" si="91"/>
        <v/>
      </c>
      <c r="BF60" s="179" t="str">
        <f t="shared" si="91"/>
        <v/>
      </c>
      <c r="BG60" s="179" t="str">
        <f t="shared" si="91"/>
        <v/>
      </c>
      <c r="BH60" s="179" t="str">
        <f t="shared" si="91"/>
        <v/>
      </c>
      <c r="BI60" s="179" t="str">
        <f t="shared" si="91"/>
        <v/>
      </c>
      <c r="BJ60" s="179" t="str">
        <f t="shared" si="91"/>
        <v/>
      </c>
      <c r="BK60" s="179" t="str">
        <f t="shared" si="91"/>
        <v/>
      </c>
      <c r="BL60" s="179" t="str">
        <f t="shared" si="91"/>
        <v/>
      </c>
      <c r="BM60" s="179" t="str">
        <f t="shared" si="91"/>
        <v/>
      </c>
      <c r="BN60" s="179" t="str">
        <f t="shared" si="91"/>
        <v/>
      </c>
      <c r="BO60" s="179" t="str">
        <f t="shared" si="91"/>
        <v/>
      </c>
      <c r="BP60" s="179" t="str">
        <f t="shared" si="91"/>
        <v/>
      </c>
      <c r="BQ60" s="179" t="str">
        <f t="shared" ref="BQ60:BU60" si="92">IF(BQ50=BQ23,"","CHECK")</f>
        <v/>
      </c>
      <c r="BR60" s="179" t="str">
        <f t="shared" si="92"/>
        <v/>
      </c>
      <c r="BS60" s="179" t="str">
        <f t="shared" si="92"/>
        <v/>
      </c>
      <c r="BT60" s="179" t="str">
        <f t="shared" si="92"/>
        <v/>
      </c>
      <c r="BU60" s="179" t="str">
        <f t="shared" si="92"/>
        <v/>
      </c>
    </row>
    <row r="61" spans="2:73" ht="13.35" customHeight="1">
      <c r="B61" s="587"/>
      <c r="C61" s="588"/>
      <c r="D61" s="588"/>
      <c r="E61" s="588"/>
      <c r="F61" s="588"/>
      <c r="G61" s="588"/>
      <c r="H61" s="588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Y61" s="588"/>
      <c r="Z61" s="588"/>
      <c r="AA61" s="588"/>
      <c r="AB61" s="588"/>
      <c r="AC61" s="588"/>
      <c r="AD61" s="588"/>
      <c r="AE61" s="588"/>
      <c r="AF61" s="588"/>
      <c r="AG61" s="588"/>
      <c r="AH61" s="588"/>
      <c r="AI61" s="588"/>
      <c r="AJ61" s="588"/>
      <c r="AK61" s="588"/>
      <c r="AL61" s="588"/>
      <c r="AM61" s="588"/>
      <c r="AN61" s="588"/>
      <c r="AO61" s="588"/>
      <c r="AP61" s="588"/>
      <c r="AQ61" s="588"/>
      <c r="AR61" s="588"/>
      <c r="AS61" s="588"/>
      <c r="AT61" s="588"/>
      <c r="AU61" s="588"/>
      <c r="AV61" s="588"/>
      <c r="AW61" s="588"/>
      <c r="AX61" s="588"/>
      <c r="AY61" s="588"/>
      <c r="AZ61" s="588"/>
      <c r="BA61" s="588"/>
      <c r="BB61" s="588"/>
      <c r="BC61" s="588"/>
      <c r="BD61" s="588"/>
      <c r="BE61" s="588"/>
      <c r="BF61" s="588"/>
      <c r="BG61" s="588"/>
      <c r="BH61" s="588"/>
      <c r="BI61" s="588"/>
      <c r="BJ61" s="588"/>
      <c r="BK61" s="588"/>
      <c r="BL61" s="588"/>
      <c r="BM61" s="588"/>
      <c r="BN61" s="588"/>
      <c r="BO61" s="588"/>
      <c r="BP61" s="588"/>
      <c r="BQ61" s="588"/>
      <c r="BR61" s="588"/>
      <c r="BS61" s="588"/>
      <c r="BT61" s="588"/>
      <c r="BU61" s="588"/>
    </row>
    <row r="62" spans="2:73" s="155" customFormat="1" ht="13.35" customHeight="1">
      <c r="B62" s="155" t="s">
        <v>4</v>
      </c>
      <c r="D62" s="355">
        <f>+IS!D52</f>
        <v>16736</v>
      </c>
      <c r="E62" s="355">
        <f>+IS!E52</f>
        <v>17880</v>
      </c>
      <c r="F62" s="355">
        <f>+IS!F52</f>
        <v>20329</v>
      </c>
      <c r="G62" s="355">
        <f>+IS!G52</f>
        <v>21935</v>
      </c>
      <c r="H62" s="355">
        <f>+IS!H52</f>
        <v>76880</v>
      </c>
      <c r="I62" s="355">
        <f>+IS!I52</f>
        <v>23571</v>
      </c>
      <c r="J62" s="355">
        <f>+IS!J52</f>
        <v>25790</v>
      </c>
      <c r="K62" s="355">
        <f>+IS!K52</f>
        <v>28312</v>
      </c>
      <c r="L62" s="355">
        <f>+IS!L52</f>
        <v>32853</v>
      </c>
      <c r="M62" s="479">
        <f>+IS!M52</f>
        <v>110526</v>
      </c>
      <c r="N62" s="355">
        <f>+IS!N52</f>
        <v>34796</v>
      </c>
      <c r="O62" s="355">
        <f>+IS!O52</f>
        <v>37268</v>
      </c>
      <c r="P62" s="355">
        <f>+IS!P52</f>
        <v>40339</v>
      </c>
      <c r="Q62" s="355">
        <f>+IS!Q52</f>
        <v>45034</v>
      </c>
      <c r="R62" s="479">
        <f>+IS!R52</f>
        <v>157437</v>
      </c>
      <c r="S62" s="355">
        <f>+IS!S52</f>
        <v>45245</v>
      </c>
      <c r="T62" s="355">
        <f>+IS!T52</f>
        <v>47443</v>
      </c>
      <c r="U62" s="355">
        <f>+IS!U52</f>
        <v>50521</v>
      </c>
      <c r="V62" s="355">
        <f>+IS!V52</f>
        <v>57731</v>
      </c>
      <c r="W62" s="479">
        <f>+IS!W52</f>
        <v>200940</v>
      </c>
      <c r="X62" s="355">
        <f>+IS!X52</f>
        <v>54515</v>
      </c>
      <c r="Y62" s="355">
        <f>+IS!Y52</f>
        <v>58441</v>
      </c>
      <c r="Z62" s="355">
        <f>+IS!Z52</f>
        <v>62365</v>
      </c>
      <c r="AA62" s="355">
        <f>+IS!AA52</f>
        <v>68770</v>
      </c>
      <c r="AB62" s="479">
        <f>+IS!AB52</f>
        <v>244091</v>
      </c>
      <c r="AC62" s="355">
        <f>+IS!AC52</f>
        <v>73185</v>
      </c>
      <c r="AD62" s="355">
        <f>+IS!AD52</f>
        <v>78959</v>
      </c>
      <c r="AE62" s="355">
        <f>+IS!AE52</f>
        <v>83155</v>
      </c>
      <c r="AF62" s="355">
        <f>+IS!AF52</f>
        <v>91648</v>
      </c>
      <c r="AG62" s="479">
        <f>+IS!AG52</f>
        <v>326947</v>
      </c>
      <c r="AH62" s="355">
        <f>+IS!AH52</f>
        <v>94340</v>
      </c>
      <c r="AI62" s="355">
        <f>+IS!AI52</f>
        <v>98912</v>
      </c>
      <c r="AJ62" s="355">
        <f>+IS!AJ52</f>
        <v>105075</v>
      </c>
      <c r="AK62" s="355">
        <f>+IS!AK52</f>
        <v>113159</v>
      </c>
      <c r="AL62" s="479">
        <f>+IS!AL52</f>
        <v>411486</v>
      </c>
      <c r="AM62" s="355">
        <f>+IS!AM52</f>
        <v>117451</v>
      </c>
      <c r="AN62" s="355">
        <f>+IS!AN52</f>
        <v>126421</v>
      </c>
      <c r="AO62" s="355">
        <f>+IS!AO52</f>
        <v>139894</v>
      </c>
      <c r="AP62" s="355">
        <f>+IS!AP52</f>
        <v>151638</v>
      </c>
      <c r="AQ62" s="479">
        <f>+IS!AQ52</f>
        <v>535404</v>
      </c>
      <c r="AR62" s="355">
        <f>+IS!AR52</f>
        <v>157384</v>
      </c>
      <c r="AS62" s="355">
        <f>+IS!AS52</f>
        <v>167455</v>
      </c>
      <c r="AT62" s="355">
        <f>+IS!AT52</f>
        <v>175765</v>
      </c>
      <c r="AU62" s="355">
        <f>+IS!AU52</f>
        <v>184479</v>
      </c>
      <c r="AV62" s="479">
        <f>+IS!AV52</f>
        <v>685083</v>
      </c>
      <c r="AW62" s="355">
        <f>+IS!AW52</f>
        <v>183174</v>
      </c>
      <c r="AX62" s="355">
        <f>+IS!AX52</f>
        <v>190422</v>
      </c>
      <c r="AY62" s="355">
        <f>+IS!AY52</f>
        <v>198843</v>
      </c>
      <c r="AZ62" s="355">
        <f>+IS!AZ52</f>
        <v>205268</v>
      </c>
      <c r="BA62" s="479">
        <f>+IS!BA52</f>
        <v>777707</v>
      </c>
      <c r="BB62" s="355">
        <f>+IS!BB52</f>
        <v>205101</v>
      </c>
      <c r="BC62" s="355">
        <f>+IS!BC52</f>
        <v>207991</v>
      </c>
      <c r="BD62" s="355">
        <f>+IS!BD52</f>
        <v>214654</v>
      </c>
      <c r="BE62" s="355">
        <f>+IS!BE52</f>
        <v>216261</v>
      </c>
      <c r="BF62" s="479">
        <f>+IS!BF52</f>
        <v>844007</v>
      </c>
      <c r="BG62" s="355">
        <f>+IS!BG52</f>
        <v>210253</v>
      </c>
      <c r="BH62" s="355">
        <f>+IS!BH52</f>
        <v>214193</v>
      </c>
      <c r="BI62" s="355">
        <f>+IS!BI52</f>
        <v>217960</v>
      </c>
      <c r="BJ62" s="355">
        <f>+IS!BJ52</f>
        <v>217388</v>
      </c>
      <c r="BK62" s="479">
        <f>+IS!BK52</f>
        <v>859794</v>
      </c>
      <c r="BL62" s="355">
        <f>+IS!BL52</f>
        <v>207969.72500000001</v>
      </c>
      <c r="BM62" s="355">
        <f>+IS!BM52</f>
        <v>208933.78</v>
      </c>
      <c r="BN62" s="355">
        <f>+IS!BN52</f>
        <v>210249.1</v>
      </c>
      <c r="BO62" s="355">
        <f>+IS!BO52</f>
        <v>211721.68</v>
      </c>
      <c r="BP62" s="479">
        <f>+IS!BP52</f>
        <v>838874.28500000003</v>
      </c>
      <c r="BQ62" s="355">
        <f>+IS!BQ52</f>
        <v>211522.59150000001</v>
      </c>
      <c r="BR62" s="355">
        <f>+IS!BR52</f>
        <v>212512.60920000001</v>
      </c>
      <c r="BS62" s="355">
        <f>+IS!BS52</f>
        <v>213685.1844</v>
      </c>
      <c r="BT62" s="355">
        <f>+IS!BT52</f>
        <v>215145.1992</v>
      </c>
      <c r="BU62" s="479">
        <f>+IS!BU52</f>
        <v>852865.58429999999</v>
      </c>
    </row>
    <row r="63" spans="2:73" s="155" customFormat="1" ht="13.35" customHeight="1">
      <c r="B63" s="155" t="s">
        <v>219</v>
      </c>
      <c r="D63" s="167">
        <f>+IS!D74</f>
        <v>3858</v>
      </c>
      <c r="E63" s="167">
        <f>+IS!E74</f>
        <v>3946</v>
      </c>
      <c r="F63" s="167">
        <f>+IS!F74</f>
        <v>4656</v>
      </c>
      <c r="G63" s="167">
        <f>+IS!G74</f>
        <v>5748</v>
      </c>
      <c r="H63" s="167">
        <f>+IS!H74</f>
        <v>18208</v>
      </c>
      <c r="I63" s="167">
        <f>+IS!I74</f>
        <v>6240</v>
      </c>
      <c r="J63" s="167">
        <f>+IS!J74</f>
        <v>6399</v>
      </c>
      <c r="K63" s="167">
        <f>+IS!K74</f>
        <v>6676</v>
      </c>
      <c r="L63" s="167">
        <f>+IS!L74</f>
        <v>8185</v>
      </c>
      <c r="M63" s="472">
        <f>+IS!M74</f>
        <v>27500</v>
      </c>
      <c r="N63" s="167">
        <f>+IS!N74</f>
        <v>8129</v>
      </c>
      <c r="O63" s="167">
        <f>+IS!O74</f>
        <v>8706</v>
      </c>
      <c r="P63" s="167">
        <f>+IS!P74</f>
        <v>9425</v>
      </c>
      <c r="Q63" s="167">
        <f>+IS!Q74</f>
        <v>11073</v>
      </c>
      <c r="R63" s="472">
        <f>+IS!R74</f>
        <v>37333</v>
      </c>
      <c r="S63" s="167">
        <f>+IS!S74</f>
        <v>11623</v>
      </c>
      <c r="T63" s="167">
        <f>+IS!T74</f>
        <v>12332</v>
      </c>
      <c r="U63" s="167">
        <f>+IS!U74</f>
        <v>13209</v>
      </c>
      <c r="V63" s="167">
        <f>+IS!V74</f>
        <v>16022</v>
      </c>
      <c r="W63" s="472">
        <f>+IS!W74</f>
        <v>53186</v>
      </c>
      <c r="X63" s="167">
        <f>+IS!X74</f>
        <v>15312</v>
      </c>
      <c r="Y63" s="167">
        <f>+IS!Y74</f>
        <v>16031</v>
      </c>
      <c r="Z63" s="167">
        <f>+IS!Z74</f>
        <v>16431</v>
      </c>
      <c r="AA63" s="167">
        <f>+IS!AA74</f>
        <v>17632</v>
      </c>
      <c r="AB63" s="472">
        <f>+IS!AB74</f>
        <v>65406</v>
      </c>
      <c r="AC63" s="167">
        <f>+IS!AC74</f>
        <v>18042</v>
      </c>
      <c r="AD63" s="167">
        <f>+IS!AD74</f>
        <v>19801</v>
      </c>
      <c r="AE63" s="167">
        <f>+IS!AE74</f>
        <v>21290</v>
      </c>
      <c r="AF63" s="167">
        <f>+IS!AF74</f>
        <v>23094</v>
      </c>
      <c r="AG63" s="472">
        <f>+IS!AG74</f>
        <v>82227</v>
      </c>
      <c r="AH63" s="167">
        <f>+IS!AH74</f>
        <v>25125</v>
      </c>
      <c r="AI63" s="167">
        <f>+IS!AI74</f>
        <v>25775</v>
      </c>
      <c r="AJ63" s="167">
        <f>+IS!AJ74</f>
        <v>27462</v>
      </c>
      <c r="AK63" s="167">
        <f>+IS!AK74</f>
        <v>30157</v>
      </c>
      <c r="AL63" s="472">
        <f>+IS!AL74</f>
        <v>108519</v>
      </c>
      <c r="AM63" s="167">
        <f>+IS!AM74</f>
        <v>31994</v>
      </c>
      <c r="AN63" s="167">
        <f>+IS!AN74</f>
        <v>34576</v>
      </c>
      <c r="AO63" s="167">
        <f>+IS!AO74</f>
        <v>37056</v>
      </c>
      <c r="AP63" s="167">
        <f>+IS!AP74</f>
        <v>43457</v>
      </c>
      <c r="AQ63" s="472">
        <f>+IS!AQ74</f>
        <v>147083</v>
      </c>
      <c r="AR63" s="167">
        <f>+IS!AR74</f>
        <v>44355</v>
      </c>
      <c r="AS63" s="167">
        <f>+IS!AS74</f>
        <v>46656</v>
      </c>
      <c r="AT63" s="167">
        <f>+IS!AT74</f>
        <v>46676</v>
      </c>
      <c r="AU63" s="167">
        <f>+IS!AU74</f>
        <v>47802</v>
      </c>
      <c r="AV63" s="472">
        <f>+IS!AV74</f>
        <v>185489</v>
      </c>
      <c r="AW63" s="167">
        <f>+IS!AW74</f>
        <v>48787</v>
      </c>
      <c r="AX63" s="167">
        <f>+IS!AX74</f>
        <v>50337</v>
      </c>
      <c r="AY63" s="167">
        <f>+IS!AY74</f>
        <v>50528</v>
      </c>
      <c r="AZ63" s="167">
        <f>+IS!AZ74</f>
        <v>53003</v>
      </c>
      <c r="BA63" s="472">
        <f>+IS!BA74</f>
        <v>202655</v>
      </c>
      <c r="BB63" s="167">
        <f>+IS!BB74</f>
        <v>54006</v>
      </c>
      <c r="BC63" s="167">
        <f>+IS!BC74</f>
        <v>53710</v>
      </c>
      <c r="BD63" s="167">
        <f>+IS!BD74</f>
        <v>55606</v>
      </c>
      <c r="BE63" s="167">
        <f>+IS!BE74</f>
        <v>58359</v>
      </c>
      <c r="BF63" s="472">
        <f>+IS!BF74</f>
        <v>221681</v>
      </c>
      <c r="BG63" s="167">
        <f>+IS!BG74</f>
        <v>52793</v>
      </c>
      <c r="BH63" s="167">
        <f>+IS!BH74</f>
        <v>56056</v>
      </c>
      <c r="BI63" s="167">
        <f>+IS!BI74</f>
        <v>58103</v>
      </c>
      <c r="BJ63" s="167">
        <f>+IS!BJ74</f>
        <v>60754</v>
      </c>
      <c r="BK63" s="472">
        <f>+IS!BK74</f>
        <v>227706</v>
      </c>
      <c r="BL63" s="167">
        <f>+IS!BL74</f>
        <v>53808.318625</v>
      </c>
      <c r="BM63" s="167">
        <f>+IS!BM74</f>
        <v>54420.923019999995</v>
      </c>
      <c r="BN63" s="167">
        <f>+IS!BN74</f>
        <v>56150.463799999998</v>
      </c>
      <c r="BO63" s="167">
        <f>+IS!BO74</f>
        <v>57739.5075</v>
      </c>
      <c r="BP63" s="472">
        <f>+IS!BP74</f>
        <v>222119.21294499998</v>
      </c>
      <c r="BQ63" s="167">
        <f>+IS!BQ74</f>
        <v>55428.065475000003</v>
      </c>
      <c r="BR63" s="167">
        <f>+IS!BR74</f>
        <v>55647.507180000001</v>
      </c>
      <c r="BS63" s="167">
        <f>+IS!BS74</f>
        <v>57066.502924800006</v>
      </c>
      <c r="BT63" s="167">
        <f>+IS!BT74</f>
        <v>58237.456985999997</v>
      </c>
      <c r="BU63" s="472">
        <f>+IS!BU74</f>
        <v>226379.53256580001</v>
      </c>
    </row>
    <row r="64" spans="2:73" s="155" customFormat="1" ht="13.35" customHeight="1">
      <c r="B64" s="155" t="s">
        <v>218</v>
      </c>
      <c r="D64" s="167">
        <f>+IS!D100</f>
        <v>18947</v>
      </c>
      <c r="E64" s="167">
        <f>+IS!E100</f>
        <v>20479</v>
      </c>
      <c r="F64" s="167">
        <f>+IS!F100</f>
        <v>21621</v>
      </c>
      <c r="G64" s="167">
        <f>+IS!G100</f>
        <v>24259</v>
      </c>
      <c r="H64" s="167">
        <f>+IS!H100</f>
        <v>85306</v>
      </c>
      <c r="I64" s="167">
        <f>+IS!I100</f>
        <v>23115</v>
      </c>
      <c r="J64" s="167">
        <f>+IS!J100</f>
        <v>26497</v>
      </c>
      <c r="K64" s="167">
        <f>+IS!K100</f>
        <v>29388</v>
      </c>
      <c r="L64" s="167">
        <f>+IS!L100</f>
        <v>36790</v>
      </c>
      <c r="M64" s="472">
        <f>+IS!M100</f>
        <v>115790</v>
      </c>
      <c r="N64" s="167">
        <f>+IS!N100</f>
        <v>36184</v>
      </c>
      <c r="O64" s="167">
        <f>+IS!O100</f>
        <v>37619</v>
      </c>
      <c r="P64" s="167">
        <f>+IS!P100</f>
        <v>36172</v>
      </c>
      <c r="Q64" s="167">
        <f>+IS!Q100</f>
        <v>39424</v>
      </c>
      <c r="R64" s="472">
        <f>+IS!R100</f>
        <v>149399</v>
      </c>
      <c r="S64" s="167">
        <f>+IS!S100</f>
        <v>39327</v>
      </c>
      <c r="T64" s="167">
        <f>+IS!T100</f>
        <v>41274</v>
      </c>
      <c r="U64" s="167">
        <f>+IS!U100</f>
        <v>44085</v>
      </c>
      <c r="V64" s="167">
        <f>+IS!V100</f>
        <v>49341</v>
      </c>
      <c r="W64" s="472">
        <f>+IS!W100</f>
        <v>174027</v>
      </c>
      <c r="X64" s="167">
        <f>+IS!X100</f>
        <v>48075</v>
      </c>
      <c r="Y64" s="167">
        <f>+IS!Y100</f>
        <v>48402</v>
      </c>
      <c r="Z64" s="167">
        <f>+IS!Z100</f>
        <v>48756</v>
      </c>
      <c r="AA64" s="167">
        <f>+IS!AA100</f>
        <v>53833</v>
      </c>
      <c r="AB64" s="472">
        <f>+IS!AB100</f>
        <v>199066</v>
      </c>
      <c r="AC64" s="167">
        <f>+IS!AC100</f>
        <v>54566</v>
      </c>
      <c r="AD64" s="167">
        <f>+IS!AD100</f>
        <v>58658</v>
      </c>
      <c r="AE64" s="167">
        <f>+IS!AE100</f>
        <v>61323</v>
      </c>
      <c r="AF64" s="167">
        <f>+IS!AF100</f>
        <v>67769</v>
      </c>
      <c r="AG64" s="472">
        <f>+IS!AG100</f>
        <v>242316</v>
      </c>
      <c r="AH64" s="167">
        <f>+IS!AH100</f>
        <v>73148</v>
      </c>
      <c r="AI64" s="167">
        <f>+IS!AI100</f>
        <v>68872</v>
      </c>
      <c r="AJ64" s="167">
        <f>+IS!AJ100</f>
        <v>75169</v>
      </c>
      <c r="AK64" s="167">
        <f>+IS!AK100</f>
        <v>83746</v>
      </c>
      <c r="AL64" s="472">
        <f>+IS!AL100</f>
        <v>300935</v>
      </c>
      <c r="AM64" s="167">
        <f>+IS!AM100</f>
        <v>83551</v>
      </c>
      <c r="AN64" s="167">
        <f>+IS!AN100</f>
        <v>85775</v>
      </c>
      <c r="AO64" s="167">
        <f>+IS!AO100</f>
        <v>97105</v>
      </c>
      <c r="AP64" s="167">
        <f>+IS!AP100</f>
        <v>114291</v>
      </c>
      <c r="AQ64" s="472">
        <f>+IS!AQ100</f>
        <v>380722</v>
      </c>
      <c r="AR64" s="167">
        <f>+IS!AR100</f>
        <v>118648</v>
      </c>
      <c r="AS64" s="167">
        <f>+IS!AS100</f>
        <v>117316</v>
      </c>
      <c r="AT64" s="167">
        <f>+IS!AT100</f>
        <v>116045</v>
      </c>
      <c r="AU64" s="167">
        <f>+IS!AU100</f>
        <v>117200</v>
      </c>
      <c r="AV64" s="472">
        <f>+IS!AV100</f>
        <v>469209</v>
      </c>
      <c r="AW64" s="167">
        <f>+IS!AW100</f>
        <v>123394</v>
      </c>
      <c r="AX64" s="167">
        <f>+IS!AX100</f>
        <v>127128</v>
      </c>
      <c r="AY64" s="167">
        <f>+IS!AY100</f>
        <v>111542</v>
      </c>
      <c r="AZ64" s="167">
        <f>+IS!AZ100</f>
        <v>110767</v>
      </c>
      <c r="BA64" s="472">
        <f>+IS!BA100</f>
        <v>472831</v>
      </c>
      <c r="BB64" s="167">
        <f>+IS!BB100</f>
        <v>110810</v>
      </c>
      <c r="BC64" s="167">
        <f>+IS!BC100</f>
        <v>115005</v>
      </c>
      <c r="BD64" s="167">
        <f>+IS!BD100</f>
        <v>115096</v>
      </c>
      <c r="BE64" s="167">
        <f>+IS!BE100</f>
        <v>117907</v>
      </c>
      <c r="BF64" s="472">
        <f>+IS!BF100</f>
        <v>458818</v>
      </c>
      <c r="BG64" s="167">
        <f>+IS!BG100</f>
        <v>125107</v>
      </c>
      <c r="BH64" s="167">
        <f>+IS!BH100</f>
        <v>121789</v>
      </c>
      <c r="BI64" s="167">
        <f>+IS!BI100</f>
        <v>122951</v>
      </c>
      <c r="BJ64" s="167">
        <f>+IS!BJ100</f>
        <v>126509</v>
      </c>
      <c r="BK64" s="472">
        <f>+IS!BK100</f>
        <v>496356</v>
      </c>
      <c r="BL64" s="167">
        <f>+IS!BL100</f>
        <v>133939.35</v>
      </c>
      <c r="BM64" s="167">
        <f>+IS!BM100</f>
        <v>126260.08350000001</v>
      </c>
      <c r="BN64" s="167">
        <f>+IS!BN100</f>
        <v>122604.90221099999</v>
      </c>
      <c r="BO64" s="167">
        <f>+IS!BO100</f>
        <v>121898.72835560999</v>
      </c>
      <c r="BP64" s="472">
        <f>+IS!BP100</f>
        <v>504703.06406661001</v>
      </c>
      <c r="BQ64" s="167">
        <f>+IS!BQ100</f>
        <v>127566.0922946058</v>
      </c>
      <c r="BR64" s="167">
        <f>+IS!BR100</f>
        <v>128229.32338138355</v>
      </c>
      <c r="BS64" s="167">
        <f>+IS!BS100</f>
        <v>127006.38005523695</v>
      </c>
      <c r="BT64" s="167">
        <f>+IS!BT100</f>
        <v>127083.98011584126</v>
      </c>
      <c r="BU64" s="472">
        <f>+IS!BU100</f>
        <v>509885.77584706759</v>
      </c>
    </row>
    <row r="65" spans="2:73" s="155" customFormat="1" ht="13.35" customHeight="1">
      <c r="B65" s="155" t="s">
        <v>13</v>
      </c>
      <c r="C65" s="168"/>
      <c r="D65" s="167">
        <f>+IS!D119</f>
        <v>12716.674999999999</v>
      </c>
      <c r="E65" s="167">
        <f>+IS!E119</f>
        <v>12762.938</v>
      </c>
      <c r="F65" s="167">
        <f>+IS!F119</f>
        <v>12813</v>
      </c>
      <c r="G65" s="167">
        <f>+IS!G119</f>
        <v>12791.050999999999</v>
      </c>
      <c r="H65" s="167">
        <f>+IS!H119</f>
        <v>12770.915999999999</v>
      </c>
      <c r="I65" s="167">
        <f>+IS!I119</f>
        <v>12642.188</v>
      </c>
      <c r="J65" s="167">
        <f>+IS!J119</f>
        <v>12745.050999999999</v>
      </c>
      <c r="K65" s="167">
        <f>+IS!K119</f>
        <v>33020.483999999997</v>
      </c>
      <c r="L65" s="167">
        <f>+IS!L119</f>
        <v>40115.821900000003</v>
      </c>
      <c r="M65" s="472">
        <f>+IS!M119</f>
        <v>24630.886225000002</v>
      </c>
      <c r="N65" s="167">
        <f>+IS!N119</f>
        <v>40547.669000000002</v>
      </c>
      <c r="O65" s="167">
        <f>+IS!O119</f>
        <v>41063.612999999998</v>
      </c>
      <c r="P65" s="167">
        <f>+IS!P119</f>
        <v>41482.173000000003</v>
      </c>
      <c r="Q65" s="167">
        <f>+IS!Q119</f>
        <v>41893.762000000002</v>
      </c>
      <c r="R65" s="472">
        <f>+IS!R119</f>
        <v>41246.804250000001</v>
      </c>
      <c r="S65" s="167">
        <f>+IS!S119</f>
        <v>42016.830999999998</v>
      </c>
      <c r="T65" s="167">
        <f>+IS!T119</f>
        <v>42681.286999999997</v>
      </c>
      <c r="U65" s="167">
        <f>+IS!U119</f>
        <v>43279.025000000001</v>
      </c>
      <c r="V65" s="167">
        <f>+IS!V119</f>
        <v>43723.696000000004</v>
      </c>
      <c r="W65" s="472">
        <f>+IS!W119</f>
        <v>42925.209749999995</v>
      </c>
      <c r="X65" s="167">
        <f>+IS!X119</f>
        <v>45210.25</v>
      </c>
      <c r="Y65" s="167">
        <f>+IS!Y119</f>
        <v>46279.947</v>
      </c>
      <c r="Z65" s="167">
        <f>+IS!Z119</f>
        <v>46914.076999999997</v>
      </c>
      <c r="AA65" s="167">
        <f>+IS!AA119</f>
        <v>47397.034</v>
      </c>
      <c r="AB65" s="472">
        <f>+IS!AB119</f>
        <v>46450.327000000005</v>
      </c>
      <c r="AC65" s="167">
        <f>+IS!AC119</f>
        <v>51184.402000000002</v>
      </c>
      <c r="AD65" s="167">
        <f>+IS!AD119</f>
        <v>52035.868000000002</v>
      </c>
      <c r="AE65" s="167">
        <f>+IS!AE119</f>
        <v>52404.656999999999</v>
      </c>
      <c r="AF65" s="167">
        <f>+IS!AF119</f>
        <v>52584.790999999997</v>
      </c>
      <c r="AG65" s="472">
        <f>+IS!AG119</f>
        <v>52058.103000000003</v>
      </c>
      <c r="AH65" s="167">
        <f>+IS!AH119</f>
        <v>50127.31</v>
      </c>
      <c r="AI65" s="167">
        <f>+IS!AI119</f>
        <v>53063.260999999999</v>
      </c>
      <c r="AJ65" s="167">
        <f>+IS!AJ119</f>
        <v>53894.201999999997</v>
      </c>
      <c r="AK65" s="167">
        <f>+IS!AK119</f>
        <v>52017.472999999904</v>
      </c>
      <c r="AL65" s="472">
        <f>+IS!AL119</f>
        <v>51036.824000000001</v>
      </c>
      <c r="AM65" s="167">
        <f>+IS!AM119</f>
        <v>52904.881000000001</v>
      </c>
      <c r="AN65" s="167">
        <f>+IS!AN119</f>
        <v>57731.694000000003</v>
      </c>
      <c r="AO65" s="167">
        <f>+IS!AO119</f>
        <v>58376.991999999998</v>
      </c>
      <c r="AP65" s="167">
        <f>+IS!AP119</f>
        <v>56752.294999999998</v>
      </c>
      <c r="AQ65" s="472">
        <f>+IS!AQ119</f>
        <v>55200</v>
      </c>
      <c r="AR65" s="167">
        <f>+IS!AR119</f>
        <v>57724.821000000004</v>
      </c>
      <c r="AS65" s="167">
        <f>+IS!AS119</f>
        <v>58239.957999999999</v>
      </c>
      <c r="AT65" s="167">
        <f>+IS!AT119</f>
        <v>65597.870999999999</v>
      </c>
      <c r="AU65" s="167">
        <f>+IS!AU119</f>
        <v>69610.95</v>
      </c>
      <c r="AV65" s="472">
        <f>+IS!AV119</f>
        <v>62793.400000000009</v>
      </c>
      <c r="AW65" s="167">
        <f>+IS!AW119</f>
        <v>66400.126000000004</v>
      </c>
      <c r="AX65" s="167">
        <f>+IS!AX119</f>
        <v>67231.505000000005</v>
      </c>
      <c r="AY65" s="167">
        <f>+IS!AY119</f>
        <v>68899.221000000005</v>
      </c>
      <c r="AZ65" s="167">
        <f>+IS!AZ119</f>
        <v>73728.911999999997</v>
      </c>
      <c r="BA65" s="472">
        <f>+IS!BA119</f>
        <v>72064.941000000006</v>
      </c>
      <c r="BB65" s="167">
        <f>+IS!BB119</f>
        <v>74021.703999999998</v>
      </c>
      <c r="BC65" s="167">
        <f>+IS!BC119</f>
        <v>74250.36</v>
      </c>
      <c r="BD65" s="167">
        <f>+IS!BD119</f>
        <v>74537.085000000006</v>
      </c>
      <c r="BE65" s="167">
        <f>+IS!BE119</f>
        <v>75084.888000000006</v>
      </c>
      <c r="BF65" s="472">
        <f>+IS!BF119</f>
        <v>74473.509250000003</v>
      </c>
      <c r="BG65" s="167">
        <f>+IS!BG119</f>
        <v>75408.027000000002</v>
      </c>
      <c r="BH65" s="167">
        <f>+IS!BH119</f>
        <v>75383.645000000004</v>
      </c>
      <c r="BI65" s="167">
        <f>+IS!BI119</f>
        <v>75611.831999999995</v>
      </c>
      <c r="BJ65" s="167">
        <f>+IS!BJ119</f>
        <v>76311.584000000003</v>
      </c>
      <c r="BK65" s="472">
        <f>+IS!BK119</f>
        <v>75678.771999999997</v>
      </c>
      <c r="BL65" s="167">
        <f>+IS!BL119</f>
        <v>77100</v>
      </c>
      <c r="BM65" s="167">
        <f>+IS!BM119</f>
        <v>77871</v>
      </c>
      <c r="BN65" s="167">
        <f>+IS!BN119</f>
        <v>78649.710000000006</v>
      </c>
      <c r="BO65" s="167">
        <f>+IS!BO119</f>
        <v>79200.257969999991</v>
      </c>
      <c r="BP65" s="472">
        <f>+IS!BP119</f>
        <v>78205.241992499999</v>
      </c>
      <c r="BQ65" s="167">
        <f>+IS!BQ119</f>
        <v>79279.458227969983</v>
      </c>
      <c r="BR65" s="167">
        <f>+IS!BR119</f>
        <v>79358.737686197943</v>
      </c>
      <c r="BS65" s="167">
        <f>+IS!BS119</f>
        <v>79438.096423884126</v>
      </c>
      <c r="BT65" s="167">
        <f>+IS!BT119</f>
        <v>79517.534520308007</v>
      </c>
      <c r="BU65" s="472">
        <f>+IS!BU119</f>
        <v>79398.456714590007</v>
      </c>
    </row>
    <row r="66" spans="2:73" s="155" customFormat="1" ht="13.35" customHeight="1">
      <c r="B66" s="364"/>
      <c r="C66" s="168"/>
      <c r="M66" s="470"/>
      <c r="R66" s="470"/>
      <c r="W66" s="470"/>
      <c r="AB66" s="470"/>
      <c r="AG66" s="470"/>
      <c r="AL66" s="470"/>
      <c r="AQ66" s="470"/>
      <c r="AV66" s="470"/>
      <c r="BA66" s="470"/>
      <c r="BF66" s="470"/>
      <c r="BK66" s="470"/>
      <c r="BP66" s="470"/>
      <c r="BU66" s="470"/>
    </row>
    <row r="67" spans="2:73" s="155" customFormat="1" ht="13.35" customHeight="1">
      <c r="B67" s="155" t="s">
        <v>250</v>
      </c>
      <c r="C67" s="168"/>
      <c r="D67" s="167">
        <f>+CF!D26</f>
        <v>0</v>
      </c>
      <c r="E67" s="167">
        <f>+CF!E26</f>
        <v>0</v>
      </c>
      <c r="F67" s="167">
        <f>+CF!F26</f>
        <v>0</v>
      </c>
      <c r="G67" s="167">
        <f>+CF!G26</f>
        <v>0</v>
      </c>
      <c r="H67" s="166">
        <f>+CF!H26</f>
        <v>-3356</v>
      </c>
      <c r="I67" s="167">
        <f>+CF!I26</f>
        <v>-3012</v>
      </c>
      <c r="J67" s="167">
        <f>+CF!J26</f>
        <v>-1241</v>
      </c>
      <c r="K67" s="167">
        <f>+CF!K26</f>
        <v>2273</v>
      </c>
      <c r="L67" s="167">
        <f>+CF!L26</f>
        <v>73</v>
      </c>
      <c r="M67" s="471">
        <f>+CF!M26</f>
        <v>-1907</v>
      </c>
      <c r="N67" s="167">
        <f>+CF!N26</f>
        <v>-1592</v>
      </c>
      <c r="O67" s="167">
        <f>+CF!O26</f>
        <v>1863</v>
      </c>
      <c r="P67" s="167">
        <f>+CF!P26</f>
        <v>1790</v>
      </c>
      <c r="Q67" s="167">
        <f>+CF!Q26</f>
        <v>7051</v>
      </c>
      <c r="R67" s="471">
        <f>+CF!R26</f>
        <v>9112</v>
      </c>
      <c r="S67" s="167">
        <f>+CF!S26</f>
        <v>3321</v>
      </c>
      <c r="T67" s="167">
        <f>+CF!T26</f>
        <v>-3981</v>
      </c>
      <c r="U67" s="167">
        <f>+CF!U26</f>
        <v>5744</v>
      </c>
      <c r="V67" s="167">
        <f>+CF!V26</f>
        <v>8202</v>
      </c>
      <c r="W67" s="471">
        <f>+CF!W26</f>
        <v>13286</v>
      </c>
      <c r="X67" s="167">
        <f>+CF!X26</f>
        <v>7296</v>
      </c>
      <c r="Y67" s="167">
        <f>+CF!Y26</f>
        <v>-9114</v>
      </c>
      <c r="Z67" s="167">
        <f>+CF!Z26</f>
        <v>-4050</v>
      </c>
      <c r="AA67" s="167">
        <f>+CF!AA26</f>
        <v>11934</v>
      </c>
      <c r="AB67" s="471">
        <f>+CF!AB26</f>
        <v>6066</v>
      </c>
      <c r="AC67" s="167">
        <f>+CF!AC26</f>
        <v>-13566</v>
      </c>
      <c r="AD67" s="167">
        <f>+CF!AD26</f>
        <v>2483</v>
      </c>
      <c r="AE67" s="167">
        <f>+CF!AE26</f>
        <v>1839</v>
      </c>
      <c r="AF67" s="167">
        <f>+CF!AF26</f>
        <v>7824</v>
      </c>
      <c r="AG67" s="471">
        <f>+CF!AG26</f>
        <v>-1420</v>
      </c>
      <c r="AH67" s="167">
        <f>+CF!AH26</f>
        <v>-7215</v>
      </c>
      <c r="AI67" s="167">
        <f>+CF!AI26</f>
        <v>442</v>
      </c>
      <c r="AJ67" s="167">
        <f>+CF!AJ26</f>
        <v>11078</v>
      </c>
      <c r="AK67" s="167">
        <f>+CF!AK26</f>
        <v>582</v>
      </c>
      <c r="AL67" s="471">
        <f>+CF!AL26</f>
        <v>4887</v>
      </c>
      <c r="AM67" s="167">
        <f>+CF!AM26</f>
        <v>20595</v>
      </c>
      <c r="AN67" s="167">
        <f>+CF!AN26</f>
        <v>9186</v>
      </c>
      <c r="AO67" s="167">
        <f>+CF!AO26</f>
        <v>19448</v>
      </c>
      <c r="AP67" s="167">
        <f>+CF!AP26</f>
        <v>4688</v>
      </c>
      <c r="AQ67" s="471">
        <f>+CF!AQ26</f>
        <v>53917</v>
      </c>
      <c r="AR67" s="167">
        <f>+CF!AR26</f>
        <v>10403</v>
      </c>
      <c r="AS67" s="167">
        <f>+CF!AS26</f>
        <v>7449</v>
      </c>
      <c r="AT67" s="167">
        <f>+CF!AT26</f>
        <v>20110</v>
      </c>
      <c r="AU67" s="167">
        <f>+CF!AU26</f>
        <v>40242</v>
      </c>
      <c r="AV67" s="471">
        <f>+CF!AV26</f>
        <v>78204</v>
      </c>
      <c r="AW67" s="167">
        <f>+CF!AW26</f>
        <v>5842</v>
      </c>
      <c r="AX67" s="167">
        <f>+CF!AX26</f>
        <v>31305</v>
      </c>
      <c r="AY67" s="167">
        <f>+CF!AY26</f>
        <v>3665</v>
      </c>
      <c r="AZ67" s="167">
        <f>+CF!AZ26</f>
        <v>63466</v>
      </c>
      <c r="BA67" s="471">
        <f>+CF!BA26</f>
        <v>104278</v>
      </c>
      <c r="BB67" s="167">
        <f>+CF!BB26</f>
        <v>31070</v>
      </c>
      <c r="BC67" s="167">
        <f>+CF!BC26</f>
        <v>32858</v>
      </c>
      <c r="BD67" s="167">
        <f>+CF!BD26</f>
        <v>43969</v>
      </c>
      <c r="BE67" s="167">
        <f>+CF!BE26</f>
        <v>63773</v>
      </c>
      <c r="BF67" s="471">
        <f>+CF!BF26</f>
        <v>171670</v>
      </c>
      <c r="BG67" s="167">
        <f>+CF!BG26</f>
        <v>29757</v>
      </c>
      <c r="BH67" s="167">
        <f>+CF!BH26</f>
        <v>47542</v>
      </c>
      <c r="BI67" s="167">
        <f>+CF!BI26</f>
        <v>38199</v>
      </c>
      <c r="BJ67" s="167">
        <f>+CF!BJ26</f>
        <v>37574</v>
      </c>
      <c r="BK67" s="471">
        <f>+CF!BK26</f>
        <v>153072</v>
      </c>
      <c r="BL67" s="167">
        <f>+CF!BL26</f>
        <v>27932.013454027794</v>
      </c>
      <c r="BM67" s="167">
        <f>+CF!BM26</f>
        <v>41183.557045822228</v>
      </c>
      <c r="BN67" s="167">
        <f>+CF!BN26</f>
        <v>29894.4658589711</v>
      </c>
      <c r="BO67" s="167">
        <f>+CF!BO26</f>
        <v>55908.113860627251</v>
      </c>
      <c r="BP67" s="471">
        <f>+CF!BP26</f>
        <v>154918.15021944835</v>
      </c>
      <c r="BQ67" s="167">
        <f>+CF!BQ26</f>
        <v>26665.992000881284</v>
      </c>
      <c r="BR67" s="167">
        <f>+CF!BR26</f>
        <v>37152.354383111939</v>
      </c>
      <c r="BS67" s="167">
        <f>+CF!BS26</f>
        <v>32609.06370491923</v>
      </c>
      <c r="BT67" s="167">
        <f>+CF!BT26</f>
        <v>59319.599459990597</v>
      </c>
      <c r="BU67" s="471">
        <f>+CF!BU26</f>
        <v>155747.00954890306</v>
      </c>
    </row>
    <row r="68" spans="2:73" s="155" customFormat="1" ht="13.35" customHeight="1">
      <c r="B68" s="155" t="s">
        <v>188</v>
      </c>
      <c r="C68" s="168"/>
      <c r="D68" s="167">
        <f>+CF!D74</f>
        <v>0</v>
      </c>
      <c r="E68" s="167">
        <f>+CF!E74</f>
        <v>0</v>
      </c>
      <c r="F68" s="167">
        <f>+CF!F74</f>
        <v>0</v>
      </c>
      <c r="G68" s="167">
        <f>+CF!G74</f>
        <v>0</v>
      </c>
      <c r="H68" s="166">
        <f>+CF!H74</f>
        <v>-10438</v>
      </c>
      <c r="I68" s="167">
        <f>+CF!I74</f>
        <v>-3585</v>
      </c>
      <c r="J68" s="167">
        <f>+CF!J74</f>
        <v>-1863</v>
      </c>
      <c r="K68" s="167">
        <f>+CF!K74</f>
        <v>629</v>
      </c>
      <c r="L68" s="167">
        <f>+CF!L74</f>
        <v>-1224</v>
      </c>
      <c r="M68" s="471">
        <f>+CF!M74</f>
        <v>-6043</v>
      </c>
      <c r="N68" s="167">
        <f>+CF!N74</f>
        <v>-2684</v>
      </c>
      <c r="O68" s="167">
        <f>+CF!O74</f>
        <v>1113</v>
      </c>
      <c r="P68" s="167">
        <f>+CF!P74</f>
        <v>325</v>
      </c>
      <c r="Q68" s="167">
        <f>+CF!Q74</f>
        <v>5859</v>
      </c>
      <c r="R68" s="471">
        <f>+CF!R74</f>
        <v>4613</v>
      </c>
      <c r="S68" s="167">
        <f>+CF!S74</f>
        <v>1986</v>
      </c>
      <c r="T68" s="167">
        <f>+CF!T74</f>
        <v>-5224</v>
      </c>
      <c r="U68" s="167">
        <f>+CF!U74</f>
        <v>4816</v>
      </c>
      <c r="V68" s="167">
        <f>+CF!V74</f>
        <v>6884</v>
      </c>
      <c r="W68" s="471">
        <f>+CF!W74</f>
        <v>8462</v>
      </c>
      <c r="X68" s="167">
        <f>+CF!X74</f>
        <v>5149</v>
      </c>
      <c r="Y68" s="167">
        <f>+CF!Y74</f>
        <v>-12617</v>
      </c>
      <c r="Z68" s="167">
        <f>+CF!Z74</f>
        <v>-6804</v>
      </c>
      <c r="AA68" s="167">
        <f>+CF!AA74</f>
        <v>7525</v>
      </c>
      <c r="AB68" s="471">
        <f>+CF!AB74</f>
        <v>-6747</v>
      </c>
      <c r="AC68" s="167">
        <f>+CF!AC74</f>
        <v>-22029</v>
      </c>
      <c r="AD68" s="167">
        <f>+CF!AD74</f>
        <v>-6766</v>
      </c>
      <c r="AE68" s="167">
        <f>+CF!AE74</f>
        <v>-7502</v>
      </c>
      <c r="AF68" s="167">
        <f>+CF!AF74</f>
        <v>5449</v>
      </c>
      <c r="AG68" s="471">
        <f>+CF!AG74</f>
        <v>-30848</v>
      </c>
      <c r="AH68" s="167">
        <f>+CF!AH74</f>
        <v>-11445</v>
      </c>
      <c r="AI68" s="167">
        <f>+CF!AI74</f>
        <v>-2231</v>
      </c>
      <c r="AJ68" s="167">
        <f>+CF!AJ74</f>
        <v>6449</v>
      </c>
      <c r="AK68" s="167">
        <f>+CF!AK74</f>
        <v>-7818</v>
      </c>
      <c r="AL68" s="471">
        <f>+CF!AL74</f>
        <v>-15045</v>
      </c>
      <c r="AM68" s="167">
        <f>+CF!AM74</f>
        <v>17865</v>
      </c>
      <c r="AN68" s="167">
        <f>+CF!AN74</f>
        <v>5040</v>
      </c>
      <c r="AO68" s="167">
        <f>+CF!AO74</f>
        <v>14327</v>
      </c>
      <c r="AP68" s="167">
        <f>+CF!AP74</f>
        <v>-2179</v>
      </c>
      <c r="AQ68" s="471">
        <f>+CF!AQ74</f>
        <v>35053</v>
      </c>
      <c r="AR68" s="167">
        <f>+CF!AR74</f>
        <v>3828</v>
      </c>
      <c r="AS68" s="167">
        <f>+CF!AS74</f>
        <v>-1258</v>
      </c>
      <c r="AT68" s="167">
        <f>+CF!AT74</f>
        <v>9657</v>
      </c>
      <c r="AU68" s="167">
        <f>+CF!AU74</f>
        <v>28450</v>
      </c>
      <c r="AV68" s="471">
        <f>+CF!AV74</f>
        <v>40677</v>
      </c>
      <c r="AW68" s="167">
        <f>+CF!AW74</f>
        <v>-1219</v>
      </c>
      <c r="AX68" s="167">
        <f>+CF!AX74</f>
        <v>25581</v>
      </c>
      <c r="AY68" s="167">
        <f>+CF!AY74</f>
        <v>-582</v>
      </c>
      <c r="AZ68" s="167">
        <f>+CF!AZ74</f>
        <v>60254</v>
      </c>
      <c r="BA68" s="471">
        <f>+CF!BA74</f>
        <v>84034</v>
      </c>
      <c r="BB68" s="167">
        <f>+CF!BB74</f>
        <v>27534</v>
      </c>
      <c r="BC68" s="167">
        <f>+CF!BC74</f>
        <v>29205</v>
      </c>
      <c r="BD68" s="167">
        <f>+CF!BD74</f>
        <v>38502</v>
      </c>
      <c r="BE68" s="167">
        <f>+CF!BE74</f>
        <v>58842</v>
      </c>
      <c r="BF68" s="471">
        <f>+CF!BF74</f>
        <v>154083</v>
      </c>
      <c r="BG68" s="167">
        <f>+CF!BG74</f>
        <v>24677</v>
      </c>
      <c r="BH68" s="167">
        <f>+CF!BH74</f>
        <v>42280</v>
      </c>
      <c r="BI68" s="167">
        <f>+CF!BI74</f>
        <v>30111</v>
      </c>
      <c r="BJ68" s="167">
        <f>+CF!BJ74</f>
        <v>32299</v>
      </c>
      <c r="BK68" s="471">
        <f>+CF!BK74</f>
        <v>129367</v>
      </c>
      <c r="BL68" s="167">
        <f>+CF!BL74</f>
        <v>21730.316204027793</v>
      </c>
      <c r="BM68" s="167">
        <f>+CF!BM74</f>
        <v>34972.219245822227</v>
      </c>
      <c r="BN68" s="167">
        <f>+CF!BN74</f>
        <v>23669.974858971102</v>
      </c>
      <c r="BO68" s="167">
        <f>+CF!BO74</f>
        <v>49668.897060627249</v>
      </c>
      <c r="BP68" s="471">
        <f>+CF!BP74</f>
        <v>130041.40736944834</v>
      </c>
      <c r="BQ68" s="167">
        <f>+CF!BQ74</f>
        <v>20428.766085881285</v>
      </c>
      <c r="BR68" s="167">
        <f>+CF!BR74</f>
        <v>30905.22829111194</v>
      </c>
      <c r="BS68" s="167">
        <f>+CF!BS74</f>
        <v>26350.211860919229</v>
      </c>
      <c r="BT68" s="167">
        <f>+CF!BT74</f>
        <v>53046.147467990595</v>
      </c>
      <c r="BU68" s="471">
        <f>+CF!BU74</f>
        <v>130730.35370590306</v>
      </c>
    </row>
    <row r="69" spans="2:73" s="155" customFormat="1" ht="13.35" customHeight="1" thickBot="1">
      <c r="B69" s="364"/>
      <c r="C69" s="168"/>
    </row>
    <row r="70" spans="2:73" s="155" customFormat="1" ht="13.35" customHeight="1">
      <c r="B70" s="309" t="s">
        <v>220</v>
      </c>
      <c r="C70" s="365"/>
      <c r="D70" s="366"/>
      <c r="E70" s="366"/>
      <c r="F70" s="366"/>
      <c r="G70" s="366"/>
      <c r="H70" s="366"/>
      <c r="I70" s="366"/>
      <c r="J70" s="366"/>
      <c r="K70" s="366"/>
      <c r="L70" s="366"/>
      <c r="M70" s="499"/>
      <c r="N70" s="366"/>
      <c r="O70" s="366"/>
      <c r="P70" s="366"/>
      <c r="Q70" s="366"/>
      <c r="R70" s="366"/>
      <c r="S70" s="366"/>
      <c r="T70" s="366"/>
      <c r="U70" s="366"/>
      <c r="V70" s="366"/>
      <c r="W70" s="366"/>
      <c r="X70" s="366"/>
      <c r="Y70" s="366"/>
      <c r="Z70" s="366"/>
      <c r="AA70" s="366"/>
      <c r="AB70" s="366"/>
      <c r="AC70" s="366"/>
      <c r="AD70" s="366"/>
      <c r="AE70" s="366"/>
      <c r="AF70" s="366"/>
      <c r="AG70" s="366"/>
      <c r="AH70" s="366"/>
      <c r="AI70" s="366"/>
      <c r="AJ70" s="366"/>
      <c r="AK70" s="367"/>
      <c r="AL70" s="367"/>
      <c r="AM70" s="367"/>
      <c r="AN70" s="367"/>
      <c r="AO70" s="367"/>
      <c r="AP70" s="367"/>
      <c r="AQ70" s="367"/>
      <c r="AR70" s="367"/>
      <c r="AS70" s="367"/>
      <c r="AT70" s="367"/>
      <c r="AU70" s="367"/>
      <c r="AV70" s="367"/>
      <c r="AW70" s="367"/>
      <c r="AX70" s="367"/>
      <c r="AY70" s="367"/>
      <c r="AZ70" s="367"/>
      <c r="BA70" s="367"/>
      <c r="BB70" s="367"/>
      <c r="BC70" s="367"/>
      <c r="BD70" s="367"/>
      <c r="BE70" s="367"/>
      <c r="BF70" s="367"/>
      <c r="BG70" s="367"/>
      <c r="BH70" s="367"/>
      <c r="BI70" s="367"/>
      <c r="BJ70" s="367"/>
      <c r="BK70" s="367"/>
      <c r="BL70" s="367"/>
      <c r="BM70" s="367"/>
      <c r="BN70" s="367"/>
      <c r="BO70" s="367"/>
      <c r="BP70" s="367"/>
      <c r="BQ70" s="367"/>
      <c r="BR70" s="367"/>
      <c r="BS70" s="367"/>
      <c r="BT70" s="367"/>
      <c r="BU70" s="367"/>
    </row>
    <row r="71" spans="2:73" s="155" customFormat="1" ht="13.35" customHeight="1">
      <c r="B71" s="155" t="s">
        <v>221</v>
      </c>
      <c r="C71" s="168"/>
      <c r="D71" s="328"/>
      <c r="E71" s="328"/>
      <c r="F71" s="328"/>
      <c r="G71" s="328">
        <f t="shared" ref="G71:AL71" si="93">+G9</f>
        <v>25412</v>
      </c>
      <c r="H71" s="328">
        <f t="shared" si="93"/>
        <v>25412</v>
      </c>
      <c r="I71" s="328">
        <f t="shared" si="93"/>
        <v>21027</v>
      </c>
      <c r="J71" s="328">
        <f t="shared" si="93"/>
        <v>26363</v>
      </c>
      <c r="K71" s="328">
        <f t="shared" si="93"/>
        <v>31969</v>
      </c>
      <c r="L71" s="328">
        <f t="shared" si="93"/>
        <v>44164</v>
      </c>
      <c r="M71" s="488">
        <f t="shared" si="93"/>
        <v>44164</v>
      </c>
      <c r="N71" s="328">
        <f t="shared" si="93"/>
        <v>29817</v>
      </c>
      <c r="O71" s="328">
        <f t="shared" si="93"/>
        <v>38663</v>
      </c>
      <c r="P71" s="328">
        <f t="shared" si="93"/>
        <v>38286</v>
      </c>
      <c r="Q71" s="328">
        <f t="shared" si="93"/>
        <v>49154</v>
      </c>
      <c r="R71" s="488">
        <f t="shared" si="93"/>
        <v>49154</v>
      </c>
      <c r="S71" s="328">
        <f t="shared" si="93"/>
        <v>33703</v>
      </c>
      <c r="T71" s="328">
        <f t="shared" si="93"/>
        <v>47560</v>
      </c>
      <c r="U71" s="328">
        <f t="shared" si="93"/>
        <v>48690</v>
      </c>
      <c r="V71" s="328">
        <f t="shared" si="93"/>
        <v>73661</v>
      </c>
      <c r="W71" s="488">
        <f t="shared" si="93"/>
        <v>73661</v>
      </c>
      <c r="X71" s="328">
        <f t="shared" si="93"/>
        <v>38718</v>
      </c>
      <c r="Y71" s="328">
        <f t="shared" si="93"/>
        <v>48476</v>
      </c>
      <c r="Z71" s="328">
        <f t="shared" si="93"/>
        <v>53771</v>
      </c>
      <c r="AA71" s="328">
        <f t="shared" si="93"/>
        <v>74935</v>
      </c>
      <c r="AB71" s="488">
        <f t="shared" si="93"/>
        <v>74935</v>
      </c>
      <c r="AC71" s="328">
        <f t="shared" si="93"/>
        <v>59707</v>
      </c>
      <c r="AD71" s="328">
        <f t="shared" si="93"/>
        <v>69289</v>
      </c>
      <c r="AE71" s="328">
        <f t="shared" si="93"/>
        <v>62422</v>
      </c>
      <c r="AF71" s="328">
        <f t="shared" si="93"/>
        <v>87927</v>
      </c>
      <c r="AG71" s="488">
        <f t="shared" si="93"/>
        <v>87927</v>
      </c>
      <c r="AH71" s="328">
        <f t="shared" si="93"/>
        <v>64388</v>
      </c>
      <c r="AI71" s="328">
        <f t="shared" si="93"/>
        <v>76823</v>
      </c>
      <c r="AJ71" s="328">
        <f t="shared" si="93"/>
        <v>73625</v>
      </c>
      <c r="AK71" s="328">
        <f t="shared" si="93"/>
        <v>111599</v>
      </c>
      <c r="AL71" s="472">
        <f t="shared" si="93"/>
        <v>111599</v>
      </c>
      <c r="AM71" s="167">
        <f t="shared" ref="AM71:BP71" si="94">+AM9</f>
        <v>76714</v>
      </c>
      <c r="AN71" s="167">
        <f t="shared" si="94"/>
        <v>98483</v>
      </c>
      <c r="AO71" s="167">
        <f t="shared" si="94"/>
        <v>96775</v>
      </c>
      <c r="AP71" s="167">
        <f t="shared" si="94"/>
        <v>146094</v>
      </c>
      <c r="AQ71" s="472">
        <f t="shared" si="94"/>
        <v>146094</v>
      </c>
      <c r="AR71" s="167">
        <f t="shared" si="94"/>
        <v>107320</v>
      </c>
      <c r="AS71" s="167">
        <f t="shared" si="94"/>
        <v>124701</v>
      </c>
      <c r="AT71" s="167">
        <f t="shared" si="94"/>
        <v>121017</v>
      </c>
      <c r="AU71" s="167">
        <f t="shared" si="94"/>
        <v>152045</v>
      </c>
      <c r="AV71" s="472">
        <f t="shared" si="94"/>
        <v>152045</v>
      </c>
      <c r="AW71" s="167">
        <f t="shared" si="94"/>
        <v>116683</v>
      </c>
      <c r="AX71" s="167">
        <f t="shared" si="94"/>
        <v>136300</v>
      </c>
      <c r="AY71" s="167">
        <f t="shared" si="94"/>
        <v>137690</v>
      </c>
      <c r="AZ71" s="167">
        <f t="shared" si="94"/>
        <v>164862</v>
      </c>
      <c r="BA71" s="472">
        <f t="shared" si="94"/>
        <v>164862</v>
      </c>
      <c r="BB71" s="167">
        <f t="shared" si="94"/>
        <v>124595</v>
      </c>
      <c r="BC71" s="167">
        <f t="shared" si="94"/>
        <v>143671</v>
      </c>
      <c r="BD71" s="167">
        <f t="shared" si="94"/>
        <v>141891</v>
      </c>
      <c r="BE71" s="167">
        <f t="shared" si="94"/>
        <v>168242</v>
      </c>
      <c r="BF71" s="472">
        <f t="shared" si="94"/>
        <v>168242</v>
      </c>
      <c r="BG71" s="167">
        <f t="shared" si="94"/>
        <v>140541</v>
      </c>
      <c r="BH71" s="167">
        <f t="shared" si="94"/>
        <v>150683</v>
      </c>
      <c r="BI71" s="167">
        <f t="shared" ref="BI71" si="95">+BI9</f>
        <v>141339</v>
      </c>
      <c r="BJ71" s="167">
        <f t="shared" si="94"/>
        <v>167017</v>
      </c>
      <c r="BK71" s="472">
        <f t="shared" si="94"/>
        <v>167017</v>
      </c>
      <c r="BL71" s="167">
        <f t="shared" si="94"/>
        <v>140957.25805555555</v>
      </c>
      <c r="BM71" s="167">
        <f t="shared" si="94"/>
        <v>148575.13244444443</v>
      </c>
      <c r="BN71" s="167">
        <f t="shared" si="94"/>
        <v>135493.86444444445</v>
      </c>
      <c r="BO71" s="167">
        <f t="shared" si="94"/>
        <v>159967.49155555555</v>
      </c>
      <c r="BP71" s="472">
        <f t="shared" si="94"/>
        <v>159967.49155555555</v>
      </c>
      <c r="BQ71" s="167">
        <f t="shared" ref="BQ71:BU71" si="96">+BQ9</f>
        <v>141015.06100000002</v>
      </c>
      <c r="BR71" s="167">
        <f t="shared" si="96"/>
        <v>151120.07765333334</v>
      </c>
      <c r="BS71" s="167">
        <f t="shared" si="96"/>
        <v>144831.06942666665</v>
      </c>
      <c r="BT71" s="167">
        <f t="shared" si="96"/>
        <v>172116.15935999999</v>
      </c>
      <c r="BU71" s="472">
        <f t="shared" si="96"/>
        <v>172116.15935999999</v>
      </c>
    </row>
    <row r="72" spans="2:73" s="155" customFormat="1" ht="13.35" customHeight="1">
      <c r="B72" s="155" t="s">
        <v>222</v>
      </c>
      <c r="C72" s="168"/>
      <c r="D72" s="329"/>
      <c r="E72" s="329"/>
      <c r="F72" s="329"/>
      <c r="G72" s="329">
        <f t="shared" ref="G72:AQ72" si="97">+G71/G$62</f>
        <v>1.1585137907453842</v>
      </c>
      <c r="H72" s="329">
        <f t="shared" si="97"/>
        <v>0.33054110301768991</v>
      </c>
      <c r="I72" s="329">
        <f t="shared" si="97"/>
        <v>0.89207076492299864</v>
      </c>
      <c r="J72" s="329">
        <f t="shared" si="97"/>
        <v>1.0222179139201242</v>
      </c>
      <c r="K72" s="329">
        <f t="shared" si="97"/>
        <v>1.1291678440237356</v>
      </c>
      <c r="L72" s="329">
        <f t="shared" si="97"/>
        <v>1.3442912367211517</v>
      </c>
      <c r="M72" s="489">
        <f t="shared" si="97"/>
        <v>0.39958018927673128</v>
      </c>
      <c r="N72" s="329">
        <f t="shared" si="97"/>
        <v>0.85690884009656287</v>
      </c>
      <c r="O72" s="329">
        <f t="shared" si="97"/>
        <v>1.0374315766877751</v>
      </c>
      <c r="P72" s="329">
        <f t="shared" si="97"/>
        <v>0.9491063239049059</v>
      </c>
      <c r="Q72" s="329">
        <f t="shared" si="97"/>
        <v>1.0914864324732425</v>
      </c>
      <c r="R72" s="489">
        <f t="shared" si="97"/>
        <v>0.31221377439864834</v>
      </c>
      <c r="S72" s="329">
        <f t="shared" si="97"/>
        <v>0.74489998894905518</v>
      </c>
      <c r="T72" s="329">
        <f t="shared" si="97"/>
        <v>1.0024661172354195</v>
      </c>
      <c r="U72" s="329">
        <f t="shared" si="97"/>
        <v>0.96375764533560304</v>
      </c>
      <c r="V72" s="329">
        <f t="shared" si="97"/>
        <v>1.2759349396338189</v>
      </c>
      <c r="W72" s="489">
        <f t="shared" si="97"/>
        <v>0.36658206429780033</v>
      </c>
      <c r="X72" s="329">
        <f t="shared" si="97"/>
        <v>0.71022654315326061</v>
      </c>
      <c r="Y72" s="329">
        <f t="shared" si="97"/>
        <v>0.82948614842319601</v>
      </c>
      <c r="Z72" s="329">
        <f t="shared" si="97"/>
        <v>0.86219834843261445</v>
      </c>
      <c r="AA72" s="329">
        <f t="shared" si="97"/>
        <v>1.0896466482477825</v>
      </c>
      <c r="AB72" s="489">
        <f t="shared" si="97"/>
        <v>0.30699616126772394</v>
      </c>
      <c r="AC72" s="329">
        <f t="shared" si="97"/>
        <v>0.81583657853385261</v>
      </c>
      <c r="AD72" s="329">
        <f t="shared" si="97"/>
        <v>0.87753137704378226</v>
      </c>
      <c r="AE72" s="329">
        <f t="shared" ref="AE72:AK72" si="98">+AE71/AE$62</f>
        <v>0.75067043473032291</v>
      </c>
      <c r="AF72" s="329">
        <f t="shared" si="98"/>
        <v>0.95939900488826813</v>
      </c>
      <c r="AG72" s="489">
        <f t="shared" si="98"/>
        <v>0.26893349686646462</v>
      </c>
      <c r="AH72" s="329">
        <f t="shared" si="98"/>
        <v>0.68251006995972019</v>
      </c>
      <c r="AI72" s="329">
        <f t="shared" si="98"/>
        <v>0.77668028146230994</v>
      </c>
      <c r="AJ72" s="329">
        <f t="shared" si="98"/>
        <v>0.70068998334522958</v>
      </c>
      <c r="AK72" s="329">
        <f t="shared" si="98"/>
        <v>0.98621408814146472</v>
      </c>
      <c r="AL72" s="480">
        <f t="shared" si="97"/>
        <v>0.27120971308865915</v>
      </c>
      <c r="AM72" s="237">
        <f t="shared" si="97"/>
        <v>0.65315748695200548</v>
      </c>
      <c r="AN72" s="237">
        <f>+AN71/AN$62</f>
        <v>0.77900823439143818</v>
      </c>
      <c r="AO72" s="237">
        <f>+AO71/AO$62</f>
        <v>0.69177377156990294</v>
      </c>
      <c r="AP72" s="237">
        <f t="shared" si="97"/>
        <v>0.96343924346140153</v>
      </c>
      <c r="AQ72" s="480">
        <f t="shared" si="97"/>
        <v>0.2728668444763207</v>
      </c>
      <c r="AR72" s="237">
        <f t="shared" ref="AR72:BP72" si="99">+AR71/AR$62</f>
        <v>0.68189904945864888</v>
      </c>
      <c r="AS72" s="237">
        <f t="shared" si="99"/>
        <v>0.74468364635275153</v>
      </c>
      <c r="AT72" s="237">
        <f t="shared" si="99"/>
        <v>0.68851591613802521</v>
      </c>
      <c r="AU72" s="237">
        <f t="shared" si="99"/>
        <v>0.82418595070441625</v>
      </c>
      <c r="AV72" s="480">
        <f t="shared" si="99"/>
        <v>0.22193661206014453</v>
      </c>
      <c r="AW72" s="237">
        <f t="shared" si="99"/>
        <v>0.63700634369506592</v>
      </c>
      <c r="AX72" s="237">
        <f t="shared" si="99"/>
        <v>0.71577863902280203</v>
      </c>
      <c r="AY72" s="237">
        <f t="shared" si="99"/>
        <v>0.69245585713351743</v>
      </c>
      <c r="AZ72" s="237">
        <f t="shared" si="99"/>
        <v>0.80315489993569378</v>
      </c>
      <c r="BA72" s="480">
        <f t="shared" si="99"/>
        <v>0.21198471918087403</v>
      </c>
      <c r="BB72" s="237">
        <f t="shared" si="99"/>
        <v>0.60748119219311458</v>
      </c>
      <c r="BC72" s="237">
        <f t="shared" si="99"/>
        <v>0.69075585001274098</v>
      </c>
      <c r="BD72" s="237">
        <f t="shared" si="99"/>
        <v>0.66102192365388024</v>
      </c>
      <c r="BE72" s="237">
        <f t="shared" si="99"/>
        <v>0.77795811542534254</v>
      </c>
      <c r="BF72" s="480">
        <f t="shared" si="99"/>
        <v>0.19933720928854856</v>
      </c>
      <c r="BG72" s="237">
        <f t="shared" ref="BG72" si="100">+BG71/BG$62</f>
        <v>0.66843754904805164</v>
      </c>
      <c r="BH72" s="237">
        <f t="shared" si="99"/>
        <v>0.7034917107468498</v>
      </c>
      <c r="BI72" s="237">
        <f t="shared" ref="BI72" si="101">+BI71/BI$62</f>
        <v>0.64846302073775008</v>
      </c>
      <c r="BJ72" s="237">
        <f t="shared" si="99"/>
        <v>0.76828987800614568</v>
      </c>
      <c r="BK72" s="480">
        <f t="shared" si="99"/>
        <v>0.19425234416616075</v>
      </c>
      <c r="BL72" s="237">
        <f t="shared" si="99"/>
        <v>0.6777777777777777</v>
      </c>
      <c r="BM72" s="237">
        <f t="shared" si="99"/>
        <v>0.71111111111111103</v>
      </c>
      <c r="BN72" s="237">
        <f t="shared" si="99"/>
        <v>0.64444444444444449</v>
      </c>
      <c r="BO72" s="237">
        <f t="shared" si="99"/>
        <v>0.75555555555555554</v>
      </c>
      <c r="BP72" s="480">
        <f t="shared" si="99"/>
        <v>0.19069304473381912</v>
      </c>
      <c r="BQ72" s="237">
        <f t="shared" ref="BQ72:BU72" si="102">+BQ71/BQ$62</f>
        <v>0.66666666666666674</v>
      </c>
      <c r="BR72" s="237">
        <f t="shared" si="102"/>
        <v>0.71111111111111114</v>
      </c>
      <c r="BS72" s="237">
        <f t="shared" si="102"/>
        <v>0.6777777777777777</v>
      </c>
      <c r="BT72" s="237">
        <f t="shared" si="102"/>
        <v>0.79999999999999993</v>
      </c>
      <c r="BU72" s="480">
        <f t="shared" si="102"/>
        <v>0.20180924465520139</v>
      </c>
    </row>
    <row r="73" spans="2:73" s="155" customFormat="1" ht="13.35" customHeight="1">
      <c r="B73" s="224" t="s">
        <v>126</v>
      </c>
      <c r="C73" s="168"/>
      <c r="D73" s="332"/>
      <c r="E73" s="332"/>
      <c r="F73" s="332"/>
      <c r="G73" s="332"/>
      <c r="H73" s="332"/>
      <c r="I73" s="329"/>
      <c r="J73" s="329"/>
      <c r="K73" s="329"/>
      <c r="L73" s="329">
        <f t="shared" ref="L73:AZ73" si="103">+L71/G71-1</f>
        <v>0.73791909334172834</v>
      </c>
      <c r="M73" s="489">
        <f t="shared" si="103"/>
        <v>0.73791909334172834</v>
      </c>
      <c r="N73" s="329">
        <f t="shared" si="103"/>
        <v>0.41803395634184626</v>
      </c>
      <c r="O73" s="329">
        <f t="shared" si="103"/>
        <v>0.46656298600311041</v>
      </c>
      <c r="P73" s="329">
        <f t="shared" si="103"/>
        <v>0.19759767274547224</v>
      </c>
      <c r="Q73" s="329">
        <f t="shared" si="103"/>
        <v>0.11298795398967476</v>
      </c>
      <c r="R73" s="489">
        <f t="shared" si="103"/>
        <v>0.11298795398967476</v>
      </c>
      <c r="S73" s="329">
        <f t="shared" si="103"/>
        <v>0.13032833618405615</v>
      </c>
      <c r="T73" s="329">
        <f t="shared" si="103"/>
        <v>0.23011664899257678</v>
      </c>
      <c r="U73" s="329">
        <f t="shared" si="103"/>
        <v>0.27174424071462155</v>
      </c>
      <c r="V73" s="329">
        <f t="shared" si="103"/>
        <v>0.49857590430076892</v>
      </c>
      <c r="W73" s="489">
        <f t="shared" si="103"/>
        <v>0.49857590430076892</v>
      </c>
      <c r="X73" s="329">
        <f t="shared" si="103"/>
        <v>0.14879981010592536</v>
      </c>
      <c r="Y73" s="329">
        <f t="shared" si="103"/>
        <v>1.9259882253994887E-2</v>
      </c>
      <c r="Z73" s="329">
        <f t="shared" si="103"/>
        <v>0.1043540768124871</v>
      </c>
      <c r="AA73" s="329">
        <f t="shared" si="103"/>
        <v>1.7295448066140917E-2</v>
      </c>
      <c r="AB73" s="489">
        <f t="shared" si="103"/>
        <v>1.7295448066140917E-2</v>
      </c>
      <c r="AC73" s="329">
        <f t="shared" si="103"/>
        <v>0.54209928198770596</v>
      </c>
      <c r="AD73" s="329">
        <f t="shared" si="103"/>
        <v>0.42934648073273363</v>
      </c>
      <c r="AE73" s="329">
        <f t="shared" si="103"/>
        <v>0.16088597943129201</v>
      </c>
      <c r="AF73" s="329">
        <f t="shared" si="103"/>
        <v>0.17337692666978044</v>
      </c>
      <c r="AG73" s="489">
        <f>+AG71/AB71-1</f>
        <v>0.17337692666978044</v>
      </c>
      <c r="AH73" s="329">
        <f>+AH71/AC71-1</f>
        <v>7.8399517644497374E-2</v>
      </c>
      <c r="AI73" s="329">
        <f t="shared" si="103"/>
        <v>0.1087329879201604</v>
      </c>
      <c r="AJ73" s="329">
        <f t="shared" si="103"/>
        <v>0.17947198103232842</v>
      </c>
      <c r="AK73" s="329">
        <f t="shared" si="103"/>
        <v>0.26922333299214118</v>
      </c>
      <c r="AL73" s="480">
        <f t="shared" si="103"/>
        <v>0.26922333299214118</v>
      </c>
      <c r="AM73" s="237">
        <f t="shared" si="103"/>
        <v>0.19143318630800765</v>
      </c>
      <c r="AN73" s="237">
        <f>+AN71/AI71-1</f>
        <v>0.28194681280345724</v>
      </c>
      <c r="AO73" s="237">
        <f>+AO71/AJ71-1</f>
        <v>0.31443123938879447</v>
      </c>
      <c r="AP73" s="237">
        <f t="shared" si="103"/>
        <v>0.3090977517719693</v>
      </c>
      <c r="AQ73" s="480">
        <f t="shared" si="103"/>
        <v>0.3090977517719693</v>
      </c>
      <c r="AR73" s="237">
        <f t="shared" si="103"/>
        <v>0.3989623797481554</v>
      </c>
      <c r="AS73" s="237">
        <f t="shared" si="103"/>
        <v>0.26621853517866034</v>
      </c>
      <c r="AT73" s="237">
        <f t="shared" si="103"/>
        <v>0.25049857917850682</v>
      </c>
      <c r="AU73" s="237">
        <f t="shared" si="103"/>
        <v>4.0734047941736184E-2</v>
      </c>
      <c r="AV73" s="480">
        <f>+AV71/AQ71-1</f>
        <v>4.0734047941736184E-2</v>
      </c>
      <c r="AW73" s="237">
        <f t="shared" si="103"/>
        <v>8.7243756988445664E-2</v>
      </c>
      <c r="AX73" s="237">
        <f t="shared" si="103"/>
        <v>9.3014490661662785E-2</v>
      </c>
      <c r="AY73" s="237">
        <f t="shared" si="103"/>
        <v>0.13777403174760572</v>
      </c>
      <c r="AZ73" s="237">
        <f t="shared" si="103"/>
        <v>8.4297411950409407E-2</v>
      </c>
      <c r="BA73" s="480">
        <f t="shared" ref="BA73:BP73" si="104">+BA71/AV71-1</f>
        <v>8.4297411950409407E-2</v>
      </c>
      <c r="BB73" s="237">
        <f t="shared" si="104"/>
        <v>6.7807649786172819E-2</v>
      </c>
      <c r="BC73" s="237">
        <f t="shared" si="104"/>
        <v>5.4079236977256029E-2</v>
      </c>
      <c r="BD73" s="237">
        <f t="shared" si="104"/>
        <v>3.051056721621026E-2</v>
      </c>
      <c r="BE73" s="237">
        <f t="shared" si="104"/>
        <v>2.0501995608448231E-2</v>
      </c>
      <c r="BF73" s="480">
        <f t="shared" si="104"/>
        <v>2.0501995608448231E-2</v>
      </c>
      <c r="BG73" s="237">
        <f t="shared" si="104"/>
        <v>0.12798266383081192</v>
      </c>
      <c r="BH73" s="237">
        <f t="shared" si="104"/>
        <v>4.8805952488672144E-2</v>
      </c>
      <c r="BI73" s="237">
        <f t="shared" si="104"/>
        <v>-3.8903101676639462E-3</v>
      </c>
      <c r="BJ73" s="237">
        <f t="shared" si="104"/>
        <v>-7.2811783026830446E-3</v>
      </c>
      <c r="BK73" s="480">
        <f t="shared" si="104"/>
        <v>-7.2811783026830446E-3</v>
      </c>
      <c r="BL73" s="237">
        <f t="shared" si="104"/>
        <v>2.9618264816355655E-3</v>
      </c>
      <c r="BM73" s="237">
        <f t="shared" si="104"/>
        <v>-1.3988754906363421E-2</v>
      </c>
      <c r="BN73" s="237">
        <f t="shared" si="104"/>
        <v>-4.1355433076189496E-2</v>
      </c>
      <c r="BO73" s="237">
        <f t="shared" si="104"/>
        <v>-4.2208328759614E-2</v>
      </c>
      <c r="BP73" s="480">
        <f t="shared" si="104"/>
        <v>-4.2208328759614E-2</v>
      </c>
      <c r="BQ73" s="237">
        <f t="shared" ref="BQ73" si="105">+BQ71/BL71-1</f>
        <v>4.1007426819894555E-4</v>
      </c>
      <c r="BR73" s="237">
        <f t="shared" ref="BR73" si="106">+BR71/BM71-1</f>
        <v>1.7129011881180878E-2</v>
      </c>
      <c r="BS73" s="237">
        <f t="shared" ref="BS73" si="107">+BS71/BN71-1</f>
        <v>6.8912382272856787E-2</v>
      </c>
      <c r="BT73" s="237">
        <f t="shared" ref="BT73" si="108">+BT71/BO71-1</f>
        <v>7.5944604033659546E-2</v>
      </c>
      <c r="BU73" s="480">
        <f t="shared" ref="BU73" si="109">+BU71/BP71-1</f>
        <v>7.5944604033659546E-2</v>
      </c>
    </row>
    <row r="74" spans="2:73" s="155" customFormat="1" ht="13.35" customHeight="1">
      <c r="B74" s="224" t="s">
        <v>127</v>
      </c>
      <c r="C74" s="168"/>
      <c r="D74" s="332"/>
      <c r="E74" s="332"/>
      <c r="F74" s="332"/>
      <c r="G74" s="332"/>
      <c r="H74" s="332"/>
      <c r="I74" s="330">
        <f>+I71/G71-1</f>
        <v>-0.17255627262710527</v>
      </c>
      <c r="J74" s="330">
        <f>+J71/I71-1</f>
        <v>0.25376896371332092</v>
      </c>
      <c r="K74" s="330">
        <f>+K71/J71-1</f>
        <v>0.2126465121571901</v>
      </c>
      <c r="L74" s="330">
        <f>+L71/K71-1</f>
        <v>0.38146329256467193</v>
      </c>
      <c r="M74" s="495"/>
      <c r="N74" s="330">
        <f>+N71/L71-1</f>
        <v>-0.32485734987772852</v>
      </c>
      <c r="O74" s="330">
        <f>+O71/N71-1</f>
        <v>0.29667639266190426</v>
      </c>
      <c r="P74" s="330">
        <f>+P71/O71-1</f>
        <v>-9.7509246566485075E-3</v>
      </c>
      <c r="Q74" s="330">
        <f>+Q71/P71-1</f>
        <v>0.28386355325706525</v>
      </c>
      <c r="R74" s="495"/>
      <c r="S74" s="330">
        <f>+S71/Q71-1</f>
        <v>-0.31433860926882862</v>
      </c>
      <c r="T74" s="330">
        <f>+T71/S71-1</f>
        <v>0.41115034269946293</v>
      </c>
      <c r="U74" s="330">
        <f>+U71/T71-1</f>
        <v>2.3759461732548282E-2</v>
      </c>
      <c r="V74" s="330">
        <f>+V71/U71-1</f>
        <v>0.51285684945574039</v>
      </c>
      <c r="W74" s="489"/>
      <c r="X74" s="330">
        <f>+X71/V71-1</f>
        <v>-0.47437585696637297</v>
      </c>
      <c r="Y74" s="330">
        <f>+Y71/X71-1</f>
        <v>0.25202748075830361</v>
      </c>
      <c r="Z74" s="330">
        <f>+Z71/Y71-1</f>
        <v>0.10922930934895625</v>
      </c>
      <c r="AA74" s="330">
        <f>+AA71/Z71-1</f>
        <v>0.39359506053448889</v>
      </c>
      <c r="AB74" s="489"/>
      <c r="AC74" s="330">
        <f>+AC71/AA71-1</f>
        <v>-0.20321612063788619</v>
      </c>
      <c r="AD74" s="330">
        <f>+AD71/AC71-1</f>
        <v>0.16048369537910134</v>
      </c>
      <c r="AE74" s="330">
        <f>+AE71/AD71-1</f>
        <v>-9.910664030365568E-2</v>
      </c>
      <c r="AF74" s="330">
        <f>+AF71/AE71-1</f>
        <v>0.40858992022043505</v>
      </c>
      <c r="AG74" s="489"/>
      <c r="AH74" s="330">
        <f>+AH71/AF71-1</f>
        <v>-0.26771071457004103</v>
      </c>
      <c r="AI74" s="330">
        <f>+AI71/AH71-1</f>
        <v>0.19312604833198743</v>
      </c>
      <c r="AJ74" s="330">
        <f>+AJ71/AI71-1</f>
        <v>-4.1628158233862234E-2</v>
      </c>
      <c r="AK74" s="330">
        <f>+AK71/AJ71-1</f>
        <v>0.51577589134125645</v>
      </c>
      <c r="AL74" s="470"/>
      <c r="AM74" s="325">
        <f>+AM71/AK71-1</f>
        <v>-0.31259240674199584</v>
      </c>
      <c r="AN74" s="325">
        <f>+AN71/AL71-1</f>
        <v>-0.11752793483812574</v>
      </c>
      <c r="AO74" s="325">
        <f>+AO71/AM71-1</f>
        <v>0.26150376723935653</v>
      </c>
      <c r="AP74" s="325">
        <f>+AP71/AO71-1</f>
        <v>0.50962541978816844</v>
      </c>
      <c r="AQ74" s="470"/>
      <c r="AR74" s="325">
        <f>+AR71/AP71-1</f>
        <v>-0.26540446561802677</v>
      </c>
      <c r="AS74" s="325">
        <f>+AS71/AQ71-1</f>
        <v>-0.14643311840321982</v>
      </c>
      <c r="AT74" s="325">
        <f>+AT71/AR71-1</f>
        <v>0.12762765560939249</v>
      </c>
      <c r="AU74" s="325">
        <f>+AU71/AT71-1</f>
        <v>0.25639372980655617</v>
      </c>
      <c r="AV74" s="470"/>
      <c r="AW74" s="325">
        <f>+AW71/AU71-1</f>
        <v>-0.2325758821401559</v>
      </c>
      <c r="AX74" s="325">
        <f>+AX71/AV71-1</f>
        <v>-0.10355486862442043</v>
      </c>
      <c r="AY74" s="325">
        <f>+AY71/AW71-1</f>
        <v>0.18003479512868203</v>
      </c>
      <c r="AZ74" s="325">
        <f>+AZ71/AX71-1</f>
        <v>0.20955245781364629</v>
      </c>
      <c r="BA74" s="470"/>
      <c r="BB74" s="325">
        <f>+BB71/AZ71-1</f>
        <v>-0.24424670330336884</v>
      </c>
      <c r="BC74" s="325">
        <f>+BC71/BA71-1</f>
        <v>-0.12853780737829212</v>
      </c>
      <c r="BD74" s="325">
        <f>+BD71/BB71-1</f>
        <v>0.13881776957341785</v>
      </c>
      <c r="BE74" s="325">
        <f>+BE71/BC71-1</f>
        <v>0.17102268377055907</v>
      </c>
      <c r="BF74" s="470"/>
      <c r="BG74" s="325">
        <f>+BG71/BE71-1</f>
        <v>-0.16464973074499822</v>
      </c>
      <c r="BH74" s="325">
        <f>+BH71/BG71-1</f>
        <v>7.2163994848478463E-2</v>
      </c>
      <c r="BI74" s="325">
        <f>+BI71/BH71-1</f>
        <v>-6.2010976686155739E-2</v>
      </c>
      <c r="BJ74" s="325">
        <f>+BJ71/BI71-1</f>
        <v>0.18167667805771948</v>
      </c>
      <c r="BK74" s="470"/>
      <c r="BL74" s="325">
        <f>+BL71/BJ71-1</f>
        <v>-0.15603047560694094</v>
      </c>
      <c r="BM74" s="325">
        <f>+BM71/BL71-1</f>
        <v>5.4043860486321593E-2</v>
      </c>
      <c r="BN74" s="325">
        <f>+BN71/BM71-1</f>
        <v>-8.8044801204477219E-2</v>
      </c>
      <c r="BO74" s="325">
        <f>+BO71/BN71-1</f>
        <v>0.18062535312177053</v>
      </c>
      <c r="BP74" s="470"/>
      <c r="BQ74" s="325">
        <f>+BQ71/BO71-1</f>
        <v>-0.11847676281760966</v>
      </c>
      <c r="BR74" s="325">
        <f>+BR71/BQ71-1</f>
        <v>7.165913046219452E-2</v>
      </c>
      <c r="BS74" s="325">
        <f>+BS71/BR71-1</f>
        <v>-4.1615967410323584E-2</v>
      </c>
      <c r="BT74" s="325">
        <f>+BT71/BS71-1</f>
        <v>0.1883925185482993</v>
      </c>
      <c r="BU74" s="470"/>
    </row>
    <row r="75" spans="2:73" s="155" customFormat="1" ht="13.35" customHeight="1">
      <c r="B75" s="155" t="s">
        <v>113</v>
      </c>
      <c r="C75" s="167"/>
      <c r="D75" s="328"/>
      <c r="E75" s="328"/>
      <c r="F75" s="328"/>
      <c r="G75" s="328">
        <f t="shared" ref="G75:AD75" si="110">+G57</f>
        <v>104.26624116708457</v>
      </c>
      <c r="H75" s="328">
        <f t="shared" si="110"/>
        <v>29.748699271592091</v>
      </c>
      <c r="I75" s="328">
        <f t="shared" si="110"/>
        <v>80.28636884306988</v>
      </c>
      <c r="J75" s="328">
        <f t="shared" si="110"/>
        <v>91.999612252811175</v>
      </c>
      <c r="K75" s="328">
        <f t="shared" si="110"/>
        <v>101.6251059621362</v>
      </c>
      <c r="L75" s="328">
        <f t="shared" si="110"/>
        <v>120.98621130490365</v>
      </c>
      <c r="M75" s="488">
        <f t="shared" si="110"/>
        <v>113.30980945659846</v>
      </c>
      <c r="N75" s="328">
        <f t="shared" si="110"/>
        <v>77.121795608690661</v>
      </c>
      <c r="O75" s="328">
        <f t="shared" si="110"/>
        <v>93.368841901899756</v>
      </c>
      <c r="P75" s="328">
        <f t="shared" si="110"/>
        <v>85.419569151441536</v>
      </c>
      <c r="Q75" s="328">
        <f t="shared" si="110"/>
        <v>98.233778922591824</v>
      </c>
      <c r="R75" s="488">
        <f t="shared" si="110"/>
        <v>106.69181958497684</v>
      </c>
      <c r="S75" s="328">
        <f t="shared" si="110"/>
        <v>67.04099900541496</v>
      </c>
      <c r="T75" s="328">
        <f t="shared" si="110"/>
        <v>90.221950551187746</v>
      </c>
      <c r="U75" s="328">
        <f t="shared" si="110"/>
        <v>86.738188080204267</v>
      </c>
      <c r="V75" s="328">
        <f t="shared" si="110"/>
        <v>114.83414456704369</v>
      </c>
      <c r="W75" s="488">
        <f t="shared" si="110"/>
        <v>110.01642281277994</v>
      </c>
      <c r="X75" s="328">
        <f t="shared" si="110"/>
        <v>63.920388883793457</v>
      </c>
      <c r="Y75" s="328">
        <f t="shared" si="110"/>
        <v>74.653753358087641</v>
      </c>
      <c r="Z75" s="328">
        <f t="shared" si="110"/>
        <v>77.597851358935301</v>
      </c>
      <c r="AA75" s="328">
        <f t="shared" si="110"/>
        <v>98.06819834230042</v>
      </c>
      <c r="AB75" s="488">
        <f t="shared" si="110"/>
        <v>109.57913237276261</v>
      </c>
      <c r="AC75" s="328">
        <f t="shared" si="110"/>
        <v>73.42529206804673</v>
      </c>
      <c r="AD75" s="328">
        <f t="shared" si="110"/>
        <v>78.9778239339404</v>
      </c>
      <c r="AE75" s="328">
        <f t="shared" ref="AE75:BD75" si="111">+AE57</f>
        <v>67.560339125729058</v>
      </c>
      <c r="AF75" s="328">
        <f t="shared" si="111"/>
        <v>86.345910439944134</v>
      </c>
      <c r="AG75" s="488">
        <f t="shared" si="111"/>
        <v>89.663339929713374</v>
      </c>
      <c r="AH75" s="328">
        <f t="shared" si="111"/>
        <v>61.425906296374819</v>
      </c>
      <c r="AI75" s="328">
        <f t="shared" si="111"/>
        <v>69.90122533160789</v>
      </c>
      <c r="AJ75" s="328">
        <f t="shared" si="111"/>
        <v>63.062098501070665</v>
      </c>
      <c r="AK75" s="328">
        <f t="shared" si="111"/>
        <v>88.759267932731831</v>
      </c>
      <c r="AL75" s="472">
        <f t="shared" si="111"/>
        <v>87.28044210495618</v>
      </c>
      <c r="AM75" s="328">
        <f t="shared" si="111"/>
        <v>58.78417382568049</v>
      </c>
      <c r="AN75" s="328">
        <f t="shared" si="111"/>
        <v>70.110741095229443</v>
      </c>
      <c r="AO75" s="328">
        <f t="shared" si="111"/>
        <v>62.259639441291263</v>
      </c>
      <c r="AP75" s="328">
        <f t="shared" si="111"/>
        <v>86.709531911526142</v>
      </c>
      <c r="AQ75" s="472">
        <f t="shared" si="111"/>
        <v>86.635027007642833</v>
      </c>
      <c r="AR75" s="328">
        <f t="shared" si="111"/>
        <v>61.370914451278402</v>
      </c>
      <c r="AS75" s="328">
        <f t="shared" si="111"/>
        <v>67.021528171747633</v>
      </c>
      <c r="AT75" s="328">
        <f t="shared" si="111"/>
        <v>61.966432452422268</v>
      </c>
      <c r="AU75" s="328">
        <f t="shared" si="111"/>
        <v>74.176735563397457</v>
      </c>
      <c r="AV75" s="472">
        <f t="shared" si="111"/>
        <v>78.333603373605825</v>
      </c>
      <c r="AW75" s="328">
        <f t="shared" si="111"/>
        <v>57.330570932555936</v>
      </c>
      <c r="AX75" s="328">
        <f t="shared" si="111"/>
        <v>64.420077512052188</v>
      </c>
      <c r="AY75" s="328">
        <f t="shared" si="111"/>
        <v>62.321027142016568</v>
      </c>
      <c r="AZ75" s="328">
        <f t="shared" si="111"/>
        <v>72.283940994212443</v>
      </c>
      <c r="BA75" s="472">
        <f t="shared" si="111"/>
        <v>73.348008954529149</v>
      </c>
      <c r="BB75" s="328">
        <f t="shared" si="111"/>
        <v>54.673307297380312</v>
      </c>
      <c r="BC75" s="328">
        <f t="shared" si="111"/>
        <v>62.168026501146691</v>
      </c>
      <c r="BD75" s="328">
        <f t="shared" si="111"/>
        <v>59.491973128849224</v>
      </c>
      <c r="BE75" s="328">
        <f t="shared" ref="BE75" si="112">+BE57</f>
        <v>70.016230388280832</v>
      </c>
      <c r="BF75" s="472">
        <f>+BF57</f>
        <v>71.040548241898463</v>
      </c>
      <c r="BG75" s="328">
        <f t="shared" ref="BG75:BH75" si="113">+BG57</f>
        <v>60.159379414324647</v>
      </c>
      <c r="BH75" s="328">
        <f t="shared" si="113"/>
        <v>63.31425396721648</v>
      </c>
      <c r="BI75" s="328">
        <f t="shared" ref="BI75:BJ75" si="114">+BI57</f>
        <v>58.361671866397508</v>
      </c>
      <c r="BJ75" s="328">
        <f t="shared" si="114"/>
        <v>69.146089020553106</v>
      </c>
      <c r="BK75" s="472">
        <f>+BK57</f>
        <v>70.187300678999861</v>
      </c>
      <c r="BL75" s="324">
        <v>61</v>
      </c>
      <c r="BM75" s="324">
        <v>64</v>
      </c>
      <c r="BN75" s="324">
        <v>58</v>
      </c>
      <c r="BO75" s="324">
        <v>68</v>
      </c>
      <c r="BP75" s="472">
        <f>+BP57</f>
        <v>70.162132196005984</v>
      </c>
      <c r="BQ75" s="324">
        <v>60</v>
      </c>
      <c r="BR75" s="324">
        <v>64</v>
      </c>
      <c r="BS75" s="324">
        <v>61</v>
      </c>
      <c r="BT75" s="324">
        <v>72</v>
      </c>
      <c r="BU75" s="472">
        <f>+BU57</f>
        <v>70.087313012942261</v>
      </c>
    </row>
    <row r="76" spans="2:73" s="155" customFormat="1" ht="13.35" customHeight="1">
      <c r="C76" s="310"/>
      <c r="D76" s="331"/>
      <c r="E76" s="331"/>
      <c r="F76" s="331"/>
      <c r="G76" s="331"/>
      <c r="H76" s="331"/>
      <c r="I76" s="331"/>
      <c r="J76" s="331"/>
      <c r="K76" s="331"/>
      <c r="L76" s="331"/>
      <c r="M76" s="490"/>
      <c r="N76" s="331"/>
      <c r="O76" s="331"/>
      <c r="P76" s="331"/>
      <c r="Q76" s="331"/>
      <c r="R76" s="490"/>
      <c r="S76" s="331"/>
      <c r="T76" s="331"/>
      <c r="U76" s="331"/>
      <c r="V76" s="331"/>
      <c r="W76" s="490"/>
      <c r="X76" s="331"/>
      <c r="Y76" s="331"/>
      <c r="Z76" s="331"/>
      <c r="AA76" s="331"/>
      <c r="AB76" s="490"/>
      <c r="AC76" s="331"/>
      <c r="AD76" s="331"/>
      <c r="AE76" s="331"/>
      <c r="AF76" s="331"/>
      <c r="AG76" s="490"/>
      <c r="AH76" s="331"/>
      <c r="AI76" s="331"/>
      <c r="AJ76" s="331"/>
      <c r="AK76" s="324"/>
      <c r="AL76" s="481"/>
      <c r="AM76" s="324"/>
      <c r="AN76" s="324"/>
      <c r="AO76" s="324"/>
      <c r="AP76" s="324"/>
      <c r="AQ76" s="481"/>
      <c r="AR76" s="324"/>
      <c r="AS76" s="324"/>
      <c r="AT76" s="324"/>
      <c r="AU76" s="324"/>
      <c r="AV76" s="481"/>
      <c r="AW76" s="324"/>
      <c r="AX76" s="324"/>
      <c r="AY76" s="324"/>
      <c r="AZ76" s="324"/>
      <c r="BA76" s="481"/>
      <c r="BB76" s="324"/>
      <c r="BC76" s="324"/>
      <c r="BD76" s="324"/>
      <c r="BE76" s="324"/>
      <c r="BF76" s="481"/>
      <c r="BG76" s="324"/>
      <c r="BH76" s="324"/>
      <c r="BI76" s="324"/>
      <c r="BJ76" s="324"/>
      <c r="BK76" s="481"/>
      <c r="BL76" s="324"/>
      <c r="BM76" s="324"/>
      <c r="BN76" s="324"/>
      <c r="BO76" s="324"/>
      <c r="BP76" s="481"/>
      <c r="BQ76" s="324"/>
      <c r="BR76" s="324"/>
      <c r="BS76" s="324"/>
      <c r="BT76" s="324"/>
      <c r="BU76" s="481"/>
    </row>
    <row r="77" spans="2:73" s="155" customFormat="1" ht="12.75">
      <c r="B77" s="224" t="s">
        <v>122</v>
      </c>
      <c r="D77" s="332"/>
      <c r="E77" s="332"/>
      <c r="F77" s="332"/>
      <c r="G77" s="328">
        <f t="shared" ref="G77:AL77" si="115">+G11</f>
        <v>4209</v>
      </c>
      <c r="H77" s="328">
        <f t="shared" si="115"/>
        <v>4209</v>
      </c>
      <c r="I77" s="328">
        <f t="shared" si="115"/>
        <v>4995</v>
      </c>
      <c r="J77" s="328">
        <f t="shared" si="115"/>
        <v>6297</v>
      </c>
      <c r="K77" s="328">
        <f t="shared" si="115"/>
        <v>4165</v>
      </c>
      <c r="L77" s="328">
        <f t="shared" si="115"/>
        <v>6148</v>
      </c>
      <c r="M77" s="488">
        <f t="shared" si="115"/>
        <v>6148</v>
      </c>
      <c r="N77" s="328">
        <f t="shared" si="115"/>
        <v>6618</v>
      </c>
      <c r="O77" s="328">
        <f t="shared" si="115"/>
        <v>7183</v>
      </c>
      <c r="P77" s="328">
        <f t="shared" si="115"/>
        <v>6705</v>
      </c>
      <c r="Q77" s="328">
        <f t="shared" si="115"/>
        <v>9152</v>
      </c>
      <c r="R77" s="488">
        <f t="shared" si="115"/>
        <v>9152</v>
      </c>
      <c r="S77" s="328">
        <f t="shared" si="115"/>
        <v>7742</v>
      </c>
      <c r="T77" s="328">
        <f t="shared" si="115"/>
        <v>8892</v>
      </c>
      <c r="U77" s="328">
        <f t="shared" si="115"/>
        <v>8747</v>
      </c>
      <c r="V77" s="328">
        <f t="shared" si="115"/>
        <v>8907</v>
      </c>
      <c r="W77" s="488">
        <f t="shared" si="115"/>
        <v>8907</v>
      </c>
      <c r="X77" s="328">
        <f t="shared" si="115"/>
        <v>12232</v>
      </c>
      <c r="Y77" s="328">
        <f t="shared" si="115"/>
        <v>13212</v>
      </c>
      <c r="Z77" s="328">
        <f t="shared" si="115"/>
        <v>11616</v>
      </c>
      <c r="AA77" s="328">
        <f t="shared" si="115"/>
        <v>9746</v>
      </c>
      <c r="AB77" s="488">
        <f t="shared" si="115"/>
        <v>9746</v>
      </c>
      <c r="AC77" s="328">
        <f t="shared" si="115"/>
        <v>15773</v>
      </c>
      <c r="AD77" s="328">
        <f t="shared" si="115"/>
        <v>15416</v>
      </c>
      <c r="AE77" s="328">
        <f t="shared" si="115"/>
        <v>15827</v>
      </c>
      <c r="AF77" s="328">
        <f t="shared" si="115"/>
        <v>20051</v>
      </c>
      <c r="AG77" s="488">
        <f t="shared" si="115"/>
        <v>20051</v>
      </c>
      <c r="AH77" s="328">
        <f t="shared" si="115"/>
        <v>19624</v>
      </c>
      <c r="AI77" s="328">
        <f t="shared" si="115"/>
        <v>20708</v>
      </c>
      <c r="AJ77" s="328">
        <f t="shared" si="115"/>
        <v>20521</v>
      </c>
      <c r="AK77" s="328">
        <f t="shared" si="115"/>
        <v>27844</v>
      </c>
      <c r="AL77" s="472">
        <f t="shared" si="115"/>
        <v>27844</v>
      </c>
      <c r="AM77" s="167">
        <f t="shared" ref="AM77:BP77" si="116">+AM11</f>
        <v>28943</v>
      </c>
      <c r="AN77" s="167">
        <f t="shared" si="116"/>
        <v>27555</v>
      </c>
      <c r="AO77" s="167">
        <f t="shared" si="116"/>
        <v>27079</v>
      </c>
      <c r="AP77" s="167">
        <f t="shared" si="116"/>
        <v>33236</v>
      </c>
      <c r="AQ77" s="472">
        <f t="shared" si="116"/>
        <v>33236</v>
      </c>
      <c r="AR77" s="167">
        <f t="shared" si="116"/>
        <v>38051</v>
      </c>
      <c r="AS77" s="167">
        <f t="shared" si="116"/>
        <v>34221</v>
      </c>
      <c r="AT77" s="167">
        <f t="shared" si="116"/>
        <v>33402</v>
      </c>
      <c r="AU77" s="167">
        <f t="shared" si="116"/>
        <v>31907</v>
      </c>
      <c r="AV77" s="472">
        <f t="shared" si="116"/>
        <v>31907</v>
      </c>
      <c r="AW77" s="167">
        <f t="shared" si="116"/>
        <v>39527</v>
      </c>
      <c r="AX77" s="167">
        <f t="shared" si="116"/>
        <v>56463</v>
      </c>
      <c r="AY77" s="167">
        <f t="shared" si="116"/>
        <v>35087</v>
      </c>
      <c r="AZ77" s="167">
        <f t="shared" si="116"/>
        <v>41407</v>
      </c>
      <c r="BA77" s="472">
        <f t="shared" si="116"/>
        <v>41407</v>
      </c>
      <c r="BB77" s="167">
        <f t="shared" si="116"/>
        <v>42552</v>
      </c>
      <c r="BC77" s="167">
        <f t="shared" si="116"/>
        <v>39194</v>
      </c>
      <c r="BD77" s="167">
        <f t="shared" si="116"/>
        <v>37328</v>
      </c>
      <c r="BE77" s="167">
        <f t="shared" si="116"/>
        <v>44024</v>
      </c>
      <c r="BF77" s="472">
        <f t="shared" si="116"/>
        <v>44024</v>
      </c>
      <c r="BG77" s="167">
        <f t="shared" si="116"/>
        <v>47964</v>
      </c>
      <c r="BH77" s="167">
        <f t="shared" si="116"/>
        <v>42805</v>
      </c>
      <c r="BI77" s="167">
        <f t="shared" ref="BI77" si="117">+BI11</f>
        <v>39001</v>
      </c>
      <c r="BJ77" s="167">
        <f t="shared" si="116"/>
        <v>47230</v>
      </c>
      <c r="BK77" s="472">
        <f t="shared" si="116"/>
        <v>47230</v>
      </c>
      <c r="BL77" s="167">
        <f t="shared" si="116"/>
        <v>43181.963783749998</v>
      </c>
      <c r="BM77" s="167">
        <f t="shared" si="116"/>
        <v>39749.821434400001</v>
      </c>
      <c r="BN77" s="167">
        <f t="shared" si="116"/>
        <v>42901.287842639998</v>
      </c>
      <c r="BO77" s="167">
        <f t="shared" si="116"/>
        <v>41316.794246790298</v>
      </c>
      <c r="BP77" s="472">
        <f t="shared" si="116"/>
        <v>41316.794246790298</v>
      </c>
      <c r="BQ77" s="167">
        <f t="shared" ref="BQ77:BU77" si="118">+BQ11</f>
        <v>40258.714709313281</v>
      </c>
      <c r="BR77" s="167">
        <f t="shared" si="118"/>
        <v>36775.366112276715</v>
      </c>
      <c r="BS77" s="167">
        <f t="shared" si="118"/>
        <v>34973.847766207022</v>
      </c>
      <c r="BT77" s="167">
        <f t="shared" si="118"/>
        <v>37064.287420368251</v>
      </c>
      <c r="BU77" s="472">
        <f t="shared" si="118"/>
        <v>37064.287420368251</v>
      </c>
    </row>
    <row r="78" spans="2:73" s="155" customFormat="1" ht="12.75">
      <c r="B78" s="224" t="s">
        <v>217</v>
      </c>
      <c r="D78" s="332"/>
      <c r="E78" s="332"/>
      <c r="F78" s="332"/>
      <c r="G78" s="333">
        <f t="shared" ref="G78:AD78" si="119">+G77/(G$63+G$64)</f>
        <v>0.14026727097010697</v>
      </c>
      <c r="H78" s="333">
        <f t="shared" si="119"/>
        <v>4.0661166605483315E-2</v>
      </c>
      <c r="I78" s="333">
        <f t="shared" si="119"/>
        <v>0.17015840572304547</v>
      </c>
      <c r="J78" s="333">
        <f t="shared" si="119"/>
        <v>0.19142144941634243</v>
      </c>
      <c r="K78" s="333">
        <f t="shared" si="119"/>
        <v>0.11548913043478261</v>
      </c>
      <c r="L78" s="333">
        <f t="shared" si="119"/>
        <v>0.136698165647582</v>
      </c>
      <c r="M78" s="491">
        <f t="shared" si="119"/>
        <v>4.2905994835647984E-2</v>
      </c>
      <c r="N78" s="333">
        <f t="shared" si="119"/>
        <v>0.14934669284408639</v>
      </c>
      <c r="O78" s="333">
        <f t="shared" si="119"/>
        <v>0.15505666486778197</v>
      </c>
      <c r="P78" s="333">
        <f t="shared" si="119"/>
        <v>0.1470491479702612</v>
      </c>
      <c r="Q78" s="333">
        <f t="shared" si="119"/>
        <v>0.18123848941521278</v>
      </c>
      <c r="R78" s="491">
        <f t="shared" si="119"/>
        <v>4.9011417432470061E-2</v>
      </c>
      <c r="S78" s="333">
        <f t="shared" si="119"/>
        <v>0.15195289499509324</v>
      </c>
      <c r="T78" s="333">
        <f t="shared" si="119"/>
        <v>0.16587695407230535</v>
      </c>
      <c r="U78" s="333">
        <f t="shared" si="119"/>
        <v>0.15266869131148114</v>
      </c>
      <c r="V78" s="333">
        <f t="shared" si="119"/>
        <v>0.13626975506020225</v>
      </c>
      <c r="W78" s="491">
        <f t="shared" si="119"/>
        <v>3.9201102049618637E-2</v>
      </c>
      <c r="X78" s="333">
        <f t="shared" si="119"/>
        <v>0.19297332260558159</v>
      </c>
      <c r="Y78" s="333">
        <f t="shared" si="119"/>
        <v>0.20505020719196684</v>
      </c>
      <c r="Z78" s="333">
        <f t="shared" si="119"/>
        <v>0.17819503888812185</v>
      </c>
      <c r="AA78" s="333">
        <f t="shared" si="119"/>
        <v>0.13637444903099419</v>
      </c>
      <c r="AB78" s="491">
        <f t="shared" si="119"/>
        <v>3.6850781935327745E-2</v>
      </c>
      <c r="AC78" s="333">
        <f t="shared" si="119"/>
        <v>0.2172350154252975</v>
      </c>
      <c r="AD78" s="333">
        <f t="shared" si="119"/>
        <v>0.19648478823334481</v>
      </c>
      <c r="AE78" s="333">
        <f t="shared" ref="AE78:BE78" si="120">+AE77/(AE$63+AE$64)</f>
        <v>0.19158001767276336</v>
      </c>
      <c r="AF78" s="333">
        <f t="shared" si="120"/>
        <v>0.22067288115074343</v>
      </c>
      <c r="AG78" s="491">
        <f t="shared" si="120"/>
        <v>6.1782259977876584E-2</v>
      </c>
      <c r="AH78" s="333">
        <f t="shared" si="120"/>
        <v>0.19968862251076083</v>
      </c>
      <c r="AI78" s="333">
        <f t="shared" si="120"/>
        <v>0.21879193212674464</v>
      </c>
      <c r="AJ78" s="333">
        <f t="shared" si="120"/>
        <v>0.19994933304751975</v>
      </c>
      <c r="AK78" s="333">
        <f t="shared" si="120"/>
        <v>0.2444536140400165</v>
      </c>
      <c r="AL78" s="482">
        <f t="shared" si="120"/>
        <v>6.8002754888216985E-2</v>
      </c>
      <c r="AM78" s="333">
        <f t="shared" si="120"/>
        <v>0.25049115063395216</v>
      </c>
      <c r="AN78" s="333">
        <f t="shared" si="120"/>
        <v>0.22895530573073758</v>
      </c>
      <c r="AO78" s="333">
        <f t="shared" si="120"/>
        <v>0.20183958080217052</v>
      </c>
      <c r="AP78" s="333">
        <f t="shared" si="120"/>
        <v>0.21069046834191241</v>
      </c>
      <c r="AQ78" s="482">
        <f t="shared" si="120"/>
        <v>6.2970225746250982E-2</v>
      </c>
      <c r="AR78" s="333">
        <f t="shared" si="120"/>
        <v>0.23343742139715221</v>
      </c>
      <c r="AS78" s="333">
        <f t="shared" si="120"/>
        <v>0.20870026589905594</v>
      </c>
      <c r="AT78" s="333">
        <f t="shared" si="120"/>
        <v>0.20527159985496649</v>
      </c>
      <c r="AU78" s="333">
        <f t="shared" si="120"/>
        <v>0.19337341365559205</v>
      </c>
      <c r="AV78" s="482">
        <f t="shared" si="120"/>
        <v>4.8735447488765814E-2</v>
      </c>
      <c r="AW78" s="333">
        <f t="shared" si="120"/>
        <v>0.22956656077035212</v>
      </c>
      <c r="AX78" s="333">
        <f t="shared" si="120"/>
        <v>0.31816414504268448</v>
      </c>
      <c r="AY78" s="333">
        <f t="shared" si="120"/>
        <v>0.21649287344974394</v>
      </c>
      <c r="AZ78" s="333">
        <f t="shared" si="120"/>
        <v>0.25283629480368808</v>
      </c>
      <c r="BA78" s="482">
        <f t="shared" si="120"/>
        <v>6.1299568014733095E-2</v>
      </c>
      <c r="BB78" s="333">
        <f t="shared" si="120"/>
        <v>0.25817881759052519</v>
      </c>
      <c r="BC78" s="333">
        <f t="shared" si="120"/>
        <v>0.23230892333224668</v>
      </c>
      <c r="BD78" s="333">
        <f t="shared" si="120"/>
        <v>0.21867347775655821</v>
      </c>
      <c r="BE78" s="333">
        <f t="shared" si="120"/>
        <v>0.24975888713648689</v>
      </c>
      <c r="BF78" s="482">
        <f>+BF77/(BF$63+BF$64)</f>
        <v>6.469370270933536E-2</v>
      </c>
      <c r="BG78" s="333">
        <f t="shared" ref="BG78:BH78" si="121">+BG77/(BG$63+BG$64)</f>
        <v>0.26961214165261382</v>
      </c>
      <c r="BH78" s="333">
        <f t="shared" si="121"/>
        <v>0.24068711518457084</v>
      </c>
      <c r="BI78" s="333">
        <f t="shared" ref="BI78:BJ78" si="122">+BI77/(BI$63+BI$64)</f>
        <v>0.21541087189457289</v>
      </c>
      <c r="BJ78" s="333">
        <f t="shared" si="122"/>
        <v>0.25221212946497706</v>
      </c>
      <c r="BK78" s="482">
        <f>+BK77/(BK$63+BK$64)</f>
        <v>6.5229220702094567E-2</v>
      </c>
      <c r="BL78" s="234">
        <v>0.23</v>
      </c>
      <c r="BM78" s="234">
        <v>0.22</v>
      </c>
      <c r="BN78" s="234">
        <v>0.24</v>
      </c>
      <c r="BO78" s="234">
        <v>0.23</v>
      </c>
      <c r="BP78" s="482">
        <f>+BP77/(BP$63+BP$64)</f>
        <v>5.6845800622220499E-2</v>
      </c>
      <c r="BQ78" s="234">
        <v>0.22</v>
      </c>
      <c r="BR78" s="234">
        <v>0.2</v>
      </c>
      <c r="BS78" s="234">
        <v>0.19</v>
      </c>
      <c r="BT78" s="234">
        <v>0.2</v>
      </c>
      <c r="BU78" s="482">
        <f>+BU77/(BU$63+BU$64)</f>
        <v>5.0340939599973801E-2</v>
      </c>
    </row>
    <row r="79" spans="2:73" s="155" customFormat="1" ht="12.75">
      <c r="B79" s="224" t="s">
        <v>126</v>
      </c>
      <c r="D79" s="332"/>
      <c r="E79" s="332"/>
      <c r="F79" s="332"/>
      <c r="G79" s="332"/>
      <c r="H79" s="332"/>
      <c r="I79" s="329"/>
      <c r="J79" s="329"/>
      <c r="K79" s="329"/>
      <c r="L79" s="329">
        <f t="shared" ref="L79:AZ79" si="123">+L77/G77-1</f>
        <v>0.460679496317415</v>
      </c>
      <c r="M79" s="489">
        <f t="shared" si="123"/>
        <v>0.460679496317415</v>
      </c>
      <c r="N79" s="329">
        <f t="shared" si="123"/>
        <v>0.32492492492492486</v>
      </c>
      <c r="O79" s="329">
        <f t="shared" si="123"/>
        <v>0.14070192154994432</v>
      </c>
      <c r="P79" s="329">
        <f t="shared" si="123"/>
        <v>0.60984393757502997</v>
      </c>
      <c r="Q79" s="329">
        <f t="shared" si="123"/>
        <v>0.48861418347430052</v>
      </c>
      <c r="R79" s="489">
        <f t="shared" si="123"/>
        <v>0.48861418347430052</v>
      </c>
      <c r="S79" s="329">
        <f t="shared" si="123"/>
        <v>0.16983983076458142</v>
      </c>
      <c r="T79" s="329">
        <f t="shared" si="123"/>
        <v>0.23792287345120422</v>
      </c>
      <c r="U79" s="329">
        <f t="shared" si="123"/>
        <v>0.30454884414615968</v>
      </c>
      <c r="V79" s="329">
        <f t="shared" si="123"/>
        <v>-2.6770104895104896E-2</v>
      </c>
      <c r="W79" s="489">
        <f t="shared" si="123"/>
        <v>-2.6770104895104896E-2</v>
      </c>
      <c r="X79" s="329">
        <f t="shared" si="123"/>
        <v>0.57995350038749671</v>
      </c>
      <c r="Y79" s="329">
        <f t="shared" si="123"/>
        <v>0.48582995951416996</v>
      </c>
      <c r="Z79" s="329">
        <f t="shared" si="123"/>
        <v>0.32799817080141769</v>
      </c>
      <c r="AA79" s="329">
        <f t="shared" si="123"/>
        <v>9.4195576512855039E-2</v>
      </c>
      <c r="AB79" s="489">
        <f t="shared" si="123"/>
        <v>9.4195576512855039E-2</v>
      </c>
      <c r="AC79" s="329">
        <f t="shared" si="123"/>
        <v>0.28948659254414655</v>
      </c>
      <c r="AD79" s="329">
        <f t="shared" si="123"/>
        <v>0.16681804420224045</v>
      </c>
      <c r="AE79" s="329">
        <f t="shared" si="123"/>
        <v>0.36251721763085398</v>
      </c>
      <c r="AF79" s="329">
        <f t="shared" si="123"/>
        <v>1.057356864354607</v>
      </c>
      <c r="AG79" s="489">
        <f>+AG77/AB77-1</f>
        <v>1.057356864354607</v>
      </c>
      <c r="AH79" s="329">
        <f>+AH77/AC77-1</f>
        <v>0.2441513979585368</v>
      </c>
      <c r="AI79" s="329">
        <f t="shared" si="123"/>
        <v>0.34327970939283858</v>
      </c>
      <c r="AJ79" s="329">
        <f t="shared" si="123"/>
        <v>0.29658179061098133</v>
      </c>
      <c r="AK79" s="329">
        <f t="shared" si="123"/>
        <v>0.38865891975462574</v>
      </c>
      <c r="AL79" s="480">
        <f t="shared" si="123"/>
        <v>0.38865891975462574</v>
      </c>
      <c r="AM79" s="237">
        <f t="shared" si="123"/>
        <v>0.47487770077456171</v>
      </c>
      <c r="AN79" s="237">
        <f>+AN77/AI77-1</f>
        <v>0.33064516129032251</v>
      </c>
      <c r="AO79" s="237">
        <f>+AO77/AJ77-1</f>
        <v>0.3195750694410604</v>
      </c>
      <c r="AP79" s="237">
        <f t="shared" si="123"/>
        <v>0.19365033759517303</v>
      </c>
      <c r="AQ79" s="480">
        <f t="shared" si="123"/>
        <v>0.19365033759517303</v>
      </c>
      <c r="AR79" s="237">
        <f t="shared" si="123"/>
        <v>0.31468748920291612</v>
      </c>
      <c r="AS79" s="237">
        <f t="shared" si="123"/>
        <v>0.24191616766467061</v>
      </c>
      <c r="AT79" s="237">
        <f t="shared" si="123"/>
        <v>0.2335019757007275</v>
      </c>
      <c r="AU79" s="237">
        <f t="shared" si="123"/>
        <v>-3.9986761343121957E-2</v>
      </c>
      <c r="AV79" s="480">
        <f>+AV77/AQ77-1</f>
        <v>-3.9986761343121957E-2</v>
      </c>
      <c r="AW79" s="237">
        <f t="shared" si="123"/>
        <v>3.8790044939686297E-2</v>
      </c>
      <c r="AX79" s="237">
        <f t="shared" si="123"/>
        <v>0.64995178399228548</v>
      </c>
      <c r="AY79" s="237">
        <f t="shared" si="123"/>
        <v>5.0446081072989646E-2</v>
      </c>
      <c r="AZ79" s="237">
        <f t="shared" si="123"/>
        <v>0.29774030776945493</v>
      </c>
      <c r="BA79" s="480">
        <f t="shared" ref="BA79:BP79" si="124">+BA77/AV77-1</f>
        <v>0.29774030776945493</v>
      </c>
      <c r="BB79" s="237">
        <f t="shared" si="124"/>
        <v>7.6529966858096987E-2</v>
      </c>
      <c r="BC79" s="237">
        <f t="shared" si="124"/>
        <v>-0.30584630643075994</v>
      </c>
      <c r="BD79" s="237">
        <f t="shared" si="124"/>
        <v>6.386980933109121E-2</v>
      </c>
      <c r="BE79" s="237">
        <f t="shared" si="124"/>
        <v>6.3201874079261922E-2</v>
      </c>
      <c r="BF79" s="480">
        <f t="shared" si="124"/>
        <v>6.3201874079261922E-2</v>
      </c>
      <c r="BG79" s="237">
        <f t="shared" si="124"/>
        <v>0.12718556119571356</v>
      </c>
      <c r="BH79" s="237">
        <f t="shared" si="124"/>
        <v>9.2131448691126216E-2</v>
      </c>
      <c r="BI79" s="237">
        <f t="shared" si="124"/>
        <v>4.4818902700385799E-2</v>
      </c>
      <c r="BJ79" s="237">
        <f t="shared" si="124"/>
        <v>7.2823914228602682E-2</v>
      </c>
      <c r="BK79" s="480">
        <f t="shared" si="124"/>
        <v>7.2823914228602682E-2</v>
      </c>
      <c r="BL79" s="237">
        <f t="shared" si="124"/>
        <v>-9.9700529902635338E-2</v>
      </c>
      <c r="BM79" s="237">
        <f t="shared" si="124"/>
        <v>-7.1374338642681945E-2</v>
      </c>
      <c r="BN79" s="237">
        <f t="shared" si="124"/>
        <v>0.10000481635445246</v>
      </c>
      <c r="BO79" s="237">
        <f t="shared" si="124"/>
        <v>-0.12520020650454589</v>
      </c>
      <c r="BP79" s="480">
        <f t="shared" si="124"/>
        <v>-0.12520020650454589</v>
      </c>
      <c r="BQ79" s="237">
        <f t="shared" ref="BQ79" si="125">+BQ77/BL77-1</f>
        <v>-6.7696066095465079E-2</v>
      </c>
      <c r="BR79" s="237">
        <f t="shared" ref="BR79" si="126">+BR77/BM77-1</f>
        <v>-7.4829400857362227E-2</v>
      </c>
      <c r="BS79" s="237">
        <f t="shared" ref="BS79" si="127">+BS77/BN77-1</f>
        <v>-0.18478326584298521</v>
      </c>
      <c r="BT79" s="237">
        <f t="shared" ref="BT79" si="128">+BT77/BO77-1</f>
        <v>-0.1029244137631129</v>
      </c>
      <c r="BU79" s="480">
        <f t="shared" ref="BU79" si="129">+BU77/BP77-1</f>
        <v>-0.1029244137631129</v>
      </c>
    </row>
    <row r="80" spans="2:73" s="155" customFormat="1" ht="12.75">
      <c r="B80" s="224" t="s">
        <v>127</v>
      </c>
      <c r="D80" s="332"/>
      <c r="E80" s="332"/>
      <c r="F80" s="332"/>
      <c r="G80" s="332"/>
      <c r="H80" s="332"/>
      <c r="I80" s="329">
        <f>+I77/G77-1</f>
        <v>0.18674269422665724</v>
      </c>
      <c r="J80" s="329">
        <f>+J77/I77-1</f>
        <v>0.26066066066066074</v>
      </c>
      <c r="K80" s="329">
        <f>+K77/J77-1</f>
        <v>-0.33857392409083686</v>
      </c>
      <c r="L80" s="329">
        <f>+L77/K77-1</f>
        <v>0.47611044417767112</v>
      </c>
      <c r="M80" s="495"/>
      <c r="N80" s="329">
        <f>+N77/L77-1</f>
        <v>7.6447625243981854E-2</v>
      </c>
      <c r="O80" s="329">
        <f>+O77/N77-1</f>
        <v>8.537322453913565E-2</v>
      </c>
      <c r="P80" s="329">
        <f>+P77/O77-1</f>
        <v>-6.6546011415842932E-2</v>
      </c>
      <c r="Q80" s="329">
        <f>+Q77/P77-1</f>
        <v>0.36495152870991787</v>
      </c>
      <c r="R80" s="495"/>
      <c r="S80" s="329">
        <f>+S77/Q77-1</f>
        <v>-0.15406468531468531</v>
      </c>
      <c r="T80" s="329">
        <f>+T77/S77-1</f>
        <v>0.14854042882975982</v>
      </c>
      <c r="U80" s="329">
        <f>+U77/T77-1</f>
        <v>-1.6306792622582056E-2</v>
      </c>
      <c r="V80" s="329">
        <f>+V77/U77-1</f>
        <v>1.8291985823710943E-2</v>
      </c>
      <c r="W80" s="489"/>
      <c r="X80" s="329">
        <f>+X77/V77-1</f>
        <v>0.37330189738408004</v>
      </c>
      <c r="Y80" s="329">
        <f>+Y77/X77-1</f>
        <v>8.0117724002616075E-2</v>
      </c>
      <c r="Z80" s="329">
        <f>+Z77/Y77-1</f>
        <v>-0.12079927338782925</v>
      </c>
      <c r="AA80" s="329">
        <f>+AA77/Z77-1</f>
        <v>-0.16098484848484851</v>
      </c>
      <c r="AB80" s="489"/>
      <c r="AC80" s="329">
        <f>+AC77/AA77-1</f>
        <v>0.61840755181612961</v>
      </c>
      <c r="AD80" s="329">
        <f>+AD77/AC77-1</f>
        <v>-2.2633614404361846E-2</v>
      </c>
      <c r="AE80" s="329">
        <f>+AE77/AD77-1</f>
        <v>2.6660612350804413E-2</v>
      </c>
      <c r="AF80" s="329">
        <f>+AF77/AE77-1</f>
        <v>0.26688570164908065</v>
      </c>
      <c r="AG80" s="489"/>
      <c r="AH80" s="329">
        <f>+AH77/AF77-1</f>
        <v>-2.129569597526304E-2</v>
      </c>
      <c r="AI80" s="329">
        <f>+AI77/AH77-1</f>
        <v>5.5238483489604473E-2</v>
      </c>
      <c r="AJ80" s="329">
        <f>+AJ77/AI77-1</f>
        <v>-9.0303264438864606E-3</v>
      </c>
      <c r="AK80" s="329">
        <f>+AK77/AJ77-1</f>
        <v>0.35685395448564883</v>
      </c>
      <c r="AL80" s="470"/>
      <c r="AM80" s="237">
        <f>+AM77/AK77-1</f>
        <v>3.9469903749461244E-2</v>
      </c>
      <c r="AN80" s="237">
        <f>+AN77/AL77-1</f>
        <v>-1.0379255854043978E-2</v>
      </c>
      <c r="AO80" s="237">
        <f>+AO77/AM77-1</f>
        <v>-6.4402446187333706E-2</v>
      </c>
      <c r="AP80" s="237">
        <f>+AP77/AO77-1</f>
        <v>0.22737176409764026</v>
      </c>
      <c r="AQ80" s="470"/>
      <c r="AR80" s="237">
        <f>+AR77/AP77-1</f>
        <v>0.14487302924539658</v>
      </c>
      <c r="AS80" s="237">
        <f>+AS77/AQ77-1</f>
        <v>2.9636538692983549E-2</v>
      </c>
      <c r="AT80" s="237">
        <f>+AT77/AR77-1</f>
        <v>-0.12217812935271088</v>
      </c>
      <c r="AU80" s="237">
        <f>+AU77/AT77-1</f>
        <v>-4.4757798934195514E-2</v>
      </c>
      <c r="AV80" s="470"/>
      <c r="AW80" s="237">
        <f>+AW77/AU77-1</f>
        <v>0.23881906791613128</v>
      </c>
      <c r="AX80" s="237">
        <f>+AX77/AV77-1</f>
        <v>0.76961168395649859</v>
      </c>
      <c r="AY80" s="237">
        <f>+AY77/AW77-1</f>
        <v>-0.11232828193386801</v>
      </c>
      <c r="AZ80" s="237">
        <f>+AZ77/AX77-1</f>
        <v>-0.26665249809609837</v>
      </c>
      <c r="BA80" s="470"/>
      <c r="BB80" s="237">
        <f>+BB77/AZ77-1</f>
        <v>2.7652329316299129E-2</v>
      </c>
      <c r="BC80" s="237">
        <f>+BC77/BA77-1</f>
        <v>-5.34450696742097E-2</v>
      </c>
      <c r="BD80" s="237">
        <f>+BD77/BB77-1</f>
        <v>-0.1227674374882497</v>
      </c>
      <c r="BE80" s="237">
        <f>+BE77/BC77-1</f>
        <v>0.12323314793080575</v>
      </c>
      <c r="BF80" s="470"/>
      <c r="BG80" s="237">
        <f>+BG77/BE77-1</f>
        <v>8.9496638197346989E-2</v>
      </c>
      <c r="BH80" s="237">
        <f>+BH77/BG77-1</f>
        <v>-0.10755983654407475</v>
      </c>
      <c r="BI80" s="237">
        <f>+BI77/BH77-1</f>
        <v>-8.8868122882840739E-2</v>
      </c>
      <c r="BJ80" s="237">
        <f>+BJ77/BI77-1</f>
        <v>0.21099458988231068</v>
      </c>
      <c r="BK80" s="470"/>
      <c r="BL80" s="237">
        <f>+BL77/BJ77-1</f>
        <v>-8.570900309654883E-2</v>
      </c>
      <c r="BM80" s="237">
        <f>+BM77/BL77-1</f>
        <v>-7.9480923251609048E-2</v>
      </c>
      <c r="BN80" s="237">
        <f>+BN77/BM77-1</f>
        <v>7.9282529946478775E-2</v>
      </c>
      <c r="BO80" s="237">
        <f>+BO77/BN77-1</f>
        <v>-3.6933473924175675E-2</v>
      </c>
      <c r="BP80" s="470"/>
      <c r="BQ80" s="237">
        <f>+BQ77/BO77-1</f>
        <v>-2.5608945630122615E-2</v>
      </c>
      <c r="BR80" s="237">
        <f>+BR77/BQ77-1</f>
        <v>-8.6524088565369528E-2</v>
      </c>
      <c r="BS80" s="237">
        <f>+BS77/BR77-1</f>
        <v>-4.8987094800622355E-2</v>
      </c>
      <c r="BT80" s="237">
        <f>+BT77/BS77-1</f>
        <v>5.9771508932485506E-2</v>
      </c>
      <c r="BU80" s="470"/>
    </row>
    <row r="81" spans="2:73" s="155" customFormat="1" ht="13.35" customHeight="1">
      <c r="C81" s="310"/>
      <c r="D81" s="331"/>
      <c r="E81" s="331"/>
      <c r="F81" s="331"/>
      <c r="G81" s="331"/>
      <c r="H81" s="331"/>
      <c r="I81" s="331"/>
      <c r="J81" s="331"/>
      <c r="K81" s="331"/>
      <c r="L81" s="331"/>
      <c r="M81" s="490"/>
      <c r="N81" s="331"/>
      <c r="O81" s="331"/>
      <c r="P81" s="331"/>
      <c r="Q81" s="331"/>
      <c r="R81" s="490"/>
      <c r="S81" s="331"/>
      <c r="T81" s="331"/>
      <c r="U81" s="331"/>
      <c r="V81" s="331"/>
      <c r="W81" s="490"/>
      <c r="X81" s="331"/>
      <c r="Y81" s="331"/>
      <c r="Z81" s="331"/>
      <c r="AA81" s="331"/>
      <c r="AB81" s="490"/>
      <c r="AC81" s="331"/>
      <c r="AD81" s="331"/>
      <c r="AE81" s="331"/>
      <c r="AF81" s="331"/>
      <c r="AG81" s="490"/>
      <c r="AH81" s="331"/>
      <c r="AI81" s="331"/>
      <c r="AJ81" s="331"/>
      <c r="AK81" s="331"/>
      <c r="AL81" s="481"/>
      <c r="AM81" s="324"/>
      <c r="AN81" s="324"/>
      <c r="AO81" s="324"/>
      <c r="AP81" s="324"/>
      <c r="AQ81" s="481"/>
      <c r="AR81" s="324"/>
      <c r="AS81" s="324"/>
      <c r="AT81" s="324"/>
      <c r="AU81" s="324"/>
      <c r="AV81" s="481"/>
      <c r="AW81" s="324"/>
      <c r="AX81" s="324"/>
      <c r="AY81" s="324"/>
      <c r="AZ81" s="324"/>
      <c r="BA81" s="481"/>
      <c r="BB81" s="324"/>
      <c r="BC81" s="324"/>
      <c r="BD81" s="324"/>
      <c r="BE81" s="324"/>
      <c r="BF81" s="481"/>
      <c r="BG81" s="324"/>
      <c r="BH81" s="324"/>
      <c r="BI81" s="324"/>
      <c r="BJ81" s="324"/>
      <c r="BK81" s="481"/>
      <c r="BL81" s="324"/>
      <c r="BM81" s="324"/>
      <c r="BN81" s="324"/>
      <c r="BO81" s="324"/>
      <c r="BP81" s="481"/>
      <c r="BQ81" s="324"/>
      <c r="BR81" s="324"/>
      <c r="BS81" s="324"/>
      <c r="BT81" s="324"/>
      <c r="BU81" s="481"/>
    </row>
    <row r="82" spans="2:73" s="155" customFormat="1" ht="13.35" customHeight="1">
      <c r="B82" s="263" t="s">
        <v>223</v>
      </c>
      <c r="C82" s="310"/>
      <c r="D82" s="328"/>
      <c r="E82" s="328"/>
      <c r="F82" s="328"/>
      <c r="G82" s="328"/>
      <c r="H82" s="328"/>
      <c r="I82" s="328">
        <f>+G16</f>
        <v>7922</v>
      </c>
      <c r="J82" s="328">
        <f>+I16</f>
        <v>7619</v>
      </c>
      <c r="K82" s="328">
        <f>+J16</f>
        <v>7607</v>
      </c>
      <c r="L82" s="328">
        <f>+K16</f>
        <v>7356</v>
      </c>
      <c r="M82" s="488">
        <f>+H16</f>
        <v>7922</v>
      </c>
      <c r="N82" s="328">
        <f>+L16</f>
        <v>7532</v>
      </c>
      <c r="O82" s="328">
        <f>+N16</f>
        <v>7611</v>
      </c>
      <c r="P82" s="328">
        <f>+O16</f>
        <v>7386</v>
      </c>
      <c r="Q82" s="328">
        <f>+P16</f>
        <v>8009</v>
      </c>
      <c r="R82" s="488">
        <f>+M16</f>
        <v>7532</v>
      </c>
      <c r="S82" s="328">
        <f>+Q16</f>
        <v>8088</v>
      </c>
      <c r="T82" s="328">
        <f>+S16</f>
        <v>8010</v>
      </c>
      <c r="U82" s="328">
        <f>+T16</f>
        <v>8287</v>
      </c>
      <c r="V82" s="328">
        <f>+U16</f>
        <v>7995</v>
      </c>
      <c r="W82" s="488">
        <f>+R16</f>
        <v>8088</v>
      </c>
      <c r="X82" s="328">
        <f>+V16</f>
        <v>8589</v>
      </c>
      <c r="Y82" s="328">
        <f>+X16</f>
        <v>9238</v>
      </c>
      <c r="Z82" s="328">
        <f>+Y16</f>
        <v>11184</v>
      </c>
      <c r="AA82" s="328">
        <f>+Z16</f>
        <v>11859</v>
      </c>
      <c r="AB82" s="488">
        <f>+W16</f>
        <v>8589</v>
      </c>
      <c r="AC82" s="328">
        <f>+AA16</f>
        <v>17523</v>
      </c>
      <c r="AD82" s="328">
        <f>+AC16</f>
        <v>32771</v>
      </c>
      <c r="AE82" s="328">
        <f>+AD16</f>
        <v>51860</v>
      </c>
      <c r="AF82" s="328">
        <f>+AE16</f>
        <v>51519</v>
      </c>
      <c r="AG82" s="488">
        <f>+AB16</f>
        <v>17523</v>
      </c>
      <c r="AH82" s="328">
        <f>+AF16</f>
        <v>50670</v>
      </c>
      <c r="AI82" s="328">
        <f>+AH16</f>
        <v>50075</v>
      </c>
      <c r="AJ82" s="328">
        <f>+AI16</f>
        <v>48904</v>
      </c>
      <c r="AK82" s="328">
        <f>+AJ16</f>
        <v>50305</v>
      </c>
      <c r="AL82" s="488">
        <f>+AG16</f>
        <v>50670</v>
      </c>
      <c r="AM82" s="328">
        <f>+AK16</f>
        <v>53114</v>
      </c>
      <c r="AN82" s="167">
        <f>+AM16</f>
        <v>51141</v>
      </c>
      <c r="AO82" s="167">
        <f>+AN16</f>
        <v>49431</v>
      </c>
      <c r="AP82" s="167">
        <f>+AO16</f>
        <v>49034</v>
      </c>
      <c r="AQ82" s="472">
        <f>+AL16</f>
        <v>53114</v>
      </c>
      <c r="AR82" s="328">
        <f>+AP16</f>
        <v>50225</v>
      </c>
      <c r="AS82" s="167">
        <f>+AR16</f>
        <v>49804</v>
      </c>
      <c r="AT82" s="167">
        <f>+AS16</f>
        <v>50533</v>
      </c>
      <c r="AU82" s="167">
        <f>+AT16</f>
        <v>55002</v>
      </c>
      <c r="AV82" s="472">
        <f>+AQ16</f>
        <v>50225</v>
      </c>
      <c r="AW82" s="328">
        <f>+AU16</f>
        <v>57891</v>
      </c>
      <c r="AX82" s="167">
        <f>+AW16</f>
        <v>56638</v>
      </c>
      <c r="AY82" s="167">
        <f>+AX16</f>
        <v>47104</v>
      </c>
      <c r="AZ82" s="167">
        <f>+AY16</f>
        <v>42449</v>
      </c>
      <c r="BA82" s="472">
        <f>+AV16</f>
        <v>57891</v>
      </c>
      <c r="BB82" s="167">
        <f>+AZ16</f>
        <v>39642</v>
      </c>
      <c r="BC82" s="167">
        <f>+BB16</f>
        <v>37266</v>
      </c>
      <c r="BD82" s="167">
        <f>+BC16</f>
        <v>34884</v>
      </c>
      <c r="BE82" s="167">
        <f>+BD16</f>
        <v>33936</v>
      </c>
      <c r="BF82" s="472">
        <f>+BA16</f>
        <v>39642</v>
      </c>
      <c r="BG82" s="167">
        <f>+BE16</f>
        <v>32245</v>
      </c>
      <c r="BH82" s="167">
        <f>+BG16</f>
        <v>31659</v>
      </c>
      <c r="BI82" s="167">
        <f>+BH16</f>
        <v>29639</v>
      </c>
      <c r="BJ82" s="167">
        <f>+BI16</f>
        <v>31966</v>
      </c>
      <c r="BK82" s="472">
        <f>+BF16</f>
        <v>32245</v>
      </c>
      <c r="BL82" s="167">
        <f>+BJ16</f>
        <v>31990</v>
      </c>
      <c r="BM82" s="167">
        <f>+BL16</f>
        <v>31510.497249999997</v>
      </c>
      <c r="BN82" s="167">
        <f>+BM16</f>
        <v>31078.995269999996</v>
      </c>
      <c r="BO82" s="167">
        <f>+BN16</f>
        <v>30695.166648399994</v>
      </c>
      <c r="BP82" s="472">
        <f>+BK16</f>
        <v>31990</v>
      </c>
      <c r="BQ82" s="167">
        <f>+BO16</f>
        <v>30356.770116527998</v>
      </c>
      <c r="BR82" s="167">
        <f>+BQ16</f>
        <v>30043.454422205756</v>
      </c>
      <c r="BS82" s="167">
        <f>+BR16</f>
        <v>29765.104160429295</v>
      </c>
      <c r="BT82" s="167">
        <f>+BS16</f>
        <v>29520.747671594952</v>
      </c>
      <c r="BU82" s="472">
        <f>+BP16</f>
        <v>30356.770116527998</v>
      </c>
    </row>
    <row r="83" spans="2:73" s="155" customFormat="1" ht="13.35" customHeight="1">
      <c r="B83" s="155" t="s">
        <v>224</v>
      </c>
      <c r="C83" s="310"/>
      <c r="D83" s="328"/>
      <c r="E83" s="328"/>
      <c r="F83" s="328"/>
      <c r="G83" s="328"/>
      <c r="H83" s="328">
        <f>+CF!H30*-1</f>
        <v>7082</v>
      </c>
      <c r="I83" s="328">
        <f>+CF!I30*-1</f>
        <v>573</v>
      </c>
      <c r="J83" s="328">
        <f>+CF!J30*-1</f>
        <v>622</v>
      </c>
      <c r="K83" s="328">
        <f>+CF!K30*-1</f>
        <v>1644</v>
      </c>
      <c r="L83" s="328">
        <f>+CF!L30*-1</f>
        <v>1297</v>
      </c>
      <c r="M83" s="488">
        <f>+SUM(I83:L83)</f>
        <v>4136</v>
      </c>
      <c r="N83" s="328">
        <f>+CF!N30*-1</f>
        <v>1092</v>
      </c>
      <c r="O83" s="328">
        <f>+CF!O30*-1</f>
        <v>750</v>
      </c>
      <c r="P83" s="328">
        <f>+CF!P30*-1</f>
        <v>1465</v>
      </c>
      <c r="Q83" s="328">
        <f>+CF!Q30*-1</f>
        <v>1192</v>
      </c>
      <c r="R83" s="488">
        <f>+SUM(N83:Q83)</f>
        <v>4499</v>
      </c>
      <c r="S83" s="328">
        <f>+CF!S30*-1</f>
        <v>1335</v>
      </c>
      <c r="T83" s="328">
        <f>+CF!T30*-1</f>
        <v>1243</v>
      </c>
      <c r="U83" s="328">
        <f>+CF!U30*-1</f>
        <v>928</v>
      </c>
      <c r="V83" s="328">
        <f>+CF!V30*-1</f>
        <v>1318</v>
      </c>
      <c r="W83" s="488">
        <f>+SUM(S83:V83)</f>
        <v>4824</v>
      </c>
      <c r="X83" s="328">
        <f>+CF!X30*-1</f>
        <v>2147</v>
      </c>
      <c r="Y83" s="328">
        <f>+CF!Y30*-1</f>
        <v>3503</v>
      </c>
      <c r="Z83" s="328">
        <f>+CF!Z30*-1</f>
        <v>2754</v>
      </c>
      <c r="AA83" s="328">
        <f>+CF!AA30*-1</f>
        <v>4409</v>
      </c>
      <c r="AB83" s="488">
        <f>+SUM(X83:AA83)</f>
        <v>12813</v>
      </c>
      <c r="AC83" s="328">
        <f>+CF!AC30*-1</f>
        <v>8463</v>
      </c>
      <c r="AD83" s="328">
        <f>+CF!AD30*-1</f>
        <v>9249</v>
      </c>
      <c r="AE83" s="328">
        <f>+CF!AE30*-1</f>
        <v>9341</v>
      </c>
      <c r="AF83" s="328">
        <f>+CF!AF30*-1</f>
        <v>2375</v>
      </c>
      <c r="AG83" s="488">
        <f>+SUM(AC83:AF83)</f>
        <v>29428</v>
      </c>
      <c r="AH83" s="328">
        <f>+CF!AH30*-1</f>
        <v>2756</v>
      </c>
      <c r="AI83" s="328">
        <f>+CF!AI30*-1</f>
        <v>1199</v>
      </c>
      <c r="AJ83" s="328">
        <f>+CF!AJ30*-1</f>
        <v>3170</v>
      </c>
      <c r="AK83" s="328">
        <f>+CF!AK30*-1</f>
        <v>6677</v>
      </c>
      <c r="AL83" s="488">
        <f>+SUM(AH83:AK83)</f>
        <v>13802</v>
      </c>
      <c r="AM83" s="328">
        <f>+CF!AM30*-1</f>
        <v>972</v>
      </c>
      <c r="AN83" s="328">
        <f>+CF!AN30*-1</f>
        <v>1699</v>
      </c>
      <c r="AO83" s="328">
        <f>+CF!AO30*-1</f>
        <v>2164</v>
      </c>
      <c r="AP83" s="328">
        <f>+CF!AP30*-1</f>
        <v>4175</v>
      </c>
      <c r="AQ83" s="472">
        <f>+SUM(AM83:AP83)</f>
        <v>9010</v>
      </c>
      <c r="AR83" s="328">
        <f>+CF!AR30*-1</f>
        <v>3053</v>
      </c>
      <c r="AS83" s="328">
        <f>+CF!AS30*-1</f>
        <v>4171</v>
      </c>
      <c r="AT83" s="328">
        <f>+CF!AT30*-1</f>
        <v>5863</v>
      </c>
      <c r="AU83" s="328">
        <f>+CF!AU30*-1</f>
        <v>7295</v>
      </c>
      <c r="AV83" s="472">
        <f>+SUM(AR83:AU83)</f>
        <v>20382</v>
      </c>
      <c r="AW83" s="328">
        <f>+CF!AW30*-1</f>
        <v>2285</v>
      </c>
      <c r="AX83" s="328">
        <f>+CF!AX30*-1</f>
        <v>1419</v>
      </c>
      <c r="AY83" s="328">
        <f>+CF!AY30*-1</f>
        <v>295</v>
      </c>
      <c r="AZ83" s="328">
        <f>+CF!AZ30*-1</f>
        <v>367</v>
      </c>
      <c r="BA83" s="472">
        <f>+SUM(AW83:AZ83)</f>
        <v>4366</v>
      </c>
      <c r="BB83" s="328">
        <f>+CF!BB30*-1</f>
        <v>620</v>
      </c>
      <c r="BC83" s="328">
        <f>+CF!BC30*-1</f>
        <v>280</v>
      </c>
      <c r="BD83" s="328">
        <f>+CF!BD30*-1</f>
        <v>1342</v>
      </c>
      <c r="BE83" s="328">
        <f>+CF!BE30*-1</f>
        <v>1183</v>
      </c>
      <c r="BF83" s="472">
        <f>+SUM(BB83:BE83)</f>
        <v>3425</v>
      </c>
      <c r="BG83" s="328">
        <f>+CF!BG30*-1</f>
        <v>1361</v>
      </c>
      <c r="BH83" s="328">
        <f>+CF!BH30*-1</f>
        <v>948</v>
      </c>
      <c r="BI83" s="328">
        <f>+CF!BI30*-1</f>
        <v>4137</v>
      </c>
      <c r="BJ83" s="328">
        <f>+CF!BJ30*-1</f>
        <v>1153</v>
      </c>
      <c r="BK83" s="472">
        <f>+SUM(BG83:BJ83)</f>
        <v>7599</v>
      </c>
      <c r="BL83" s="327">
        <f t="shared" ref="BL83:BT83" si="130">+BL84*BL$62</f>
        <v>2079.6972500000002</v>
      </c>
      <c r="BM83" s="327">
        <f t="shared" si="130"/>
        <v>2089.3378000000002</v>
      </c>
      <c r="BN83" s="327">
        <f t="shared" si="130"/>
        <v>2102.491</v>
      </c>
      <c r="BO83" s="327">
        <f t="shared" si="130"/>
        <v>2117.2168000000001</v>
      </c>
      <c r="BP83" s="472">
        <f>+SUM(BL83:BO83)</f>
        <v>8388.7428500000005</v>
      </c>
      <c r="BQ83" s="327">
        <f t="shared" si="130"/>
        <v>2115.225915</v>
      </c>
      <c r="BR83" s="327">
        <f t="shared" si="130"/>
        <v>2125.126092</v>
      </c>
      <c r="BS83" s="327">
        <f t="shared" si="130"/>
        <v>2136.8518439999998</v>
      </c>
      <c r="BT83" s="327">
        <f t="shared" si="130"/>
        <v>2151.4519920000002</v>
      </c>
      <c r="BU83" s="472">
        <f>+SUM(BQ83:BT83)</f>
        <v>8528.6558430000005</v>
      </c>
    </row>
    <row r="84" spans="2:73" s="155" customFormat="1" ht="13.35" customHeight="1">
      <c r="B84" s="155" t="s">
        <v>225</v>
      </c>
      <c r="C84" s="310"/>
      <c r="D84" s="329"/>
      <c r="E84" s="329"/>
      <c r="F84" s="329"/>
      <c r="G84" s="329"/>
      <c r="H84" s="329">
        <f t="shared" ref="H84:U84" si="131">+H83/H$62</f>
        <v>9.2117585848074918E-2</v>
      </c>
      <c r="I84" s="329">
        <f t="shared" si="131"/>
        <v>2.4309532900598192E-2</v>
      </c>
      <c r="J84" s="329">
        <f t="shared" si="131"/>
        <v>2.4117875145405195E-2</v>
      </c>
      <c r="K84" s="329">
        <f t="shared" si="131"/>
        <v>5.8067250635772817E-2</v>
      </c>
      <c r="L84" s="329">
        <f t="shared" si="131"/>
        <v>3.9478890816668187E-2</v>
      </c>
      <c r="M84" s="489">
        <f t="shared" si="131"/>
        <v>3.7421059298264663E-2</v>
      </c>
      <c r="N84" s="329">
        <f t="shared" si="131"/>
        <v>3.1382917576732956E-2</v>
      </c>
      <c r="O84" s="329">
        <f t="shared" si="131"/>
        <v>2.0124503595577974E-2</v>
      </c>
      <c r="P84" s="329">
        <f t="shared" si="131"/>
        <v>3.6317211631423686E-2</v>
      </c>
      <c r="Q84" s="329">
        <f t="shared" si="131"/>
        <v>2.6468890171870142E-2</v>
      </c>
      <c r="R84" s="489">
        <f t="shared" si="131"/>
        <v>2.8576509969066993E-2</v>
      </c>
      <c r="S84" s="329">
        <f t="shared" si="131"/>
        <v>2.9506022764946405E-2</v>
      </c>
      <c r="T84" s="329">
        <f t="shared" si="131"/>
        <v>2.6199860885694412E-2</v>
      </c>
      <c r="U84" s="329">
        <f t="shared" si="131"/>
        <v>1.8368599196373785E-2</v>
      </c>
      <c r="V84" s="329">
        <f t="shared" ref="V84:BE84" si="132">+V83/V$62</f>
        <v>2.2830021998579621E-2</v>
      </c>
      <c r="W84" s="489">
        <f t="shared" si="132"/>
        <v>2.400716631830397E-2</v>
      </c>
      <c r="X84" s="329">
        <f t="shared" si="132"/>
        <v>3.9383655874529945E-2</v>
      </c>
      <c r="Y84" s="329">
        <f t="shared" si="132"/>
        <v>5.9940794989818795E-2</v>
      </c>
      <c r="Z84" s="329">
        <f t="shared" si="132"/>
        <v>4.415938427002325E-2</v>
      </c>
      <c r="AA84" s="329">
        <f t="shared" si="132"/>
        <v>6.4112258252144824E-2</v>
      </c>
      <c r="AB84" s="489">
        <f t="shared" si="132"/>
        <v>5.2492717879807124E-2</v>
      </c>
      <c r="AC84" s="329">
        <f t="shared" si="132"/>
        <v>0.11563845050215207</v>
      </c>
      <c r="AD84" s="329">
        <f t="shared" si="132"/>
        <v>0.11713674185336694</v>
      </c>
      <c r="AE84" s="329">
        <f t="shared" si="132"/>
        <v>0.11233239131741928</v>
      </c>
      <c r="AF84" s="329">
        <f t="shared" si="132"/>
        <v>2.5914368016759778E-2</v>
      </c>
      <c r="AG84" s="688">
        <f t="shared" si="132"/>
        <v>9.0008472321201904E-2</v>
      </c>
      <c r="AH84" s="689">
        <f t="shared" si="132"/>
        <v>2.9213483146067417E-2</v>
      </c>
      <c r="AI84" s="689">
        <f t="shared" si="132"/>
        <v>1.212188612099644E-2</v>
      </c>
      <c r="AJ84" s="689">
        <f t="shared" si="132"/>
        <v>3.0168926956935523E-2</v>
      </c>
      <c r="AK84" s="689">
        <f t="shared" si="132"/>
        <v>5.900547017912848E-2</v>
      </c>
      <c r="AL84" s="688">
        <f t="shared" si="132"/>
        <v>3.3541845895121582E-2</v>
      </c>
      <c r="AM84" s="689">
        <f t="shared" si="132"/>
        <v>8.2757916067125858E-3</v>
      </c>
      <c r="AN84" s="689">
        <f t="shared" si="132"/>
        <v>1.3439222913914618E-2</v>
      </c>
      <c r="AO84" s="689">
        <f t="shared" si="132"/>
        <v>1.546885499020687E-2</v>
      </c>
      <c r="AP84" s="689">
        <f t="shared" si="132"/>
        <v>2.7532676505889024E-2</v>
      </c>
      <c r="AQ84" s="691">
        <f t="shared" si="132"/>
        <v>1.6828413683872365E-2</v>
      </c>
      <c r="AR84" s="689">
        <f t="shared" si="132"/>
        <v>1.939841407004524E-2</v>
      </c>
      <c r="AS84" s="689">
        <f t="shared" si="132"/>
        <v>2.4908184288316263E-2</v>
      </c>
      <c r="AT84" s="689">
        <f t="shared" si="132"/>
        <v>3.3357039228515351E-2</v>
      </c>
      <c r="AU84" s="689">
        <f t="shared" si="132"/>
        <v>3.954379631285946E-2</v>
      </c>
      <c r="AV84" s="691">
        <f t="shared" si="132"/>
        <v>2.9751139642933775E-2</v>
      </c>
      <c r="AW84" s="689">
        <f t="shared" si="132"/>
        <v>1.247447781890443E-2</v>
      </c>
      <c r="AX84" s="689">
        <f t="shared" si="132"/>
        <v>7.4518700570312254E-3</v>
      </c>
      <c r="AY84" s="689">
        <f t="shared" si="132"/>
        <v>1.4835825249065846E-3</v>
      </c>
      <c r="AZ84" s="689">
        <f t="shared" si="132"/>
        <v>1.7879065416918369E-3</v>
      </c>
      <c r="BA84" s="691">
        <f t="shared" si="132"/>
        <v>5.6139394399176042E-3</v>
      </c>
      <c r="BB84" s="689">
        <f t="shared" si="132"/>
        <v>3.0229009122334852E-3</v>
      </c>
      <c r="BC84" s="689">
        <f t="shared" si="132"/>
        <v>1.34621209571568E-3</v>
      </c>
      <c r="BD84" s="689">
        <f t="shared" si="132"/>
        <v>6.2519216972430052E-3</v>
      </c>
      <c r="BE84" s="689">
        <f t="shared" si="132"/>
        <v>5.4702419761306943E-3</v>
      </c>
      <c r="BF84" s="691">
        <f>+BF83/BF$62</f>
        <v>4.0580232154472651E-3</v>
      </c>
      <c r="BG84" s="689">
        <f t="shared" ref="BG84:BH84" si="133">+BG83/BG$62</f>
        <v>6.4731537718843487E-3</v>
      </c>
      <c r="BH84" s="689">
        <f t="shared" si="133"/>
        <v>4.4259149458665782E-3</v>
      </c>
      <c r="BI84" s="689">
        <f t="shared" ref="BI84:BJ84" si="134">+BI83/BI$62</f>
        <v>1.8980546889337493E-2</v>
      </c>
      <c r="BJ84" s="689">
        <f t="shared" si="134"/>
        <v>5.3038806189854085E-3</v>
      </c>
      <c r="BK84" s="691">
        <f>+BK83/BK$62</f>
        <v>8.8381635601085841E-3</v>
      </c>
      <c r="BL84" s="690">
        <v>0.01</v>
      </c>
      <c r="BM84" s="690">
        <v>0.01</v>
      </c>
      <c r="BN84" s="690">
        <v>0.01</v>
      </c>
      <c r="BO84" s="690">
        <v>0.01</v>
      </c>
      <c r="BP84" s="691">
        <f>+BP83/BP$62</f>
        <v>0.01</v>
      </c>
      <c r="BQ84" s="690">
        <v>0.01</v>
      </c>
      <c r="BR84" s="690">
        <v>0.01</v>
      </c>
      <c r="BS84" s="690">
        <v>0.01</v>
      </c>
      <c r="BT84" s="690">
        <v>0.01</v>
      </c>
      <c r="BU84" s="691">
        <f>+BU83/BU$62</f>
        <v>0.01</v>
      </c>
    </row>
    <row r="85" spans="2:73" s="155" customFormat="1" ht="13.35" customHeight="1">
      <c r="B85" s="260" t="s">
        <v>226</v>
      </c>
      <c r="C85" s="310"/>
      <c r="D85" s="328"/>
      <c r="E85" s="328"/>
      <c r="F85" s="328"/>
      <c r="G85" s="328"/>
      <c r="H85" s="328">
        <f>+'Billings &amp; Recs'!H80</f>
        <v>3271</v>
      </c>
      <c r="I85" s="328">
        <f>+'Billings &amp; Recs'!I80</f>
        <v>931</v>
      </c>
      <c r="J85" s="328">
        <f>+'Billings &amp; Recs'!J80</f>
        <v>951</v>
      </c>
      <c r="K85" s="328">
        <f>+'Billings &amp; Recs'!K80</f>
        <v>1054</v>
      </c>
      <c r="L85" s="328">
        <f>+'Billings &amp; Recs'!L80</f>
        <v>1130</v>
      </c>
      <c r="M85" s="488">
        <f>+'Billings &amp; Recs'!M80</f>
        <v>4066</v>
      </c>
      <c r="N85" s="328">
        <f>+'Billings &amp; Recs'!N80</f>
        <v>1128</v>
      </c>
      <c r="O85" s="328">
        <f>+'Billings &amp; Recs'!O80</f>
        <v>1125</v>
      </c>
      <c r="P85" s="328">
        <f>+'Billings &amp; Recs'!P80</f>
        <v>1142</v>
      </c>
      <c r="Q85" s="328">
        <f>+'Billings &amp; Recs'!Q80</f>
        <v>892</v>
      </c>
      <c r="R85" s="488">
        <f>+'Billings &amp; Recs'!R80</f>
        <v>4287</v>
      </c>
      <c r="S85" s="328">
        <f>+'Billings &amp; Recs'!S80</f>
        <v>1138</v>
      </c>
      <c r="T85" s="328">
        <f>+'Billings &amp; Recs'!T80</f>
        <v>1130</v>
      </c>
      <c r="U85" s="328">
        <f>+'Billings &amp; Recs'!U80</f>
        <v>1173</v>
      </c>
      <c r="V85" s="328">
        <f>+'Billings &amp; Recs'!V80</f>
        <v>1374</v>
      </c>
      <c r="W85" s="488">
        <f>+'Billings &amp; Recs'!W80</f>
        <v>4815</v>
      </c>
      <c r="X85" s="328">
        <f>+'Billings &amp; Recs'!X80</f>
        <v>1383</v>
      </c>
      <c r="Y85" s="328">
        <f>+'Billings &amp; Recs'!Y80</f>
        <v>1642</v>
      </c>
      <c r="Z85" s="328">
        <f>+'Billings &amp; Recs'!Z80</f>
        <v>1591</v>
      </c>
      <c r="AA85" s="328">
        <f>+'Billings &amp; Recs'!AA80</f>
        <v>1870</v>
      </c>
      <c r="AB85" s="488">
        <f>+'Billings &amp; Recs'!AB80</f>
        <v>6486</v>
      </c>
      <c r="AC85" s="328">
        <f>+'Billings &amp; Recs'!AC80</f>
        <v>1850</v>
      </c>
      <c r="AD85" s="328">
        <f>+'Billings &amp; Recs'!AD80</f>
        <v>2056</v>
      </c>
      <c r="AE85" s="328">
        <f>+'Billings &amp; Recs'!AE80</f>
        <v>2520</v>
      </c>
      <c r="AF85" s="328">
        <f>+'Billings &amp; Recs'!AF80</f>
        <v>2537</v>
      </c>
      <c r="AG85" s="488">
        <f>+'Billings &amp; Recs'!AG80</f>
        <v>8963</v>
      </c>
      <c r="AH85" s="328">
        <f>+'Billings &amp; Recs'!AH80</f>
        <v>2675</v>
      </c>
      <c r="AI85" s="328">
        <f>+'Billings &amp; Recs'!AI80</f>
        <v>2740</v>
      </c>
      <c r="AJ85" s="328">
        <f>+'Billings &amp; Recs'!AJ80</f>
        <v>2706</v>
      </c>
      <c r="AK85" s="328">
        <f>+'Billings &amp; Recs'!AK80</f>
        <v>2915</v>
      </c>
      <c r="AL85" s="488">
        <f>+'Billings &amp; Recs'!AL80</f>
        <v>11036</v>
      </c>
      <c r="AM85" s="328">
        <f>+'Billings &amp; Recs'!AM80</f>
        <v>2994</v>
      </c>
      <c r="AN85" s="328">
        <f>+'Billings &amp; Recs'!AN80</f>
        <v>3053</v>
      </c>
      <c r="AO85" s="328">
        <f>+'Billings &amp; Recs'!AO80</f>
        <v>3155</v>
      </c>
      <c r="AP85" s="328">
        <f>+'Billings &amp; Recs'!AP80</f>
        <v>3155</v>
      </c>
      <c r="AQ85" s="472">
        <f>+SUM(AM85:AP85)</f>
        <v>12357</v>
      </c>
      <c r="AR85" s="328">
        <f>+'Billings &amp; Recs'!AR80</f>
        <v>3303</v>
      </c>
      <c r="AS85" s="328">
        <f>+'Billings &amp; Recs'!AS80</f>
        <v>3226</v>
      </c>
      <c r="AT85" s="328">
        <f>+'Billings &amp; Recs'!AT80</f>
        <v>3479</v>
      </c>
      <c r="AU85" s="328">
        <f>+'Billings &amp; Recs'!AU80</f>
        <v>3563</v>
      </c>
      <c r="AV85" s="472">
        <f>+SUM(AR85:AU85)</f>
        <v>13571</v>
      </c>
      <c r="AW85" s="328">
        <f>+'Billings &amp; Recs'!AW80</f>
        <v>3837</v>
      </c>
      <c r="AX85" s="328">
        <f>+'Billings &amp; Recs'!AX80</f>
        <v>3749</v>
      </c>
      <c r="AY85" s="328">
        <f>+'Billings &amp; Recs'!AY80</f>
        <v>3343</v>
      </c>
      <c r="AZ85" s="328">
        <f>+'Billings &amp; Recs'!AZ80</f>
        <v>3118</v>
      </c>
      <c r="BA85" s="472">
        <f>+SUM(AW85:AZ85)</f>
        <v>14047</v>
      </c>
      <c r="BB85" s="324">
        <f>2908</f>
        <v>2908</v>
      </c>
      <c r="BC85" s="328"/>
      <c r="BD85" s="328"/>
      <c r="BE85" s="328"/>
      <c r="BF85" s="472">
        <f>+SUM(BB85:BE85)</f>
        <v>2908</v>
      </c>
      <c r="BG85" s="324">
        <f>2791</f>
        <v>2791</v>
      </c>
      <c r="BH85" s="324">
        <f>2791</f>
        <v>2791</v>
      </c>
      <c r="BI85" s="324">
        <f>2339</f>
        <v>2339</v>
      </c>
      <c r="BJ85" s="324">
        <f>2289</f>
        <v>2289</v>
      </c>
      <c r="BK85" s="472">
        <f>+SUM(BG85:BJ85)</f>
        <v>10210</v>
      </c>
      <c r="BL85" s="167">
        <f>+BL86*BL82</f>
        <v>2559.2000000000003</v>
      </c>
      <c r="BM85" s="167">
        <f>+BM86*BM82</f>
        <v>2520.8397799999998</v>
      </c>
      <c r="BN85" s="167">
        <f>+BN86*BN82</f>
        <v>2486.3196215999997</v>
      </c>
      <c r="BO85" s="167">
        <f>+BO86*BO82</f>
        <v>2455.6133318719994</v>
      </c>
      <c r="BP85" s="472">
        <f>+SUM(BL85:BO85)</f>
        <v>10021.972733471999</v>
      </c>
      <c r="BQ85" s="167">
        <f>+BQ86*BQ82</f>
        <v>2428.5416093222398</v>
      </c>
      <c r="BR85" s="167">
        <f>+BR86*BR82</f>
        <v>2403.4763537764607</v>
      </c>
      <c r="BS85" s="167">
        <f>+BS86*BS82</f>
        <v>2381.2083328343438</v>
      </c>
      <c r="BT85" s="167">
        <f>+BT86*BT82</f>
        <v>2361.6598137275964</v>
      </c>
      <c r="BU85" s="472">
        <f>+SUM(BQ85:BT85)</f>
        <v>9574.8861096606397</v>
      </c>
    </row>
    <row r="86" spans="2:73" s="155" customFormat="1" ht="25.5">
      <c r="B86" s="260" t="s">
        <v>227</v>
      </c>
      <c r="C86" s="310"/>
      <c r="D86" s="331"/>
      <c r="E86" s="331"/>
      <c r="F86" s="331"/>
      <c r="G86" s="331"/>
      <c r="H86" s="329"/>
      <c r="I86" s="329">
        <f t="shared" ref="I86:Q86" si="135">+I85/I82</f>
        <v>0.11752082807371876</v>
      </c>
      <c r="J86" s="329">
        <f t="shared" si="135"/>
        <v>0.12481953012206326</v>
      </c>
      <c r="K86" s="329">
        <f t="shared" si="135"/>
        <v>0.13855659261206782</v>
      </c>
      <c r="L86" s="329">
        <f t="shared" si="135"/>
        <v>0.15361609570418705</v>
      </c>
      <c r="M86" s="489">
        <f t="shared" si="135"/>
        <v>0.51325422873011861</v>
      </c>
      <c r="N86" s="329">
        <f t="shared" si="135"/>
        <v>0.14976101964949548</v>
      </c>
      <c r="O86" s="329">
        <f t="shared" si="135"/>
        <v>0.14781237682301931</v>
      </c>
      <c r="P86" s="329">
        <f t="shared" si="135"/>
        <v>0.15461684267533171</v>
      </c>
      <c r="Q86" s="329">
        <f t="shared" si="135"/>
        <v>0.11137470345860906</v>
      </c>
      <c r="R86" s="489">
        <f t="shared" ref="R86:W86" si="136">+R85/R82</f>
        <v>0.56917153478491767</v>
      </c>
      <c r="S86" s="329">
        <f t="shared" si="136"/>
        <v>0.14070227497527202</v>
      </c>
      <c r="T86" s="329">
        <f t="shared" si="136"/>
        <v>0.14107365792759052</v>
      </c>
      <c r="U86" s="329">
        <f t="shared" si="136"/>
        <v>0.14154700132738024</v>
      </c>
      <c r="V86" s="329">
        <f t="shared" si="136"/>
        <v>0.17185741088180112</v>
      </c>
      <c r="W86" s="489">
        <f t="shared" si="136"/>
        <v>0.59532640949554894</v>
      </c>
      <c r="X86" s="329">
        <f t="shared" ref="X86:AJ86" si="137">+X85/X82</f>
        <v>0.16101990918616835</v>
      </c>
      <c r="Y86" s="329">
        <f t="shared" si="137"/>
        <v>0.17774410045464387</v>
      </c>
      <c r="Z86" s="329">
        <f t="shared" si="137"/>
        <v>0.14225679542203148</v>
      </c>
      <c r="AA86" s="329">
        <f t="shared" si="137"/>
        <v>0.1576861455434691</v>
      </c>
      <c r="AB86" s="489">
        <f t="shared" si="137"/>
        <v>0.75515193852602169</v>
      </c>
      <c r="AC86" s="329">
        <f t="shared" si="137"/>
        <v>0.10557552930434286</v>
      </c>
      <c r="AD86" s="329">
        <f t="shared" si="137"/>
        <v>6.2738396753226941E-2</v>
      </c>
      <c r="AE86" s="329">
        <f t="shared" si="137"/>
        <v>4.8592364057076745E-2</v>
      </c>
      <c r="AF86" s="329">
        <f t="shared" si="137"/>
        <v>4.9243968244725246E-2</v>
      </c>
      <c r="AG86" s="489">
        <f t="shared" si="137"/>
        <v>0.51149917251612165</v>
      </c>
      <c r="AH86" s="329">
        <f t="shared" si="137"/>
        <v>5.2792579435563453E-2</v>
      </c>
      <c r="AI86" s="329">
        <f t="shared" si="137"/>
        <v>5.4717923115327007E-2</v>
      </c>
      <c r="AJ86" s="329">
        <f t="shared" si="137"/>
        <v>5.5332897104531327E-2</v>
      </c>
      <c r="AK86" s="329">
        <f t="shared" ref="AK86:AP86" si="138">+AK85/AK82</f>
        <v>5.7946526190239538E-2</v>
      </c>
      <c r="AL86" s="489">
        <f t="shared" si="138"/>
        <v>0.21780146043023485</v>
      </c>
      <c r="AM86" s="329">
        <f t="shared" si="138"/>
        <v>5.6369318823662314E-2</v>
      </c>
      <c r="AN86" s="329">
        <f t="shared" si="138"/>
        <v>5.9697698519778651E-2</v>
      </c>
      <c r="AO86" s="329">
        <f t="shared" si="138"/>
        <v>6.3826343792357021E-2</v>
      </c>
      <c r="AP86" s="329">
        <f t="shared" si="138"/>
        <v>6.4343108863237755E-2</v>
      </c>
      <c r="AQ86" s="480">
        <f t="shared" ref="AQ86:BH86" si="139">+AQ85/AQ82</f>
        <v>0.23265052528523553</v>
      </c>
      <c r="AR86" s="329">
        <f t="shared" si="139"/>
        <v>6.576406172224987E-2</v>
      </c>
      <c r="AS86" s="329">
        <f t="shared" si="139"/>
        <v>6.4773913741868125E-2</v>
      </c>
      <c r="AT86" s="329">
        <f t="shared" si="139"/>
        <v>6.8846100567945698E-2</v>
      </c>
      <c r="AU86" s="329">
        <f t="shared" si="139"/>
        <v>6.4779462564997642E-2</v>
      </c>
      <c r="AV86" s="480">
        <f t="shared" si="139"/>
        <v>0.27020408163265308</v>
      </c>
      <c r="AW86" s="329">
        <f t="shared" si="139"/>
        <v>6.6279732600922417E-2</v>
      </c>
      <c r="AX86" s="329">
        <f t="shared" si="139"/>
        <v>6.6192309050460821E-2</v>
      </c>
      <c r="AY86" s="329">
        <f t="shared" si="139"/>
        <v>7.0970618206521743E-2</v>
      </c>
      <c r="AZ86" s="329">
        <f t="shared" si="139"/>
        <v>7.3452849301514758E-2</v>
      </c>
      <c r="BA86" s="480">
        <f t="shared" si="139"/>
        <v>0.24264566167452625</v>
      </c>
      <c r="BB86" s="329">
        <f t="shared" si="139"/>
        <v>7.3356541042328846E-2</v>
      </c>
      <c r="BC86" s="329">
        <f t="shared" si="139"/>
        <v>0</v>
      </c>
      <c r="BD86" s="329">
        <f t="shared" si="139"/>
        <v>0</v>
      </c>
      <c r="BE86" s="329">
        <f t="shared" si="139"/>
        <v>0</v>
      </c>
      <c r="BF86" s="480">
        <f>+BF85/BF82</f>
        <v>7.3356541042328846E-2</v>
      </c>
      <c r="BG86" s="329">
        <f t="shared" si="139"/>
        <v>8.6556055202356957E-2</v>
      </c>
      <c r="BH86" s="329">
        <f t="shared" si="139"/>
        <v>8.815818566600335E-2</v>
      </c>
      <c r="BI86" s="329">
        <f t="shared" ref="BI86:BJ86" si="140">+BI85/BI82</f>
        <v>7.8916292722426534E-2</v>
      </c>
      <c r="BJ86" s="329">
        <f t="shared" si="140"/>
        <v>7.1607332791090536E-2</v>
      </c>
      <c r="BK86" s="480">
        <f>+BK85/BK82</f>
        <v>0.31663823848658706</v>
      </c>
      <c r="BL86" s="234">
        <v>0.08</v>
      </c>
      <c r="BM86" s="234">
        <v>0.08</v>
      </c>
      <c r="BN86" s="234">
        <v>0.08</v>
      </c>
      <c r="BO86" s="234">
        <v>0.08</v>
      </c>
      <c r="BP86" s="480">
        <f>+BP85/BP82</f>
        <v>0.31328454934266958</v>
      </c>
      <c r="BQ86" s="234">
        <v>0.08</v>
      </c>
      <c r="BR86" s="234">
        <v>0.08</v>
      </c>
      <c r="BS86" s="234">
        <v>0.08</v>
      </c>
      <c r="BT86" s="234">
        <v>0.08</v>
      </c>
      <c r="BU86" s="480">
        <f t="shared" ref="BU86" si="141">+BU85/BU82</f>
        <v>0.31541188581348822</v>
      </c>
    </row>
    <row r="87" spans="2:73" s="155" customFormat="1" ht="13.35" customHeight="1">
      <c r="B87" s="155" t="s">
        <v>228</v>
      </c>
      <c r="C87" s="310"/>
      <c r="D87" s="334"/>
      <c r="E87" s="334"/>
      <c r="F87" s="334"/>
      <c r="G87" s="334">
        <f t="shared" ref="G87:S87" si="142">+(G82+G83-G85-G89)*-1</f>
        <v>7922</v>
      </c>
      <c r="H87" s="334">
        <f t="shared" si="142"/>
        <v>4111</v>
      </c>
      <c r="I87" s="334">
        <f t="shared" si="142"/>
        <v>55</v>
      </c>
      <c r="J87" s="334">
        <f t="shared" si="142"/>
        <v>317</v>
      </c>
      <c r="K87" s="334">
        <f t="shared" si="142"/>
        <v>-841</v>
      </c>
      <c r="L87" s="334">
        <f t="shared" si="142"/>
        <v>9</v>
      </c>
      <c r="M87" s="492">
        <f t="shared" si="142"/>
        <v>-460</v>
      </c>
      <c r="N87" s="334">
        <f t="shared" si="142"/>
        <v>115</v>
      </c>
      <c r="O87" s="334">
        <f t="shared" si="142"/>
        <v>150</v>
      </c>
      <c r="P87" s="334">
        <f t="shared" si="142"/>
        <v>300</v>
      </c>
      <c r="Q87" s="334">
        <f t="shared" si="142"/>
        <v>-221</v>
      </c>
      <c r="R87" s="492">
        <f t="shared" si="142"/>
        <v>344</v>
      </c>
      <c r="S87" s="334">
        <f t="shared" si="142"/>
        <v>-275</v>
      </c>
      <c r="T87" s="334">
        <f t="shared" ref="T87:AY87" si="143">+(T82+T83-T85-T89)*-1</f>
        <v>164</v>
      </c>
      <c r="U87" s="334">
        <f t="shared" si="143"/>
        <v>-47</v>
      </c>
      <c r="V87" s="334">
        <f t="shared" si="143"/>
        <v>650</v>
      </c>
      <c r="W87" s="492">
        <f t="shared" si="143"/>
        <v>492</v>
      </c>
      <c r="X87" s="334">
        <f t="shared" si="143"/>
        <v>-115</v>
      </c>
      <c r="Y87" s="334">
        <f t="shared" si="143"/>
        <v>85</v>
      </c>
      <c r="Z87" s="334">
        <f t="shared" si="143"/>
        <v>-488</v>
      </c>
      <c r="AA87" s="334">
        <f t="shared" si="143"/>
        <v>3125</v>
      </c>
      <c r="AB87" s="492">
        <f t="shared" si="143"/>
        <v>2607</v>
      </c>
      <c r="AC87" s="334">
        <f t="shared" si="143"/>
        <v>8635</v>
      </c>
      <c r="AD87" s="334">
        <f t="shared" si="143"/>
        <v>11896</v>
      </c>
      <c r="AE87" s="334">
        <f t="shared" si="143"/>
        <v>-7162</v>
      </c>
      <c r="AF87" s="334">
        <f t="shared" si="143"/>
        <v>-687</v>
      </c>
      <c r="AG87" s="492">
        <f t="shared" si="143"/>
        <v>12682</v>
      </c>
      <c r="AH87" s="334">
        <f t="shared" si="143"/>
        <v>-676</v>
      </c>
      <c r="AI87" s="334">
        <f t="shared" si="143"/>
        <v>370</v>
      </c>
      <c r="AJ87" s="334">
        <f t="shared" si="143"/>
        <v>937</v>
      </c>
      <c r="AK87" s="334">
        <f t="shared" si="143"/>
        <v>-953</v>
      </c>
      <c r="AL87" s="492">
        <f t="shared" si="143"/>
        <v>-322</v>
      </c>
      <c r="AM87" s="334">
        <f t="shared" si="143"/>
        <v>0</v>
      </c>
      <c r="AN87" s="327">
        <f t="shared" si="143"/>
        <v>0</v>
      </c>
      <c r="AO87" s="327">
        <f t="shared" si="143"/>
        <v>0</v>
      </c>
      <c r="AP87" s="327">
        <f t="shared" si="143"/>
        <v>0</v>
      </c>
      <c r="AQ87" s="483">
        <f t="shared" si="143"/>
        <v>0</v>
      </c>
      <c r="AR87" s="334">
        <f t="shared" si="143"/>
        <v>0</v>
      </c>
      <c r="AS87" s="327">
        <f t="shared" si="143"/>
        <v>0</v>
      </c>
      <c r="AT87" s="327">
        <f t="shared" si="143"/>
        <v>0</v>
      </c>
      <c r="AU87" s="327">
        <f t="shared" si="143"/>
        <v>0</v>
      </c>
      <c r="AV87" s="483">
        <f t="shared" si="143"/>
        <v>0</v>
      </c>
      <c r="AW87" s="334">
        <f t="shared" si="143"/>
        <v>0</v>
      </c>
      <c r="AX87" s="327">
        <f t="shared" si="143"/>
        <v>0</v>
      </c>
      <c r="AY87" s="327">
        <f t="shared" si="143"/>
        <v>0</v>
      </c>
      <c r="AZ87" s="327">
        <f t="shared" ref="AZ87:BP87" si="144">+(AZ82+AZ83-AZ85-AZ89)*-1</f>
        <v>0</v>
      </c>
      <c r="BA87" s="483">
        <f t="shared" si="144"/>
        <v>0</v>
      </c>
      <c r="BB87" s="327">
        <f t="shared" si="144"/>
        <v>0</v>
      </c>
      <c r="BC87" s="327">
        <f t="shared" si="144"/>
        <v>0</v>
      </c>
      <c r="BD87" s="327">
        <f t="shared" si="144"/>
        <v>0</v>
      </c>
      <c r="BE87" s="327">
        <f t="shared" ref="BE87" si="145">+(BE82+BE83-BE85-BE89)*-1</f>
        <v>0</v>
      </c>
      <c r="BF87" s="483">
        <f t="shared" si="144"/>
        <v>0</v>
      </c>
      <c r="BG87" s="327">
        <f t="shared" si="144"/>
        <v>0</v>
      </c>
      <c r="BH87" s="327">
        <f t="shared" si="144"/>
        <v>0</v>
      </c>
      <c r="BI87" s="327">
        <f t="shared" ref="BI87" si="146">+(BI82+BI83-BI85-BI89)*-1</f>
        <v>0</v>
      </c>
      <c r="BJ87" s="327">
        <f t="shared" si="144"/>
        <v>0</v>
      </c>
      <c r="BK87" s="483">
        <f t="shared" si="144"/>
        <v>0</v>
      </c>
      <c r="BL87" s="327">
        <f t="shared" si="144"/>
        <v>0</v>
      </c>
      <c r="BM87" s="327">
        <f t="shared" si="144"/>
        <v>0</v>
      </c>
      <c r="BN87" s="327">
        <f t="shared" si="144"/>
        <v>0</v>
      </c>
      <c r="BO87" s="327">
        <f t="shared" si="144"/>
        <v>0</v>
      </c>
      <c r="BP87" s="483">
        <f t="shared" si="144"/>
        <v>0</v>
      </c>
      <c r="BQ87" s="327">
        <f t="shared" ref="BQ87:BU87" si="147">+(BQ82+BQ83-BQ85-BQ89)*-1</f>
        <v>0</v>
      </c>
      <c r="BR87" s="327">
        <f t="shared" si="147"/>
        <v>0</v>
      </c>
      <c r="BS87" s="327">
        <f t="shared" si="147"/>
        <v>0</v>
      </c>
      <c r="BT87" s="327">
        <f t="shared" si="147"/>
        <v>0</v>
      </c>
      <c r="BU87" s="483">
        <f t="shared" si="147"/>
        <v>0</v>
      </c>
    </row>
    <row r="88" spans="2:73" s="155" customFormat="1" ht="13.35" customHeight="1">
      <c r="C88" s="310"/>
      <c r="D88" s="335" t="s">
        <v>1</v>
      </c>
      <c r="E88" s="335" t="s">
        <v>1</v>
      </c>
      <c r="F88" s="335" t="s">
        <v>1</v>
      </c>
      <c r="G88" s="335" t="s">
        <v>1</v>
      </c>
      <c r="H88" s="335" t="s">
        <v>1</v>
      </c>
      <c r="I88" s="335" t="s">
        <v>1</v>
      </c>
      <c r="J88" s="335" t="s">
        <v>1</v>
      </c>
      <c r="K88" s="335" t="s">
        <v>1</v>
      </c>
      <c r="L88" s="335" t="s">
        <v>1</v>
      </c>
      <c r="M88" s="493" t="s">
        <v>1</v>
      </c>
      <c r="N88" s="335" t="s">
        <v>1</v>
      </c>
      <c r="O88" s="335" t="s">
        <v>1</v>
      </c>
      <c r="P88" s="335" t="s">
        <v>1</v>
      </c>
      <c r="Q88" s="335" t="s">
        <v>1</v>
      </c>
      <c r="R88" s="493" t="s">
        <v>1</v>
      </c>
      <c r="S88" s="335" t="s">
        <v>1</v>
      </c>
      <c r="T88" s="335" t="s">
        <v>1</v>
      </c>
      <c r="U88" s="335" t="s">
        <v>1</v>
      </c>
      <c r="V88" s="335" t="s">
        <v>1</v>
      </c>
      <c r="W88" s="493" t="s">
        <v>1</v>
      </c>
      <c r="X88" s="335" t="s">
        <v>1</v>
      </c>
      <c r="Y88" s="335" t="s">
        <v>1</v>
      </c>
      <c r="Z88" s="335" t="s">
        <v>1</v>
      </c>
      <c r="AA88" s="335" t="s">
        <v>1</v>
      </c>
      <c r="AB88" s="493" t="s">
        <v>1</v>
      </c>
      <c r="AC88" s="335" t="s">
        <v>1</v>
      </c>
      <c r="AD88" s="335" t="s">
        <v>1</v>
      </c>
      <c r="AE88" s="335" t="s">
        <v>1</v>
      </c>
      <c r="AF88" s="335" t="s">
        <v>1</v>
      </c>
      <c r="AG88" s="493" t="s">
        <v>1</v>
      </c>
      <c r="AH88" s="335" t="s">
        <v>1</v>
      </c>
      <c r="AI88" s="335" t="s">
        <v>1</v>
      </c>
      <c r="AJ88" s="335" t="s">
        <v>1</v>
      </c>
      <c r="AK88" s="173" t="s">
        <v>1</v>
      </c>
      <c r="AL88" s="493" t="s">
        <v>1</v>
      </c>
      <c r="AM88" s="173" t="s">
        <v>1</v>
      </c>
      <c r="AN88" s="173" t="s">
        <v>1</v>
      </c>
      <c r="AO88" s="173" t="s">
        <v>1</v>
      </c>
      <c r="AP88" s="173" t="s">
        <v>1</v>
      </c>
      <c r="AQ88" s="473" t="s">
        <v>1</v>
      </c>
      <c r="AR88" s="173" t="s">
        <v>1</v>
      </c>
      <c r="AS88" s="173" t="s">
        <v>1</v>
      </c>
      <c r="AT88" s="173" t="s">
        <v>1</v>
      </c>
      <c r="AU88" s="173" t="s">
        <v>1</v>
      </c>
      <c r="AV88" s="473" t="s">
        <v>1</v>
      </c>
      <c r="AW88" s="173" t="s">
        <v>1</v>
      </c>
      <c r="AX88" s="173" t="s">
        <v>1</v>
      </c>
      <c r="AY88" s="173" t="s">
        <v>1</v>
      </c>
      <c r="AZ88" s="173" t="s">
        <v>1</v>
      </c>
      <c r="BA88" s="473" t="s">
        <v>1</v>
      </c>
      <c r="BB88" s="173" t="s">
        <v>1</v>
      </c>
      <c r="BC88" s="173" t="s">
        <v>1</v>
      </c>
      <c r="BD88" s="173" t="s">
        <v>1</v>
      </c>
      <c r="BE88" s="173" t="s">
        <v>1</v>
      </c>
      <c r="BF88" s="473" t="s">
        <v>1</v>
      </c>
      <c r="BG88" s="173" t="s">
        <v>1</v>
      </c>
      <c r="BH88" s="173" t="s">
        <v>1</v>
      </c>
      <c r="BI88" s="173" t="s">
        <v>1</v>
      </c>
      <c r="BJ88" s="173" t="s">
        <v>1</v>
      </c>
      <c r="BK88" s="473" t="s">
        <v>1</v>
      </c>
      <c r="BL88" s="173" t="s">
        <v>1</v>
      </c>
      <c r="BM88" s="173" t="s">
        <v>1</v>
      </c>
      <c r="BN88" s="173" t="s">
        <v>1</v>
      </c>
      <c r="BO88" s="173" t="s">
        <v>1</v>
      </c>
      <c r="BP88" s="473" t="s">
        <v>1</v>
      </c>
      <c r="BQ88" s="173" t="s">
        <v>1</v>
      </c>
      <c r="BR88" s="173" t="s">
        <v>1</v>
      </c>
      <c r="BS88" s="173" t="s">
        <v>1</v>
      </c>
      <c r="BT88" s="173" t="s">
        <v>1</v>
      </c>
      <c r="BU88" s="473" t="s">
        <v>1</v>
      </c>
    </row>
    <row r="89" spans="2:73" s="155" customFormat="1" ht="13.35" customHeight="1">
      <c r="B89" s="263" t="s">
        <v>229</v>
      </c>
      <c r="C89" s="167"/>
      <c r="D89" s="328"/>
      <c r="E89" s="328"/>
      <c r="F89" s="328"/>
      <c r="G89" s="328">
        <f t="shared" ref="G89:AL89" si="148">+G16</f>
        <v>7922</v>
      </c>
      <c r="H89" s="328">
        <f t="shared" si="148"/>
        <v>7922</v>
      </c>
      <c r="I89" s="328">
        <f t="shared" si="148"/>
        <v>7619</v>
      </c>
      <c r="J89" s="328">
        <f t="shared" si="148"/>
        <v>7607</v>
      </c>
      <c r="K89" s="328">
        <f t="shared" si="148"/>
        <v>7356</v>
      </c>
      <c r="L89" s="328">
        <f t="shared" si="148"/>
        <v>7532</v>
      </c>
      <c r="M89" s="488">
        <f t="shared" si="148"/>
        <v>7532</v>
      </c>
      <c r="N89" s="328">
        <f t="shared" si="148"/>
        <v>7611</v>
      </c>
      <c r="O89" s="328">
        <f t="shared" si="148"/>
        <v>7386</v>
      </c>
      <c r="P89" s="328">
        <f t="shared" si="148"/>
        <v>8009</v>
      </c>
      <c r="Q89" s="328">
        <f t="shared" si="148"/>
        <v>8088</v>
      </c>
      <c r="R89" s="488">
        <f t="shared" si="148"/>
        <v>8088</v>
      </c>
      <c r="S89" s="328">
        <f t="shared" si="148"/>
        <v>8010</v>
      </c>
      <c r="T89" s="328">
        <f t="shared" si="148"/>
        <v>8287</v>
      </c>
      <c r="U89" s="328">
        <f t="shared" si="148"/>
        <v>7995</v>
      </c>
      <c r="V89" s="328">
        <f t="shared" si="148"/>
        <v>8589</v>
      </c>
      <c r="W89" s="488">
        <f t="shared" si="148"/>
        <v>8589</v>
      </c>
      <c r="X89" s="328">
        <f t="shared" si="148"/>
        <v>9238</v>
      </c>
      <c r="Y89" s="328">
        <f t="shared" si="148"/>
        <v>11184</v>
      </c>
      <c r="Z89" s="328">
        <f t="shared" si="148"/>
        <v>11859</v>
      </c>
      <c r="AA89" s="328">
        <f t="shared" si="148"/>
        <v>17523</v>
      </c>
      <c r="AB89" s="488">
        <f t="shared" si="148"/>
        <v>17523</v>
      </c>
      <c r="AC89" s="328">
        <f t="shared" si="148"/>
        <v>32771</v>
      </c>
      <c r="AD89" s="328">
        <f t="shared" si="148"/>
        <v>51860</v>
      </c>
      <c r="AE89" s="328">
        <f t="shared" si="148"/>
        <v>51519</v>
      </c>
      <c r="AF89" s="328">
        <f t="shared" si="148"/>
        <v>50670</v>
      </c>
      <c r="AG89" s="488">
        <f t="shared" si="148"/>
        <v>50670</v>
      </c>
      <c r="AH89" s="328">
        <f t="shared" si="148"/>
        <v>50075</v>
      </c>
      <c r="AI89" s="328">
        <f t="shared" si="148"/>
        <v>48904</v>
      </c>
      <c r="AJ89" s="328">
        <f t="shared" si="148"/>
        <v>50305</v>
      </c>
      <c r="AK89" s="328">
        <f t="shared" si="148"/>
        <v>53114</v>
      </c>
      <c r="AL89" s="488">
        <f t="shared" si="148"/>
        <v>53114</v>
      </c>
      <c r="AM89" s="327">
        <f t="shared" ref="AM89:BP89" si="149">+AM82+AM83-AM85</f>
        <v>51092</v>
      </c>
      <c r="AN89" s="327">
        <f t="shared" si="149"/>
        <v>49787</v>
      </c>
      <c r="AO89" s="327">
        <f t="shared" si="149"/>
        <v>48440</v>
      </c>
      <c r="AP89" s="327">
        <f t="shared" si="149"/>
        <v>50054</v>
      </c>
      <c r="AQ89" s="483">
        <f t="shared" si="149"/>
        <v>49767</v>
      </c>
      <c r="AR89" s="327">
        <f t="shared" si="149"/>
        <v>49975</v>
      </c>
      <c r="AS89" s="327">
        <f t="shared" si="149"/>
        <v>50749</v>
      </c>
      <c r="AT89" s="327">
        <f t="shared" si="149"/>
        <v>52917</v>
      </c>
      <c r="AU89" s="327">
        <f t="shared" si="149"/>
        <v>58734</v>
      </c>
      <c r="AV89" s="483">
        <f t="shared" si="149"/>
        <v>57036</v>
      </c>
      <c r="AW89" s="327">
        <f t="shared" si="149"/>
        <v>56339</v>
      </c>
      <c r="AX89" s="327">
        <f t="shared" si="149"/>
        <v>54308</v>
      </c>
      <c r="AY89" s="327">
        <f t="shared" si="149"/>
        <v>44056</v>
      </c>
      <c r="AZ89" s="327">
        <f t="shared" si="149"/>
        <v>39698</v>
      </c>
      <c r="BA89" s="483">
        <f t="shared" si="149"/>
        <v>48210</v>
      </c>
      <c r="BB89" s="327">
        <f t="shared" si="149"/>
        <v>37354</v>
      </c>
      <c r="BC89" s="327">
        <f t="shared" si="149"/>
        <v>37546</v>
      </c>
      <c r="BD89" s="327">
        <f t="shared" si="149"/>
        <v>36226</v>
      </c>
      <c r="BE89" s="327">
        <f t="shared" ref="BE89" si="150">+BE82+BE83-BE85</f>
        <v>35119</v>
      </c>
      <c r="BF89" s="483">
        <f t="shared" si="149"/>
        <v>40159</v>
      </c>
      <c r="BG89" s="327">
        <f t="shared" si="149"/>
        <v>30815</v>
      </c>
      <c r="BH89" s="327">
        <f t="shared" si="149"/>
        <v>29816</v>
      </c>
      <c r="BI89" s="327">
        <f t="shared" ref="BI89" si="151">+BI82+BI83-BI85</f>
        <v>31437</v>
      </c>
      <c r="BJ89" s="327">
        <f t="shared" si="149"/>
        <v>30830</v>
      </c>
      <c r="BK89" s="483">
        <f t="shared" si="149"/>
        <v>29634</v>
      </c>
      <c r="BL89" s="327">
        <f t="shared" si="149"/>
        <v>31510.497249999997</v>
      </c>
      <c r="BM89" s="327">
        <f t="shared" si="149"/>
        <v>31078.995269999996</v>
      </c>
      <c r="BN89" s="327">
        <f t="shared" si="149"/>
        <v>30695.166648399994</v>
      </c>
      <c r="BO89" s="327">
        <f t="shared" si="149"/>
        <v>30356.770116527998</v>
      </c>
      <c r="BP89" s="483">
        <f t="shared" si="149"/>
        <v>30356.770116528001</v>
      </c>
      <c r="BQ89" s="327">
        <f t="shared" ref="BQ89:BU89" si="152">+BQ82+BQ83-BQ85</f>
        <v>30043.454422205756</v>
      </c>
      <c r="BR89" s="327">
        <f t="shared" si="152"/>
        <v>29765.104160429295</v>
      </c>
      <c r="BS89" s="327">
        <f t="shared" si="152"/>
        <v>29520.747671594952</v>
      </c>
      <c r="BT89" s="327">
        <f t="shared" si="152"/>
        <v>29310.539849867357</v>
      </c>
      <c r="BU89" s="483">
        <f t="shared" si="152"/>
        <v>29310.53984986736</v>
      </c>
    </row>
    <row r="90" spans="2:73" s="155" customFormat="1" ht="13.35" customHeight="1">
      <c r="C90" s="310"/>
      <c r="D90" s="331"/>
      <c r="E90" s="331"/>
      <c r="F90" s="331"/>
      <c r="G90" s="331"/>
      <c r="H90" s="331"/>
      <c r="I90" s="331"/>
      <c r="J90" s="331"/>
      <c r="K90" s="331"/>
      <c r="L90" s="331"/>
      <c r="M90" s="490"/>
      <c r="N90" s="331"/>
      <c r="O90" s="331"/>
      <c r="P90" s="331"/>
      <c r="Q90" s="331"/>
      <c r="R90" s="490"/>
      <c r="S90" s="331"/>
      <c r="T90" s="331"/>
      <c r="U90" s="331"/>
      <c r="V90" s="331"/>
      <c r="W90" s="490"/>
      <c r="X90" s="331"/>
      <c r="Y90" s="331"/>
      <c r="Z90" s="331"/>
      <c r="AA90" s="331"/>
      <c r="AB90" s="490"/>
      <c r="AC90" s="331"/>
      <c r="AD90" s="331"/>
      <c r="AE90" s="331"/>
      <c r="AF90" s="331"/>
      <c r="AG90" s="490"/>
      <c r="AH90" s="331"/>
      <c r="AI90" s="331"/>
      <c r="AJ90" s="331"/>
      <c r="AK90" s="324"/>
      <c r="AL90" s="490"/>
      <c r="AM90" s="324"/>
      <c r="AN90" s="324"/>
      <c r="AO90" s="324"/>
      <c r="AP90" s="324"/>
      <c r="AQ90" s="481"/>
      <c r="AR90" s="324"/>
      <c r="AS90" s="324"/>
      <c r="AT90" s="324"/>
      <c r="AU90" s="324"/>
      <c r="AV90" s="481"/>
      <c r="AW90" s="324"/>
      <c r="AX90" s="324"/>
      <c r="AY90" s="324"/>
      <c r="AZ90" s="324"/>
      <c r="BA90" s="481"/>
      <c r="BB90" s="324"/>
      <c r="BC90" s="324"/>
      <c r="BD90" s="324"/>
      <c r="BE90" s="324"/>
      <c r="BF90" s="481"/>
      <c r="BG90" s="324"/>
      <c r="BH90" s="324"/>
      <c r="BI90" s="324"/>
      <c r="BJ90" s="324"/>
      <c r="BK90" s="481"/>
      <c r="BL90" s="324"/>
      <c r="BM90" s="324"/>
      <c r="BN90" s="324"/>
      <c r="BO90" s="324"/>
      <c r="BP90" s="481"/>
      <c r="BQ90" s="324"/>
      <c r="BR90" s="324"/>
      <c r="BS90" s="324"/>
      <c r="BT90" s="324"/>
      <c r="BU90" s="481"/>
    </row>
    <row r="91" spans="2:73" s="155" customFormat="1" ht="13.35" customHeight="1">
      <c r="B91" s="263" t="s">
        <v>230</v>
      </c>
      <c r="C91" s="310"/>
      <c r="D91" s="331"/>
      <c r="E91" s="331"/>
      <c r="F91" s="331"/>
      <c r="G91" s="331"/>
      <c r="H91" s="331"/>
      <c r="I91" s="328">
        <f>+G20</f>
        <v>1156</v>
      </c>
      <c r="J91" s="328">
        <f>+I20</f>
        <v>953</v>
      </c>
      <c r="K91" s="328">
        <f>+J20</f>
        <v>2767</v>
      </c>
      <c r="L91" s="328">
        <f>+K20</f>
        <v>2482</v>
      </c>
      <c r="M91" s="488">
        <f>+H20</f>
        <v>1156</v>
      </c>
      <c r="N91" s="328">
        <f>+L20</f>
        <v>11385</v>
      </c>
      <c r="O91" s="328">
        <f>+N20</f>
        <v>10802</v>
      </c>
      <c r="P91" s="328">
        <f>+O20</f>
        <v>10219</v>
      </c>
      <c r="Q91" s="328">
        <f>+P20</f>
        <v>9450</v>
      </c>
      <c r="R91" s="488">
        <f>+M20</f>
        <v>11385</v>
      </c>
      <c r="S91" s="328">
        <f>+Q20</f>
        <v>8946</v>
      </c>
      <c r="T91" s="328">
        <f>+S20</f>
        <v>8460</v>
      </c>
      <c r="U91" s="328">
        <f>+T20</f>
        <v>8294</v>
      </c>
      <c r="V91" s="328">
        <f>+U20</f>
        <v>17208</v>
      </c>
      <c r="W91" s="488">
        <f>+R20</f>
        <v>8946</v>
      </c>
      <c r="X91" s="328">
        <f>+V20</f>
        <v>16640</v>
      </c>
      <c r="Y91" s="328">
        <f>+X20</f>
        <v>16316</v>
      </c>
      <c r="Z91" s="328">
        <f>+Y20</f>
        <v>16002</v>
      </c>
      <c r="AA91" s="328">
        <f>+Z20</f>
        <v>16023</v>
      </c>
      <c r="AB91" s="488">
        <f>+W20</f>
        <v>16640</v>
      </c>
      <c r="AC91" s="328">
        <f>+AA20</f>
        <v>23955</v>
      </c>
      <c r="AD91" s="328">
        <f>+AC20</f>
        <v>23979</v>
      </c>
      <c r="AE91" s="328">
        <f>+AD20</f>
        <v>29726</v>
      </c>
      <c r="AF91" s="328">
        <f>+AE20</f>
        <v>29183</v>
      </c>
      <c r="AG91" s="488">
        <f>+AB20</f>
        <v>23955</v>
      </c>
      <c r="AH91" s="328">
        <f>+AF20</f>
        <v>28561</v>
      </c>
      <c r="AI91" s="328">
        <f>+AH20</f>
        <v>27867</v>
      </c>
      <c r="AJ91" s="328">
        <f>+AI20</f>
        <v>47706</v>
      </c>
      <c r="AK91" s="328">
        <f>+AJ20</f>
        <v>45942</v>
      </c>
      <c r="AL91" s="472">
        <f>+AG20</f>
        <v>28561</v>
      </c>
      <c r="AM91" s="328">
        <f>+AK20</f>
        <v>44296</v>
      </c>
      <c r="AN91" s="167">
        <f>+AM20</f>
        <v>52708</v>
      </c>
      <c r="AO91" s="167">
        <f>+AN20</f>
        <v>54179</v>
      </c>
      <c r="AP91" s="167">
        <f>+AO20</f>
        <v>115746</v>
      </c>
      <c r="AQ91" s="472">
        <f>+AL20</f>
        <v>44296</v>
      </c>
      <c r="AR91" s="328">
        <f>+AP20</f>
        <v>111591</v>
      </c>
      <c r="AS91" s="167">
        <f>+AR20</f>
        <v>108246</v>
      </c>
      <c r="AT91" s="167">
        <f>+AS20</f>
        <v>105785</v>
      </c>
      <c r="AU91" s="167">
        <f>+AT20</f>
        <v>103660</v>
      </c>
      <c r="AV91" s="472">
        <f>+AQ20</f>
        <v>111591</v>
      </c>
      <c r="AW91" s="328">
        <f>+AU20</f>
        <v>101269</v>
      </c>
      <c r="AX91" s="167">
        <f>+AW20</f>
        <v>111432</v>
      </c>
      <c r="AY91" s="167">
        <f>+AX20</f>
        <v>104698</v>
      </c>
      <c r="AZ91" s="167">
        <f>+AY20</f>
        <v>99993</v>
      </c>
      <c r="BA91" s="472">
        <f>+AV20</f>
        <v>101269</v>
      </c>
      <c r="BB91" s="167">
        <f>+AZ20</f>
        <v>94546</v>
      </c>
      <c r="BC91" s="167">
        <f>+BB20</f>
        <v>88844</v>
      </c>
      <c r="BD91" s="167">
        <f>+BC20</f>
        <v>84019</v>
      </c>
      <c r="BE91" s="167">
        <f>+BD20</f>
        <v>90748</v>
      </c>
      <c r="BF91" s="472">
        <f>+BA20</f>
        <v>94546</v>
      </c>
      <c r="BG91" s="167">
        <f>+BE20</f>
        <v>85719</v>
      </c>
      <c r="BH91" s="167">
        <f>+BG20</f>
        <v>79763</v>
      </c>
      <c r="BI91" s="167">
        <f>+BH20</f>
        <v>74981</v>
      </c>
      <c r="BJ91" s="167">
        <f>+BI20</f>
        <v>69877</v>
      </c>
      <c r="BK91" s="472">
        <f>+BF20</f>
        <v>85719</v>
      </c>
      <c r="BL91" s="167">
        <f>+BJ20</f>
        <v>65105</v>
      </c>
      <c r="BM91" s="167">
        <f>+BL20</f>
        <v>57292.4</v>
      </c>
      <c r="BN91" s="167">
        <f>+BM20</f>
        <v>50417.312000000005</v>
      </c>
      <c r="BO91" s="167">
        <f>+BN20</f>
        <v>44367.234560000004</v>
      </c>
      <c r="BP91" s="472">
        <f>+BK20</f>
        <v>65105</v>
      </c>
      <c r="BQ91" s="167">
        <f>+BO20</f>
        <v>39043.166412800005</v>
      </c>
      <c r="BR91" s="167">
        <f>+BQ20</f>
        <v>34357.986443264002</v>
      </c>
      <c r="BS91" s="167">
        <f>+BR20</f>
        <v>30235.028070072323</v>
      </c>
      <c r="BT91" s="167">
        <f>+BS20</f>
        <v>26606.824701663645</v>
      </c>
      <c r="BU91" s="472">
        <f>+BP20</f>
        <v>39043.166412800005</v>
      </c>
    </row>
    <row r="92" spans="2:73" s="155" customFormat="1" ht="13.35" customHeight="1">
      <c r="B92" s="155" t="s">
        <v>231</v>
      </c>
      <c r="C92" s="310"/>
      <c r="D92" s="328"/>
      <c r="E92" s="328"/>
      <c r="F92" s="328"/>
      <c r="G92" s="328"/>
      <c r="H92" s="328"/>
      <c r="I92" s="328"/>
      <c r="J92" s="328"/>
      <c r="K92" s="328"/>
      <c r="L92" s="328"/>
      <c r="M92" s="488"/>
      <c r="N92" s="328"/>
      <c r="O92" s="328"/>
      <c r="P92" s="328"/>
      <c r="Q92" s="328"/>
      <c r="R92" s="488"/>
      <c r="S92" s="328"/>
      <c r="T92" s="328"/>
      <c r="U92" s="328"/>
      <c r="V92" s="328"/>
      <c r="W92" s="488"/>
      <c r="X92" s="328"/>
      <c r="Y92" s="328"/>
      <c r="Z92" s="328"/>
      <c r="AA92" s="328"/>
      <c r="AB92" s="488"/>
      <c r="AC92" s="328"/>
      <c r="AD92" s="328"/>
      <c r="AE92" s="328"/>
      <c r="AF92" s="328"/>
      <c r="AG92" s="488"/>
      <c r="AH92" s="328"/>
      <c r="AI92" s="328"/>
      <c r="AJ92" s="328"/>
      <c r="AK92" s="328"/>
      <c r="AL92" s="481"/>
      <c r="AM92" s="328"/>
      <c r="AN92" s="324"/>
      <c r="AO92" s="324"/>
      <c r="AP92" s="324"/>
      <c r="AQ92" s="481"/>
      <c r="AR92" s="328"/>
      <c r="AS92" s="324"/>
      <c r="AT92" s="324"/>
      <c r="AU92" s="324"/>
      <c r="AV92" s="481"/>
      <c r="AW92" s="328"/>
      <c r="AX92" s="324"/>
      <c r="AY92" s="324"/>
      <c r="AZ92" s="324"/>
      <c r="BA92" s="481"/>
      <c r="BB92" s="324"/>
      <c r="BC92" s="324"/>
      <c r="BD92" s="324"/>
      <c r="BE92" s="324"/>
      <c r="BF92" s="481"/>
      <c r="BG92" s="324"/>
      <c r="BH92" s="324"/>
      <c r="BI92" s="324"/>
      <c r="BJ92" s="324"/>
      <c r="BK92" s="481"/>
      <c r="BL92" s="324"/>
      <c r="BM92" s="324"/>
      <c r="BN92" s="324"/>
      <c r="BO92" s="324"/>
      <c r="BP92" s="481"/>
      <c r="BQ92" s="324"/>
      <c r="BR92" s="324"/>
      <c r="BS92" s="324"/>
      <c r="BT92" s="324"/>
      <c r="BU92" s="481"/>
    </row>
    <row r="93" spans="2:73" s="155" customFormat="1" ht="13.35" customHeight="1">
      <c r="B93" s="155" t="s">
        <v>232</v>
      </c>
      <c r="C93" s="310"/>
      <c r="D93" s="329"/>
      <c r="E93" s="329"/>
      <c r="F93" s="329"/>
      <c r="G93" s="329"/>
      <c r="H93" s="329"/>
      <c r="I93" s="329">
        <f t="shared" ref="I93:BE93" si="153">+I92/I$62</f>
        <v>0</v>
      </c>
      <c r="J93" s="329">
        <f t="shared" si="153"/>
        <v>0</v>
      </c>
      <c r="K93" s="329">
        <f t="shared" si="153"/>
        <v>0</v>
      </c>
      <c r="L93" s="329">
        <f t="shared" si="153"/>
        <v>0</v>
      </c>
      <c r="M93" s="489">
        <f t="shared" si="153"/>
        <v>0</v>
      </c>
      <c r="N93" s="329">
        <f t="shared" si="153"/>
        <v>0</v>
      </c>
      <c r="O93" s="329">
        <f t="shared" si="153"/>
        <v>0</v>
      </c>
      <c r="P93" s="329">
        <f t="shared" si="153"/>
        <v>0</v>
      </c>
      <c r="Q93" s="329">
        <f t="shared" si="153"/>
        <v>0</v>
      </c>
      <c r="R93" s="489">
        <f t="shared" si="153"/>
        <v>0</v>
      </c>
      <c r="S93" s="329">
        <f t="shared" si="153"/>
        <v>0</v>
      </c>
      <c r="T93" s="329">
        <f t="shared" si="153"/>
        <v>0</v>
      </c>
      <c r="U93" s="329">
        <f t="shared" si="153"/>
        <v>0</v>
      </c>
      <c r="V93" s="329">
        <f t="shared" si="153"/>
        <v>0</v>
      </c>
      <c r="W93" s="489">
        <f t="shared" si="153"/>
        <v>0</v>
      </c>
      <c r="X93" s="329">
        <f t="shared" si="153"/>
        <v>0</v>
      </c>
      <c r="Y93" s="329">
        <f t="shared" si="153"/>
        <v>0</v>
      </c>
      <c r="Z93" s="329">
        <f t="shared" si="153"/>
        <v>0</v>
      </c>
      <c r="AA93" s="329">
        <f t="shared" si="153"/>
        <v>0</v>
      </c>
      <c r="AB93" s="489">
        <f t="shared" si="153"/>
        <v>0</v>
      </c>
      <c r="AC93" s="329">
        <f t="shared" si="153"/>
        <v>0</v>
      </c>
      <c r="AD93" s="329">
        <f t="shared" si="153"/>
        <v>0</v>
      </c>
      <c r="AE93" s="329">
        <f t="shared" si="153"/>
        <v>0</v>
      </c>
      <c r="AF93" s="329">
        <f t="shared" si="153"/>
        <v>0</v>
      </c>
      <c r="AG93" s="489">
        <f t="shared" si="153"/>
        <v>0</v>
      </c>
      <c r="AH93" s="329">
        <f t="shared" si="153"/>
        <v>0</v>
      </c>
      <c r="AI93" s="329">
        <f t="shared" si="153"/>
        <v>0</v>
      </c>
      <c r="AJ93" s="329">
        <f t="shared" si="153"/>
        <v>0</v>
      </c>
      <c r="AK93" s="329">
        <f t="shared" si="153"/>
        <v>0</v>
      </c>
      <c r="AL93" s="484">
        <f t="shared" si="153"/>
        <v>0</v>
      </c>
      <c r="AM93" s="329">
        <f t="shared" si="153"/>
        <v>0</v>
      </c>
      <c r="AN93" s="329">
        <f t="shared" si="153"/>
        <v>0</v>
      </c>
      <c r="AO93" s="329">
        <f t="shared" si="153"/>
        <v>0</v>
      </c>
      <c r="AP93" s="329">
        <f t="shared" si="153"/>
        <v>0</v>
      </c>
      <c r="AQ93" s="484">
        <f t="shared" si="153"/>
        <v>0</v>
      </c>
      <c r="AR93" s="329">
        <f t="shared" si="153"/>
        <v>0</v>
      </c>
      <c r="AS93" s="329">
        <f t="shared" si="153"/>
        <v>0</v>
      </c>
      <c r="AT93" s="329">
        <f t="shared" si="153"/>
        <v>0</v>
      </c>
      <c r="AU93" s="329">
        <f t="shared" si="153"/>
        <v>0</v>
      </c>
      <c r="AV93" s="484">
        <f t="shared" si="153"/>
        <v>0</v>
      </c>
      <c r="AW93" s="329">
        <f t="shared" si="153"/>
        <v>0</v>
      </c>
      <c r="AX93" s="329">
        <f t="shared" si="153"/>
        <v>0</v>
      </c>
      <c r="AY93" s="329">
        <f t="shared" si="153"/>
        <v>0</v>
      </c>
      <c r="AZ93" s="329">
        <f t="shared" si="153"/>
        <v>0</v>
      </c>
      <c r="BA93" s="484">
        <f t="shared" si="153"/>
        <v>0</v>
      </c>
      <c r="BB93" s="329">
        <f t="shared" si="153"/>
        <v>0</v>
      </c>
      <c r="BC93" s="329">
        <f t="shared" si="153"/>
        <v>0</v>
      </c>
      <c r="BD93" s="329">
        <f t="shared" si="153"/>
        <v>0</v>
      </c>
      <c r="BE93" s="329">
        <f t="shared" si="153"/>
        <v>0</v>
      </c>
      <c r="BF93" s="484">
        <f>+BF92/BF$62</f>
        <v>0</v>
      </c>
      <c r="BG93" s="329">
        <f t="shared" ref="BG93:BH93" si="154">+BG92/BG$62</f>
        <v>0</v>
      </c>
      <c r="BH93" s="329">
        <f t="shared" si="154"/>
        <v>0</v>
      </c>
      <c r="BI93" s="329">
        <f t="shared" ref="BI93:BJ93" si="155">+BI92/BI$62</f>
        <v>0</v>
      </c>
      <c r="BJ93" s="329">
        <f t="shared" si="155"/>
        <v>0</v>
      </c>
      <c r="BK93" s="484">
        <f>+BK92/BK$62</f>
        <v>0</v>
      </c>
      <c r="BL93" s="234">
        <v>0</v>
      </c>
      <c r="BM93" s="234">
        <v>0</v>
      </c>
      <c r="BN93" s="234">
        <v>0</v>
      </c>
      <c r="BO93" s="234">
        <v>0</v>
      </c>
      <c r="BP93" s="484">
        <f>+BP92/BP$62</f>
        <v>0</v>
      </c>
      <c r="BQ93" s="234">
        <v>0</v>
      </c>
      <c r="BR93" s="234">
        <v>0</v>
      </c>
      <c r="BS93" s="234">
        <v>0</v>
      </c>
      <c r="BT93" s="234">
        <v>0</v>
      </c>
      <c r="BU93" s="484">
        <f>+BU92/BU$62</f>
        <v>0</v>
      </c>
    </row>
    <row r="94" spans="2:73" s="155" customFormat="1" ht="13.35" customHeight="1">
      <c r="B94" s="155" t="s">
        <v>233</v>
      </c>
      <c r="C94" s="310"/>
      <c r="D94" s="331"/>
      <c r="E94" s="331"/>
      <c r="F94" s="331"/>
      <c r="G94" s="334"/>
      <c r="H94" s="334">
        <f>+'Billings &amp; Recs'!H81</f>
        <v>869</v>
      </c>
      <c r="I94" s="334">
        <f>+'Billings &amp; Recs'!I81</f>
        <v>203</v>
      </c>
      <c r="J94" s="334">
        <f>+'Billings &amp; Recs'!J81</f>
        <v>276</v>
      </c>
      <c r="K94" s="334">
        <f>+'Billings &amp; Recs'!K81</f>
        <v>285</v>
      </c>
      <c r="L94" s="334">
        <f>+'Billings &amp; Recs'!L81</f>
        <v>522</v>
      </c>
      <c r="M94" s="492">
        <f>+'Billings &amp; Recs'!M81</f>
        <v>1286</v>
      </c>
      <c r="N94" s="334">
        <f>+'Billings &amp; Recs'!N81</f>
        <v>583</v>
      </c>
      <c r="O94" s="334">
        <f>+'Billings &amp; Recs'!O81</f>
        <v>583</v>
      </c>
      <c r="P94" s="334">
        <f>+'Billings &amp; Recs'!P81</f>
        <v>769</v>
      </c>
      <c r="Q94" s="334">
        <f>+'Billings &amp; Recs'!Q81</f>
        <v>503</v>
      </c>
      <c r="R94" s="492">
        <f>+'Billings &amp; Recs'!R81</f>
        <v>2438</v>
      </c>
      <c r="S94" s="334">
        <f>+'Billings &amp; Recs'!S81</f>
        <v>486</v>
      </c>
      <c r="T94" s="334">
        <f>+'Billings &amp; Recs'!T81</f>
        <v>483</v>
      </c>
      <c r="U94" s="334">
        <f>+'Billings &amp; Recs'!U81</f>
        <v>894</v>
      </c>
      <c r="V94" s="334">
        <f>+'Billings &amp; Recs'!V81</f>
        <v>950</v>
      </c>
      <c r="W94" s="492">
        <f>+'Billings &amp; Recs'!W81</f>
        <v>2813</v>
      </c>
      <c r="X94" s="334">
        <f>+'Billings &amp; Recs'!X81</f>
        <v>1016</v>
      </c>
      <c r="Y94" s="334">
        <f>+'Billings &amp; Recs'!Y81</f>
        <v>1036</v>
      </c>
      <c r="Z94" s="334">
        <f>+'Billings &amp; Recs'!Z81</f>
        <v>1069</v>
      </c>
      <c r="AA94" s="334">
        <f>+'Billings &amp; Recs'!AA81</f>
        <v>1490</v>
      </c>
      <c r="AB94" s="492">
        <f>+'Billings &amp; Recs'!AB81</f>
        <v>4611</v>
      </c>
      <c r="AC94" s="334">
        <f>+'Billings &amp; Recs'!AC81</f>
        <v>1577</v>
      </c>
      <c r="AD94" s="334">
        <f>+'Billings &amp; Recs'!AD81</f>
        <v>1888</v>
      </c>
      <c r="AE94" s="334">
        <f>+'Billings &amp; Recs'!AE81</f>
        <v>2078</v>
      </c>
      <c r="AF94" s="334">
        <f>+'Billings &amp; Recs'!AF81</f>
        <v>2022</v>
      </c>
      <c r="AG94" s="492">
        <f>+'Billings &amp; Recs'!AG81</f>
        <v>7565</v>
      </c>
      <c r="AH94" s="334">
        <f>+'Billings &amp; Recs'!AH81</f>
        <v>2168</v>
      </c>
      <c r="AI94" s="334">
        <f>+'Billings &amp; Recs'!AI81</f>
        <v>2285</v>
      </c>
      <c r="AJ94" s="334">
        <f>+'Billings &amp; Recs'!AJ81</f>
        <v>3222</v>
      </c>
      <c r="AK94" s="334">
        <f>+'Billings &amp; Recs'!AK81</f>
        <v>3369</v>
      </c>
      <c r="AL94" s="483">
        <f>+SUM(AH94:AK94)</f>
        <v>11044</v>
      </c>
      <c r="AM94" s="334">
        <f>+'Billings &amp; Recs'!AM81</f>
        <v>3746</v>
      </c>
      <c r="AN94" s="334">
        <f>+'Billings &amp; Recs'!AN81</f>
        <v>3975</v>
      </c>
      <c r="AO94" s="334">
        <f>+'Billings &amp; Recs'!AO81</f>
        <v>6590</v>
      </c>
      <c r="AP94" s="334">
        <f>+'Billings &amp; Recs'!AP81</f>
        <v>6590</v>
      </c>
      <c r="AQ94" s="483">
        <f>+SUM(AM94:AP94)</f>
        <v>20901</v>
      </c>
      <c r="AR94" s="334">
        <f>+'Billings &amp; Recs'!AR81</f>
        <v>6866</v>
      </c>
      <c r="AS94" s="334">
        <f>+'Billings &amp; Recs'!AS81</f>
        <v>6997</v>
      </c>
      <c r="AT94" s="334">
        <f>+'Billings &amp; Recs'!AT81</f>
        <v>6716</v>
      </c>
      <c r="AU94" s="334">
        <f>+'Billings &amp; Recs'!AU81</f>
        <v>6888</v>
      </c>
      <c r="AV94" s="483">
        <f>+SUM(AR94:AU94)</f>
        <v>27467</v>
      </c>
      <c r="AW94" s="334">
        <f>+'Billings &amp; Recs'!AW81</f>
        <v>7213</v>
      </c>
      <c r="AX94" s="334">
        <f>+'Billings &amp; Recs'!AX81</f>
        <v>8080</v>
      </c>
      <c r="AY94" s="334">
        <f>+'Billings &amp; Recs'!AY81</f>
        <v>8306</v>
      </c>
      <c r="AZ94" s="334">
        <f>+'Billings &amp; Recs'!AZ81</f>
        <v>8293</v>
      </c>
      <c r="BA94" s="483">
        <f>+SUM(AW94:AZ94)</f>
        <v>31892</v>
      </c>
      <c r="BB94" s="765">
        <f>8440</f>
        <v>8440</v>
      </c>
      <c r="BC94" s="334"/>
      <c r="BD94" s="334"/>
      <c r="BE94" s="334"/>
      <c r="BF94" s="483">
        <f>+SUM(BB94:BE94)</f>
        <v>8440</v>
      </c>
      <c r="BG94" s="765">
        <f>8874</f>
        <v>8874</v>
      </c>
      <c r="BH94" s="765">
        <f>8874</f>
        <v>8874</v>
      </c>
      <c r="BI94" s="765">
        <f>8861</f>
        <v>8861</v>
      </c>
      <c r="BJ94" s="765">
        <f>8892</f>
        <v>8892</v>
      </c>
      <c r="BK94" s="483">
        <f>+SUM(BG94:BJ94)</f>
        <v>35501</v>
      </c>
      <c r="BL94" s="327">
        <f>+BL95*BL91</f>
        <v>7812.5999999999995</v>
      </c>
      <c r="BM94" s="327">
        <f>+BM95*BM91</f>
        <v>6875.0879999999997</v>
      </c>
      <c r="BN94" s="327">
        <f>+BN95*BN91</f>
        <v>6050.07744</v>
      </c>
      <c r="BO94" s="327">
        <f>+BO95*BO91</f>
        <v>5324.0681472000006</v>
      </c>
      <c r="BP94" s="483">
        <f>+SUM(BL94:BO94)</f>
        <v>26061.833587199999</v>
      </c>
      <c r="BQ94" s="327">
        <f>+BQ95*BQ91</f>
        <v>4685.1799695360005</v>
      </c>
      <c r="BR94" s="327">
        <f>+BR95*BR91</f>
        <v>4122.95837319168</v>
      </c>
      <c r="BS94" s="327">
        <f>+BS95*BS91</f>
        <v>3628.2033684086787</v>
      </c>
      <c r="BT94" s="327">
        <f>+BT95*BT91</f>
        <v>3192.8189641996373</v>
      </c>
      <c r="BU94" s="483">
        <f>+SUM(BQ94:BT94)</f>
        <v>15629.160675335997</v>
      </c>
    </row>
    <row r="95" spans="2:73" s="155" customFormat="1" ht="13.35" customHeight="1">
      <c r="B95" s="155" t="s">
        <v>234</v>
      </c>
      <c r="C95" s="310"/>
      <c r="D95" s="329"/>
      <c r="E95" s="329"/>
      <c r="F95" s="329"/>
      <c r="G95" s="329"/>
      <c r="H95" s="329"/>
      <c r="I95" s="329">
        <f t="shared" ref="I95:S95" si="156">+I94/I91</f>
        <v>0.17560553633217993</v>
      </c>
      <c r="J95" s="329">
        <f t="shared" si="156"/>
        <v>0.28961175236096537</v>
      </c>
      <c r="K95" s="329">
        <f t="shared" si="156"/>
        <v>0.1029996385977593</v>
      </c>
      <c r="L95" s="329">
        <f t="shared" si="156"/>
        <v>0.21031426269137793</v>
      </c>
      <c r="M95" s="489">
        <f t="shared" si="156"/>
        <v>1.1124567474048443</v>
      </c>
      <c r="N95" s="329">
        <f t="shared" si="156"/>
        <v>5.1207729468599035E-2</v>
      </c>
      <c r="O95" s="329">
        <f t="shared" si="156"/>
        <v>5.3971486761710798E-2</v>
      </c>
      <c r="P95" s="329">
        <f t="shared" si="156"/>
        <v>7.5251981602896562E-2</v>
      </c>
      <c r="Q95" s="329">
        <f t="shared" si="156"/>
        <v>5.3227513227513228E-2</v>
      </c>
      <c r="R95" s="489">
        <f t="shared" si="156"/>
        <v>0.21414141414141413</v>
      </c>
      <c r="S95" s="329">
        <f t="shared" si="156"/>
        <v>5.4325955734406441E-2</v>
      </c>
      <c r="T95" s="329">
        <f t="shared" ref="T95:BE95" si="157">+T94/T91</f>
        <v>5.7092198581560283E-2</v>
      </c>
      <c r="U95" s="329">
        <f t="shared" si="157"/>
        <v>0.10778876296117676</v>
      </c>
      <c r="V95" s="329">
        <f t="shared" si="157"/>
        <v>5.5206880520688055E-2</v>
      </c>
      <c r="W95" s="489">
        <f t="shared" si="157"/>
        <v>0.31444220880840601</v>
      </c>
      <c r="X95" s="329">
        <f t="shared" si="157"/>
        <v>6.1057692307692306E-2</v>
      </c>
      <c r="Y95" s="329">
        <f t="shared" si="157"/>
        <v>6.3495954890904635E-2</v>
      </c>
      <c r="Z95" s="329">
        <f t="shared" si="157"/>
        <v>6.6804149481314842E-2</v>
      </c>
      <c r="AA95" s="329">
        <f t="shared" si="157"/>
        <v>9.2991324970355116E-2</v>
      </c>
      <c r="AB95" s="489">
        <f t="shared" si="157"/>
        <v>0.27710336538461539</v>
      </c>
      <c r="AC95" s="329">
        <f t="shared" si="157"/>
        <v>6.5831767898142352E-2</v>
      </c>
      <c r="AD95" s="329">
        <f t="shared" si="157"/>
        <v>7.8735560281913336E-2</v>
      </c>
      <c r="AE95" s="329">
        <f t="shared" si="157"/>
        <v>6.9905133553118476E-2</v>
      </c>
      <c r="AF95" s="329">
        <f t="shared" si="157"/>
        <v>6.9286913614090395E-2</v>
      </c>
      <c r="AG95" s="489">
        <f t="shared" si="157"/>
        <v>0.3158004591943227</v>
      </c>
      <c r="AH95" s="329">
        <f t="shared" si="157"/>
        <v>7.5907706312804177E-2</v>
      </c>
      <c r="AI95" s="329">
        <f t="shared" si="157"/>
        <v>8.1996626834607247E-2</v>
      </c>
      <c r="AJ95" s="329">
        <f t="shared" si="157"/>
        <v>6.753867438058106E-2</v>
      </c>
      <c r="AK95" s="329">
        <f t="shared" si="157"/>
        <v>7.3331592007313567E-2</v>
      </c>
      <c r="AL95" s="484">
        <f t="shared" si="157"/>
        <v>0.38668113861559467</v>
      </c>
      <c r="AM95" s="329">
        <f t="shared" si="157"/>
        <v>8.456745530070435E-2</v>
      </c>
      <c r="AN95" s="329">
        <f t="shared" si="157"/>
        <v>7.5415496698793355E-2</v>
      </c>
      <c r="AO95" s="329">
        <f t="shared" si="157"/>
        <v>0.12163384337104782</v>
      </c>
      <c r="AP95" s="329">
        <f t="shared" si="157"/>
        <v>5.6935012873015049E-2</v>
      </c>
      <c r="AQ95" s="484">
        <f t="shared" si="157"/>
        <v>0.47184847390283546</v>
      </c>
      <c r="AR95" s="329">
        <f t="shared" si="157"/>
        <v>6.1528259447446478E-2</v>
      </c>
      <c r="AS95" s="329">
        <f t="shared" si="157"/>
        <v>6.4639801932634924E-2</v>
      </c>
      <c r="AT95" s="329">
        <f t="shared" si="157"/>
        <v>6.3487261899135033E-2</v>
      </c>
      <c r="AU95" s="329">
        <f t="shared" si="157"/>
        <v>6.6448003087015248E-2</v>
      </c>
      <c r="AV95" s="484">
        <f t="shared" si="157"/>
        <v>0.24613992167827153</v>
      </c>
      <c r="AW95" s="329">
        <f t="shared" si="157"/>
        <v>7.1226140279848721E-2</v>
      </c>
      <c r="AX95" s="329">
        <f t="shared" si="157"/>
        <v>7.2510589417761506E-2</v>
      </c>
      <c r="AY95" s="329">
        <f t="shared" si="157"/>
        <v>7.9332938547059167E-2</v>
      </c>
      <c r="AZ95" s="329">
        <f t="shared" si="157"/>
        <v>8.2935805506385449E-2</v>
      </c>
      <c r="BA95" s="484">
        <f t="shared" si="157"/>
        <v>0.31492361927144535</v>
      </c>
      <c r="BB95" s="329">
        <f t="shared" si="157"/>
        <v>8.9268715757409092E-2</v>
      </c>
      <c r="BC95" s="329">
        <f t="shared" si="157"/>
        <v>0</v>
      </c>
      <c r="BD95" s="329">
        <f t="shared" si="157"/>
        <v>0</v>
      </c>
      <c r="BE95" s="329">
        <f t="shared" si="157"/>
        <v>0</v>
      </c>
      <c r="BF95" s="484">
        <f>+BF94/BF91</f>
        <v>8.9268715757409092E-2</v>
      </c>
      <c r="BG95" s="329">
        <f t="shared" ref="BG95:BH95" si="158">+BG94/BG91</f>
        <v>0.10352430616316102</v>
      </c>
      <c r="BH95" s="329">
        <f t="shared" si="158"/>
        <v>0.11125459172799418</v>
      </c>
      <c r="BI95" s="329">
        <f t="shared" ref="BI95:BJ95" si="159">+BI94/BI91</f>
        <v>0.11817660473986744</v>
      </c>
      <c r="BJ95" s="329">
        <f t="shared" si="159"/>
        <v>0.1272521716730827</v>
      </c>
      <c r="BK95" s="484">
        <f>+BK94/BK91</f>
        <v>0.41415555477782057</v>
      </c>
      <c r="BL95" s="234">
        <v>0.12</v>
      </c>
      <c r="BM95" s="234">
        <v>0.12</v>
      </c>
      <c r="BN95" s="234">
        <v>0.12</v>
      </c>
      <c r="BO95" s="234">
        <v>0.12</v>
      </c>
      <c r="BP95" s="484">
        <f>+BP94/BP91</f>
        <v>0.40030463999999999</v>
      </c>
      <c r="BQ95" s="234">
        <v>0.12</v>
      </c>
      <c r="BR95" s="234">
        <v>0.12</v>
      </c>
      <c r="BS95" s="234">
        <v>0.12</v>
      </c>
      <c r="BT95" s="234">
        <v>0.12</v>
      </c>
      <c r="BU95" s="484">
        <f t="shared" ref="BU95" si="160">+BU94/BU91</f>
        <v>0.40030463999999999</v>
      </c>
    </row>
    <row r="96" spans="2:73" s="155" customFormat="1" ht="13.35" customHeight="1">
      <c r="B96" s="155" t="s">
        <v>228</v>
      </c>
      <c r="C96" s="310"/>
      <c r="D96" s="334"/>
      <c r="E96" s="334"/>
      <c r="F96" s="334"/>
      <c r="G96" s="334">
        <f t="shared" ref="G96:S96" si="161">+(G91+G92-G94-G98)*-1</f>
        <v>1156</v>
      </c>
      <c r="H96" s="334">
        <f t="shared" si="161"/>
        <v>2025</v>
      </c>
      <c r="I96" s="334">
        <f t="shared" si="161"/>
        <v>0</v>
      </c>
      <c r="J96" s="334">
        <f t="shared" si="161"/>
        <v>2090</v>
      </c>
      <c r="K96" s="334">
        <f t="shared" si="161"/>
        <v>0</v>
      </c>
      <c r="L96" s="334">
        <f t="shared" si="161"/>
        <v>9425</v>
      </c>
      <c r="M96" s="492">
        <f t="shared" si="161"/>
        <v>11515</v>
      </c>
      <c r="N96" s="334">
        <f t="shared" si="161"/>
        <v>0</v>
      </c>
      <c r="O96" s="334">
        <f t="shared" si="161"/>
        <v>0</v>
      </c>
      <c r="P96" s="334">
        <f t="shared" si="161"/>
        <v>0</v>
      </c>
      <c r="Q96" s="334">
        <f t="shared" si="161"/>
        <v>-1</v>
      </c>
      <c r="R96" s="492">
        <f t="shared" si="161"/>
        <v>-1</v>
      </c>
      <c r="S96" s="334">
        <f t="shared" si="161"/>
        <v>0</v>
      </c>
      <c r="T96" s="334">
        <f t="shared" ref="T96:AY96" si="162">+(T91+T92-T94-T98)*-1</f>
        <v>317</v>
      </c>
      <c r="U96" s="334">
        <f t="shared" si="162"/>
        <v>9808</v>
      </c>
      <c r="V96" s="334">
        <f t="shared" si="162"/>
        <v>382</v>
      </c>
      <c r="W96" s="492">
        <f t="shared" si="162"/>
        <v>10507</v>
      </c>
      <c r="X96" s="334">
        <f t="shared" si="162"/>
        <v>692</v>
      </c>
      <c r="Y96" s="334">
        <f t="shared" si="162"/>
        <v>722</v>
      </c>
      <c r="Z96" s="334">
        <f t="shared" si="162"/>
        <v>1090</v>
      </c>
      <c r="AA96" s="334">
        <f t="shared" si="162"/>
        <v>9422</v>
      </c>
      <c r="AB96" s="492">
        <f t="shared" si="162"/>
        <v>11926</v>
      </c>
      <c r="AC96" s="334">
        <f t="shared" si="162"/>
        <v>1601</v>
      </c>
      <c r="AD96" s="334">
        <f t="shared" si="162"/>
        <v>7635</v>
      </c>
      <c r="AE96" s="334">
        <f t="shared" si="162"/>
        <v>1535</v>
      </c>
      <c r="AF96" s="334">
        <f t="shared" si="162"/>
        <v>1400</v>
      </c>
      <c r="AG96" s="492">
        <f t="shared" si="162"/>
        <v>12171</v>
      </c>
      <c r="AH96" s="334">
        <f t="shared" si="162"/>
        <v>1474</v>
      </c>
      <c r="AI96" s="334">
        <f t="shared" si="162"/>
        <v>22124</v>
      </c>
      <c r="AJ96" s="334">
        <f t="shared" si="162"/>
        <v>1458</v>
      </c>
      <c r="AK96" s="334">
        <f t="shared" si="162"/>
        <v>1723</v>
      </c>
      <c r="AL96" s="483">
        <f t="shared" si="162"/>
        <v>0</v>
      </c>
      <c r="AM96" s="334">
        <f t="shared" si="162"/>
        <v>12158</v>
      </c>
      <c r="AN96" s="334">
        <f t="shared" si="162"/>
        <v>0</v>
      </c>
      <c r="AO96" s="334">
        <f t="shared" si="162"/>
        <v>0</v>
      </c>
      <c r="AP96" s="334">
        <f t="shared" si="162"/>
        <v>0</v>
      </c>
      <c r="AQ96" s="483">
        <f t="shared" si="162"/>
        <v>0</v>
      </c>
      <c r="AR96" s="334">
        <f t="shared" si="162"/>
        <v>3521</v>
      </c>
      <c r="AS96" s="334">
        <f t="shared" si="162"/>
        <v>0</v>
      </c>
      <c r="AT96" s="334">
        <f t="shared" si="162"/>
        <v>0</v>
      </c>
      <c r="AU96" s="334">
        <f t="shared" si="162"/>
        <v>0</v>
      </c>
      <c r="AV96" s="483">
        <f t="shared" si="162"/>
        <v>0</v>
      </c>
      <c r="AW96" s="334">
        <f t="shared" si="162"/>
        <v>17376</v>
      </c>
      <c r="AX96" s="334">
        <f t="shared" si="162"/>
        <v>0</v>
      </c>
      <c r="AY96" s="334">
        <f t="shared" si="162"/>
        <v>0</v>
      </c>
      <c r="AZ96" s="334">
        <f t="shared" ref="AZ96:BP96" si="163">+(AZ91+AZ92-AZ94-AZ98)*-1</f>
        <v>0</v>
      </c>
      <c r="BA96" s="483">
        <f t="shared" si="163"/>
        <v>0</v>
      </c>
      <c r="BB96" s="327">
        <f t="shared" si="163"/>
        <v>0</v>
      </c>
      <c r="BC96" s="334">
        <f t="shared" si="163"/>
        <v>0</v>
      </c>
      <c r="BD96" s="334">
        <f t="shared" si="163"/>
        <v>0</v>
      </c>
      <c r="BE96" s="334">
        <f t="shared" ref="BE96" si="164">+(BE91+BE92-BE94-BE98)*-1</f>
        <v>0</v>
      </c>
      <c r="BF96" s="483">
        <f t="shared" si="163"/>
        <v>0</v>
      </c>
      <c r="BG96" s="327">
        <f t="shared" ref="BG96" si="165">+(BG91+BG92-BG94-BG98)*-1</f>
        <v>0</v>
      </c>
      <c r="BH96" s="327">
        <f t="shared" si="163"/>
        <v>0</v>
      </c>
      <c r="BI96" s="327">
        <f t="shared" ref="BI96" si="166">+(BI91+BI92-BI94-BI98)*-1</f>
        <v>0</v>
      </c>
      <c r="BJ96" s="327">
        <f t="shared" si="163"/>
        <v>0</v>
      </c>
      <c r="BK96" s="483">
        <f t="shared" si="163"/>
        <v>0</v>
      </c>
      <c r="BL96" s="327">
        <f t="shared" si="163"/>
        <v>0</v>
      </c>
      <c r="BM96" s="327">
        <f t="shared" si="163"/>
        <v>0</v>
      </c>
      <c r="BN96" s="327">
        <f t="shared" si="163"/>
        <v>0</v>
      </c>
      <c r="BO96" s="327">
        <f t="shared" si="163"/>
        <v>0</v>
      </c>
      <c r="BP96" s="483">
        <f t="shared" si="163"/>
        <v>0</v>
      </c>
      <c r="BQ96" s="327">
        <f t="shared" ref="BQ96:BU96" si="167">+(BQ91+BQ92-BQ94-BQ98)*-1</f>
        <v>0</v>
      </c>
      <c r="BR96" s="327">
        <f t="shared" si="167"/>
        <v>0</v>
      </c>
      <c r="BS96" s="327">
        <f t="shared" si="167"/>
        <v>0</v>
      </c>
      <c r="BT96" s="327">
        <f t="shared" si="167"/>
        <v>0</v>
      </c>
      <c r="BU96" s="483">
        <f t="shared" si="167"/>
        <v>0</v>
      </c>
    </row>
    <row r="97" spans="2:73" s="155" customFormat="1" ht="13.35" customHeight="1">
      <c r="C97" s="310"/>
      <c r="D97" s="335" t="s">
        <v>1</v>
      </c>
      <c r="E97" s="335" t="s">
        <v>1</v>
      </c>
      <c r="F97" s="335" t="s">
        <v>1</v>
      </c>
      <c r="G97" s="335" t="s">
        <v>1</v>
      </c>
      <c r="H97" s="335" t="s">
        <v>1</v>
      </c>
      <c r="I97" s="335" t="s">
        <v>1</v>
      </c>
      <c r="J97" s="335" t="s">
        <v>1</v>
      </c>
      <c r="K97" s="335" t="s">
        <v>1</v>
      </c>
      <c r="L97" s="335" t="s">
        <v>1</v>
      </c>
      <c r="M97" s="493" t="s">
        <v>1</v>
      </c>
      <c r="N97" s="335" t="s">
        <v>1</v>
      </c>
      <c r="O97" s="335" t="s">
        <v>1</v>
      </c>
      <c r="P97" s="335" t="s">
        <v>1</v>
      </c>
      <c r="Q97" s="335" t="s">
        <v>1</v>
      </c>
      <c r="R97" s="493" t="s">
        <v>1</v>
      </c>
      <c r="S97" s="335" t="s">
        <v>1</v>
      </c>
      <c r="T97" s="335" t="s">
        <v>1</v>
      </c>
      <c r="U97" s="335" t="s">
        <v>1</v>
      </c>
      <c r="V97" s="335" t="s">
        <v>1</v>
      </c>
      <c r="W97" s="493" t="s">
        <v>1</v>
      </c>
      <c r="X97" s="335" t="s">
        <v>1</v>
      </c>
      <c r="Y97" s="335" t="s">
        <v>1</v>
      </c>
      <c r="Z97" s="335" t="s">
        <v>1</v>
      </c>
      <c r="AA97" s="335" t="s">
        <v>1</v>
      </c>
      <c r="AB97" s="493" t="s">
        <v>1</v>
      </c>
      <c r="AC97" s="335" t="s">
        <v>1</v>
      </c>
      <c r="AD97" s="335" t="s">
        <v>1</v>
      </c>
      <c r="AE97" s="335" t="s">
        <v>1</v>
      </c>
      <c r="AF97" s="335" t="s">
        <v>1</v>
      </c>
      <c r="AG97" s="493" t="s">
        <v>1</v>
      </c>
      <c r="AH97" s="335" t="s">
        <v>1</v>
      </c>
      <c r="AI97" s="335" t="s">
        <v>1</v>
      </c>
      <c r="AJ97" s="335" t="s">
        <v>1</v>
      </c>
      <c r="AK97" s="335" t="s">
        <v>1</v>
      </c>
      <c r="AL97" s="473" t="s">
        <v>1</v>
      </c>
      <c r="AM97" s="335" t="s">
        <v>1</v>
      </c>
      <c r="AN97" s="173" t="s">
        <v>1</v>
      </c>
      <c r="AO97" s="173" t="s">
        <v>1</v>
      </c>
      <c r="AP97" s="173" t="s">
        <v>1</v>
      </c>
      <c r="AQ97" s="473" t="s">
        <v>1</v>
      </c>
      <c r="AR97" s="335" t="s">
        <v>1</v>
      </c>
      <c r="AS97" s="173" t="s">
        <v>1</v>
      </c>
      <c r="AT97" s="173" t="s">
        <v>1</v>
      </c>
      <c r="AU97" s="173" t="s">
        <v>1</v>
      </c>
      <c r="AV97" s="473" t="s">
        <v>1</v>
      </c>
      <c r="AW97" s="335" t="s">
        <v>1</v>
      </c>
      <c r="AX97" s="173" t="s">
        <v>1</v>
      </c>
      <c r="AY97" s="173" t="s">
        <v>1</v>
      </c>
      <c r="AZ97" s="173" t="s">
        <v>1</v>
      </c>
      <c r="BA97" s="473" t="s">
        <v>1</v>
      </c>
      <c r="BB97" s="173" t="s">
        <v>1</v>
      </c>
      <c r="BC97" s="173" t="s">
        <v>1</v>
      </c>
      <c r="BD97" s="173" t="s">
        <v>1</v>
      </c>
      <c r="BE97" s="173" t="s">
        <v>1</v>
      </c>
      <c r="BF97" s="473" t="s">
        <v>1</v>
      </c>
      <c r="BG97" s="173" t="s">
        <v>1</v>
      </c>
      <c r="BH97" s="173" t="s">
        <v>1</v>
      </c>
      <c r="BI97" s="173" t="s">
        <v>1</v>
      </c>
      <c r="BJ97" s="173" t="s">
        <v>1</v>
      </c>
      <c r="BK97" s="473" t="s">
        <v>1</v>
      </c>
      <c r="BL97" s="173" t="s">
        <v>1</v>
      </c>
      <c r="BM97" s="173" t="s">
        <v>1</v>
      </c>
      <c r="BN97" s="173" t="s">
        <v>1</v>
      </c>
      <c r="BO97" s="173" t="s">
        <v>1</v>
      </c>
      <c r="BP97" s="473" t="s">
        <v>1</v>
      </c>
      <c r="BQ97" s="173" t="s">
        <v>1</v>
      </c>
      <c r="BR97" s="173" t="s">
        <v>1</v>
      </c>
      <c r="BS97" s="173" t="s">
        <v>1</v>
      </c>
      <c r="BT97" s="173" t="s">
        <v>1</v>
      </c>
      <c r="BU97" s="473" t="s">
        <v>1</v>
      </c>
    </row>
    <row r="98" spans="2:73" s="155" customFormat="1" ht="13.35" customHeight="1">
      <c r="B98" s="263" t="s">
        <v>505</v>
      </c>
      <c r="C98" s="310"/>
      <c r="D98" s="334"/>
      <c r="E98" s="334"/>
      <c r="F98" s="334"/>
      <c r="G98" s="334">
        <f t="shared" ref="G98:AK98" si="168">+G20</f>
        <v>1156</v>
      </c>
      <c r="H98" s="334">
        <f t="shared" si="168"/>
        <v>1156</v>
      </c>
      <c r="I98" s="334">
        <f t="shared" si="168"/>
        <v>953</v>
      </c>
      <c r="J98" s="334">
        <f t="shared" si="168"/>
        <v>2767</v>
      </c>
      <c r="K98" s="334">
        <f t="shared" si="168"/>
        <v>2482</v>
      </c>
      <c r="L98" s="334">
        <f t="shared" si="168"/>
        <v>11385</v>
      </c>
      <c r="M98" s="492">
        <f t="shared" si="168"/>
        <v>11385</v>
      </c>
      <c r="N98" s="334">
        <f t="shared" si="168"/>
        <v>10802</v>
      </c>
      <c r="O98" s="334">
        <f t="shared" si="168"/>
        <v>10219</v>
      </c>
      <c r="P98" s="334">
        <f t="shared" si="168"/>
        <v>9450</v>
      </c>
      <c r="Q98" s="334">
        <f t="shared" si="168"/>
        <v>8946</v>
      </c>
      <c r="R98" s="492">
        <f t="shared" si="168"/>
        <v>8946</v>
      </c>
      <c r="S98" s="334">
        <f t="shared" si="168"/>
        <v>8460</v>
      </c>
      <c r="T98" s="334">
        <f t="shared" si="168"/>
        <v>8294</v>
      </c>
      <c r="U98" s="334">
        <f t="shared" si="168"/>
        <v>17208</v>
      </c>
      <c r="V98" s="334">
        <f t="shared" si="168"/>
        <v>16640</v>
      </c>
      <c r="W98" s="492">
        <f t="shared" si="168"/>
        <v>16640</v>
      </c>
      <c r="X98" s="334">
        <f t="shared" si="168"/>
        <v>16316</v>
      </c>
      <c r="Y98" s="334">
        <f t="shared" si="168"/>
        <v>16002</v>
      </c>
      <c r="Z98" s="334">
        <f t="shared" si="168"/>
        <v>16023</v>
      </c>
      <c r="AA98" s="334">
        <f t="shared" si="168"/>
        <v>23955</v>
      </c>
      <c r="AB98" s="492">
        <f t="shared" si="168"/>
        <v>23955</v>
      </c>
      <c r="AC98" s="334">
        <f t="shared" si="168"/>
        <v>23979</v>
      </c>
      <c r="AD98" s="334">
        <f t="shared" si="168"/>
        <v>29726</v>
      </c>
      <c r="AE98" s="334">
        <f t="shared" si="168"/>
        <v>29183</v>
      </c>
      <c r="AF98" s="334">
        <f t="shared" si="168"/>
        <v>28561</v>
      </c>
      <c r="AG98" s="492">
        <f t="shared" si="168"/>
        <v>28561</v>
      </c>
      <c r="AH98" s="334">
        <f t="shared" si="168"/>
        <v>27867</v>
      </c>
      <c r="AI98" s="334">
        <f t="shared" si="168"/>
        <v>47706</v>
      </c>
      <c r="AJ98" s="334">
        <f t="shared" si="168"/>
        <v>45942</v>
      </c>
      <c r="AK98" s="334">
        <f t="shared" si="168"/>
        <v>44296</v>
      </c>
      <c r="AL98" s="483">
        <f>+AL91+AL92-AL94</f>
        <v>17517</v>
      </c>
      <c r="AM98" s="334">
        <f>+AM20</f>
        <v>52708</v>
      </c>
      <c r="AN98" s="327">
        <f>+AN91+AN92-AN94</f>
        <v>48733</v>
      </c>
      <c r="AO98" s="327">
        <f>+AO91+AO92-AO94</f>
        <v>47589</v>
      </c>
      <c r="AP98" s="327">
        <f>+AP91+AP92-AP94</f>
        <v>109156</v>
      </c>
      <c r="AQ98" s="483">
        <f>+AQ91+AQ92-AQ94</f>
        <v>23395</v>
      </c>
      <c r="AR98" s="334">
        <f>+AR20</f>
        <v>108246</v>
      </c>
      <c r="AS98" s="327">
        <f>+AS91+AS92-AS94</f>
        <v>101249</v>
      </c>
      <c r="AT98" s="327">
        <f>+AT91+AT92-AT94</f>
        <v>99069</v>
      </c>
      <c r="AU98" s="327">
        <f>+AU91+AU92-AU94</f>
        <v>96772</v>
      </c>
      <c r="AV98" s="483">
        <f>+AV91+AV92-AV94</f>
        <v>84124</v>
      </c>
      <c r="AW98" s="334">
        <f>+AW20</f>
        <v>111432</v>
      </c>
      <c r="AX98" s="327">
        <f t="shared" ref="AX98:BP98" si="169">+AX91+AX92-AX94</f>
        <v>103352</v>
      </c>
      <c r="AY98" s="327">
        <f t="shared" si="169"/>
        <v>96392</v>
      </c>
      <c r="AZ98" s="327">
        <f t="shared" si="169"/>
        <v>91700</v>
      </c>
      <c r="BA98" s="483">
        <f t="shared" si="169"/>
        <v>69377</v>
      </c>
      <c r="BB98" s="327">
        <f t="shared" si="169"/>
        <v>86106</v>
      </c>
      <c r="BC98" s="327">
        <f t="shared" si="169"/>
        <v>88844</v>
      </c>
      <c r="BD98" s="327">
        <f t="shared" si="169"/>
        <v>84019</v>
      </c>
      <c r="BE98" s="327">
        <f t="shared" ref="BE98" si="170">+BE91+BE92-BE94</f>
        <v>90748</v>
      </c>
      <c r="BF98" s="483">
        <f t="shared" si="169"/>
        <v>86106</v>
      </c>
      <c r="BG98" s="327">
        <f t="shared" ref="BG98" si="171">+BG91+BG92-BG94</f>
        <v>76845</v>
      </c>
      <c r="BH98" s="327">
        <f t="shared" si="169"/>
        <v>70889</v>
      </c>
      <c r="BI98" s="327">
        <f t="shared" ref="BI98" si="172">+BI91+BI92-BI94</f>
        <v>66120</v>
      </c>
      <c r="BJ98" s="327">
        <f t="shared" si="169"/>
        <v>60985</v>
      </c>
      <c r="BK98" s="483">
        <f t="shared" si="169"/>
        <v>50218</v>
      </c>
      <c r="BL98" s="327">
        <f t="shared" si="169"/>
        <v>57292.4</v>
      </c>
      <c r="BM98" s="327">
        <f t="shared" si="169"/>
        <v>50417.312000000005</v>
      </c>
      <c r="BN98" s="327">
        <f t="shared" si="169"/>
        <v>44367.234560000004</v>
      </c>
      <c r="BO98" s="327">
        <f t="shared" si="169"/>
        <v>39043.166412800005</v>
      </c>
      <c r="BP98" s="483">
        <f t="shared" si="169"/>
        <v>39043.166412799997</v>
      </c>
      <c r="BQ98" s="327">
        <f t="shared" ref="BQ98:BU98" si="173">+BQ91+BQ92-BQ94</f>
        <v>34357.986443264002</v>
      </c>
      <c r="BR98" s="327">
        <f t="shared" si="173"/>
        <v>30235.028070072323</v>
      </c>
      <c r="BS98" s="327">
        <f t="shared" si="173"/>
        <v>26606.824701663645</v>
      </c>
      <c r="BT98" s="327">
        <f t="shared" si="173"/>
        <v>23414.005737464009</v>
      </c>
      <c r="BU98" s="483">
        <f t="shared" si="173"/>
        <v>23414.005737464009</v>
      </c>
    </row>
    <row r="99" spans="2:73" s="155" customFormat="1" ht="13.35" customHeight="1">
      <c r="C99" s="310"/>
      <c r="D99" s="331"/>
      <c r="E99" s="331"/>
      <c r="F99" s="331"/>
      <c r="G99" s="331"/>
      <c r="H99" s="331"/>
      <c r="I99" s="331"/>
      <c r="J99" s="331"/>
      <c r="K99" s="331"/>
      <c r="L99" s="331"/>
      <c r="M99" s="490"/>
      <c r="N99" s="331"/>
      <c r="O99" s="331"/>
      <c r="P99" s="331"/>
      <c r="Q99" s="331"/>
      <c r="R99" s="490"/>
      <c r="S99" s="331"/>
      <c r="T99" s="331"/>
      <c r="U99" s="331"/>
      <c r="V99" s="331"/>
      <c r="W99" s="490"/>
      <c r="X99" s="331"/>
      <c r="Y99" s="331"/>
      <c r="Z99" s="331"/>
      <c r="AA99" s="331"/>
      <c r="AB99" s="490"/>
      <c r="AC99" s="331"/>
      <c r="AD99" s="331"/>
      <c r="AE99" s="331"/>
      <c r="AF99" s="331"/>
      <c r="AG99" s="490"/>
      <c r="AH99" s="331"/>
      <c r="AI99" s="331"/>
      <c r="AJ99" s="331"/>
      <c r="AK99" s="324"/>
      <c r="AL99" s="481"/>
      <c r="AM99" s="331"/>
      <c r="AN99" s="324"/>
      <c r="AO99" s="324"/>
      <c r="AP99" s="324"/>
      <c r="AQ99" s="481"/>
      <c r="AR99" s="331"/>
      <c r="AS99" s="324"/>
      <c r="AT99" s="324"/>
      <c r="AU99" s="324"/>
      <c r="AV99" s="481"/>
      <c r="AW99" s="331"/>
      <c r="AX99" s="324"/>
      <c r="AY99" s="324"/>
      <c r="AZ99" s="324"/>
      <c r="BA99" s="481"/>
      <c r="BB99" s="324"/>
      <c r="BC99" s="324"/>
      <c r="BD99" s="324"/>
      <c r="BE99" s="324"/>
      <c r="BF99" s="481"/>
      <c r="BG99" s="324"/>
      <c r="BH99" s="324"/>
      <c r="BI99" s="324"/>
      <c r="BJ99" s="324"/>
      <c r="BK99" s="481"/>
      <c r="BL99" s="324"/>
      <c r="BM99" s="324"/>
      <c r="BN99" s="324"/>
      <c r="BO99" s="324"/>
      <c r="BP99" s="481"/>
      <c r="BQ99" s="324"/>
      <c r="BR99" s="324"/>
      <c r="BS99" s="324"/>
      <c r="BT99" s="324"/>
      <c r="BU99" s="481"/>
    </row>
    <row r="100" spans="2:73" s="155" customFormat="1" ht="13.35" customHeight="1">
      <c r="B100" s="155" t="s">
        <v>104</v>
      </c>
      <c r="C100" s="310"/>
      <c r="D100" s="334"/>
      <c r="E100" s="334"/>
      <c r="F100" s="334"/>
      <c r="G100" s="334">
        <f t="shared" ref="G100:AL100" si="174">+G28</f>
        <v>3536</v>
      </c>
      <c r="H100" s="334">
        <f t="shared" si="174"/>
        <v>3536</v>
      </c>
      <c r="I100" s="334">
        <f t="shared" si="174"/>
        <v>2892</v>
      </c>
      <c r="J100" s="334">
        <f t="shared" si="174"/>
        <v>2990</v>
      </c>
      <c r="K100" s="334">
        <f t="shared" si="174"/>
        <v>2868</v>
      </c>
      <c r="L100" s="334">
        <f t="shared" si="174"/>
        <v>2038</v>
      </c>
      <c r="M100" s="492">
        <f t="shared" si="174"/>
        <v>2038</v>
      </c>
      <c r="N100" s="334">
        <f t="shared" si="174"/>
        <v>1657</v>
      </c>
      <c r="O100" s="334">
        <f t="shared" si="174"/>
        <v>4200</v>
      </c>
      <c r="P100" s="334">
        <f t="shared" si="174"/>
        <v>2675</v>
      </c>
      <c r="Q100" s="334">
        <f t="shared" si="174"/>
        <v>4012</v>
      </c>
      <c r="R100" s="492">
        <f t="shared" si="174"/>
        <v>4012</v>
      </c>
      <c r="S100" s="334">
        <f t="shared" si="174"/>
        <v>3495</v>
      </c>
      <c r="T100" s="334">
        <f t="shared" si="174"/>
        <v>2257</v>
      </c>
      <c r="U100" s="334">
        <f t="shared" si="174"/>
        <v>3567</v>
      </c>
      <c r="V100" s="334">
        <f t="shared" si="174"/>
        <v>2240</v>
      </c>
      <c r="W100" s="492">
        <f t="shared" si="174"/>
        <v>2240</v>
      </c>
      <c r="X100" s="334">
        <f t="shared" si="174"/>
        <v>5669</v>
      </c>
      <c r="Y100" s="334">
        <f t="shared" si="174"/>
        <v>4612</v>
      </c>
      <c r="Z100" s="334">
        <f t="shared" si="174"/>
        <v>2766</v>
      </c>
      <c r="AA100" s="334">
        <f t="shared" si="174"/>
        <v>7048</v>
      </c>
      <c r="AB100" s="492">
        <f t="shared" si="174"/>
        <v>7048</v>
      </c>
      <c r="AC100" s="334">
        <f t="shared" si="174"/>
        <v>6297</v>
      </c>
      <c r="AD100" s="334">
        <f t="shared" si="174"/>
        <v>12975</v>
      </c>
      <c r="AE100" s="334">
        <f t="shared" si="174"/>
        <v>6549</v>
      </c>
      <c r="AF100" s="334">
        <f t="shared" si="174"/>
        <v>6836</v>
      </c>
      <c r="AG100" s="492">
        <f t="shared" si="174"/>
        <v>6836</v>
      </c>
      <c r="AH100" s="334">
        <f t="shared" si="174"/>
        <v>10062</v>
      </c>
      <c r="AI100" s="334">
        <f t="shared" si="174"/>
        <v>7078</v>
      </c>
      <c r="AJ100" s="334">
        <f t="shared" si="174"/>
        <v>9033</v>
      </c>
      <c r="AK100" s="334">
        <f t="shared" si="174"/>
        <v>3860</v>
      </c>
      <c r="AL100" s="492">
        <f t="shared" si="174"/>
        <v>3860</v>
      </c>
      <c r="AM100" s="334">
        <f t="shared" ref="AM100:BP100" si="175">+AM28</f>
        <v>4296</v>
      </c>
      <c r="AN100" s="334">
        <f t="shared" si="175"/>
        <v>46793</v>
      </c>
      <c r="AO100" s="334">
        <f t="shared" si="175"/>
        <v>52318</v>
      </c>
      <c r="AP100" s="334">
        <f t="shared" si="175"/>
        <v>3521</v>
      </c>
      <c r="AQ100" s="483">
        <f t="shared" si="175"/>
        <v>3521</v>
      </c>
      <c r="AR100" s="334">
        <f t="shared" si="175"/>
        <v>12163</v>
      </c>
      <c r="AS100" s="334">
        <f t="shared" si="175"/>
        <v>6832</v>
      </c>
      <c r="AT100" s="334">
        <f t="shared" si="175"/>
        <v>13864</v>
      </c>
      <c r="AU100" s="334">
        <f t="shared" si="175"/>
        <v>10255</v>
      </c>
      <c r="AV100" s="483">
        <f t="shared" si="175"/>
        <v>10255</v>
      </c>
      <c r="AW100" s="334">
        <f t="shared" si="175"/>
        <v>8475</v>
      </c>
      <c r="AX100" s="334">
        <f t="shared" si="175"/>
        <v>8989</v>
      </c>
      <c r="AY100" s="334">
        <f t="shared" si="175"/>
        <v>8951</v>
      </c>
      <c r="AZ100" s="334">
        <f t="shared" si="175"/>
        <v>15812</v>
      </c>
      <c r="BA100" s="483">
        <f t="shared" si="175"/>
        <v>15812</v>
      </c>
      <c r="BB100" s="327">
        <f t="shared" si="175"/>
        <v>11516</v>
      </c>
      <c r="BC100" s="334">
        <f t="shared" si="175"/>
        <v>12820</v>
      </c>
      <c r="BD100" s="334">
        <f t="shared" si="175"/>
        <v>6005</v>
      </c>
      <c r="BE100" s="334">
        <f t="shared" si="175"/>
        <v>18908</v>
      </c>
      <c r="BF100" s="483">
        <f t="shared" si="175"/>
        <v>18908</v>
      </c>
      <c r="BG100" s="327">
        <f t="shared" si="175"/>
        <v>12318</v>
      </c>
      <c r="BH100" s="327">
        <f t="shared" si="175"/>
        <v>15943</v>
      </c>
      <c r="BI100" s="327">
        <f t="shared" ref="BI100" si="176">+BI28</f>
        <v>15571</v>
      </c>
      <c r="BJ100" s="327">
        <f t="shared" si="175"/>
        <v>11041</v>
      </c>
      <c r="BK100" s="483">
        <f t="shared" si="175"/>
        <v>11041</v>
      </c>
      <c r="BL100" s="327">
        <f t="shared" si="175"/>
        <v>12555.274345833332</v>
      </c>
      <c r="BM100" s="327">
        <f t="shared" si="175"/>
        <v>16930.953828444442</v>
      </c>
      <c r="BN100" s="327">
        <f t="shared" si="175"/>
        <v>15597.351055555555</v>
      </c>
      <c r="BO100" s="327">
        <f t="shared" si="175"/>
        <v>14755.651916666668</v>
      </c>
      <c r="BP100" s="483">
        <f t="shared" si="175"/>
        <v>14755.651916666668</v>
      </c>
      <c r="BQ100" s="327">
        <f t="shared" ref="BQ100:BU100" si="177">+BQ28</f>
        <v>12317.347883333334</v>
      </c>
      <c r="BR100" s="327">
        <f t="shared" si="177"/>
        <v>11747.807071333335</v>
      </c>
      <c r="BS100" s="327">
        <f t="shared" si="177"/>
        <v>15851.806368000001</v>
      </c>
      <c r="BT100" s="327">
        <f t="shared" si="177"/>
        <v>14235.822818799999</v>
      </c>
      <c r="BU100" s="483">
        <f t="shared" si="177"/>
        <v>14235.822818799999</v>
      </c>
    </row>
    <row r="101" spans="2:73" s="155" customFormat="1" ht="13.35" customHeight="1">
      <c r="B101" s="155" t="s">
        <v>235</v>
      </c>
      <c r="C101" s="310"/>
      <c r="D101" s="333"/>
      <c r="E101" s="333"/>
      <c r="F101" s="333"/>
      <c r="G101" s="333">
        <f t="shared" ref="G101:AS101" si="178">+G100/G$63</f>
        <v>0.6151704940848991</v>
      </c>
      <c r="H101" s="333">
        <f t="shared" si="178"/>
        <v>0.19420035149384884</v>
      </c>
      <c r="I101" s="333">
        <f t="shared" si="178"/>
        <v>0.46346153846153848</v>
      </c>
      <c r="J101" s="333">
        <f t="shared" si="178"/>
        <v>0.46726050945460229</v>
      </c>
      <c r="K101" s="333">
        <f t="shared" si="178"/>
        <v>0.42959856201318153</v>
      </c>
      <c r="L101" s="333">
        <f t="shared" si="178"/>
        <v>0.24899205864386073</v>
      </c>
      <c r="M101" s="491">
        <f t="shared" si="178"/>
        <v>7.4109090909090902E-2</v>
      </c>
      <c r="N101" s="333">
        <f t="shared" si="178"/>
        <v>0.20383811046869232</v>
      </c>
      <c r="O101" s="333">
        <f t="shared" si="178"/>
        <v>0.48242591316333561</v>
      </c>
      <c r="P101" s="333">
        <f t="shared" si="178"/>
        <v>0.28381962864721483</v>
      </c>
      <c r="Q101" s="333">
        <f t="shared" si="178"/>
        <v>0.36232276709112254</v>
      </c>
      <c r="R101" s="491">
        <f t="shared" si="178"/>
        <v>0.10746524522540379</v>
      </c>
      <c r="S101" s="333">
        <f t="shared" si="178"/>
        <v>0.30069689408930567</v>
      </c>
      <c r="T101" s="333">
        <f t="shared" si="178"/>
        <v>0.18301978592280246</v>
      </c>
      <c r="U101" s="333">
        <f t="shared" si="178"/>
        <v>0.27004315239609356</v>
      </c>
      <c r="V101" s="333">
        <f t="shared" si="178"/>
        <v>0.13980776432405442</v>
      </c>
      <c r="W101" s="491">
        <f t="shared" si="178"/>
        <v>4.2116346406949196E-2</v>
      </c>
      <c r="X101" s="333">
        <f t="shared" si="178"/>
        <v>0.37023249738766978</v>
      </c>
      <c r="Y101" s="333">
        <f t="shared" si="178"/>
        <v>0.28769259559603266</v>
      </c>
      <c r="Z101" s="333">
        <f t="shared" si="178"/>
        <v>0.16834033229870368</v>
      </c>
      <c r="AA101" s="333">
        <f t="shared" si="178"/>
        <v>0.39972776769509982</v>
      </c>
      <c r="AB101" s="491">
        <f t="shared" si="178"/>
        <v>0.10775769807051341</v>
      </c>
      <c r="AC101" s="333">
        <f t="shared" si="178"/>
        <v>0.3490189557698703</v>
      </c>
      <c r="AD101" s="333">
        <f t="shared" si="178"/>
        <v>0.65526993586182514</v>
      </c>
      <c r="AE101" s="333">
        <f t="shared" ref="AE101:AP101" si="179">+AE100/AE$63</f>
        <v>0.30760920620009397</v>
      </c>
      <c r="AF101" s="333">
        <f t="shared" si="179"/>
        <v>0.29600762102710659</v>
      </c>
      <c r="AG101" s="491">
        <f t="shared" si="179"/>
        <v>8.3135709681734712E-2</v>
      </c>
      <c r="AH101" s="333">
        <f t="shared" si="179"/>
        <v>0.40047761194029852</v>
      </c>
      <c r="AI101" s="333">
        <f t="shared" si="179"/>
        <v>0.27460717749757518</v>
      </c>
      <c r="AJ101" s="333">
        <f t="shared" si="179"/>
        <v>0.32892724492025344</v>
      </c>
      <c r="AK101" s="333">
        <f t="shared" si="179"/>
        <v>0.12799681665948204</v>
      </c>
      <c r="AL101" s="491">
        <f t="shared" si="179"/>
        <v>3.5569808052046188E-2</v>
      </c>
      <c r="AM101" s="333">
        <f t="shared" si="179"/>
        <v>0.13427517659561167</v>
      </c>
      <c r="AN101" s="333">
        <f t="shared" si="179"/>
        <v>1.3533375751966683</v>
      </c>
      <c r="AO101" s="333">
        <f t="shared" si="179"/>
        <v>1.4118631260794474</v>
      </c>
      <c r="AP101" s="333">
        <f t="shared" si="179"/>
        <v>8.102262006120993E-2</v>
      </c>
      <c r="AQ101" s="482">
        <f t="shared" si="178"/>
        <v>2.3938864450684307E-2</v>
      </c>
      <c r="AR101" s="333">
        <f t="shared" si="178"/>
        <v>0.27421936647503098</v>
      </c>
      <c r="AS101" s="333">
        <f t="shared" si="178"/>
        <v>0.14643347050754457</v>
      </c>
      <c r="AT101" s="333">
        <f t="shared" ref="AT101:BP101" si="180">+AT100/AT$63</f>
        <v>0.29702630902390953</v>
      </c>
      <c r="AU101" s="333">
        <f t="shared" si="180"/>
        <v>0.21453077277101376</v>
      </c>
      <c r="AV101" s="482">
        <f t="shared" si="180"/>
        <v>5.5286297300648553E-2</v>
      </c>
      <c r="AW101" s="333">
        <f t="shared" si="180"/>
        <v>0.17371430913972985</v>
      </c>
      <c r="AX101" s="333">
        <f t="shared" si="180"/>
        <v>0.1785763950970459</v>
      </c>
      <c r="AY101" s="333">
        <f t="shared" si="180"/>
        <v>0.17714930335655479</v>
      </c>
      <c r="AZ101" s="333">
        <f t="shared" si="180"/>
        <v>0.29832273644888024</v>
      </c>
      <c r="BA101" s="482">
        <f t="shared" si="180"/>
        <v>7.802422836840936E-2</v>
      </c>
      <c r="BB101" s="337">
        <f t="shared" si="180"/>
        <v>0.21323556641854607</v>
      </c>
      <c r="BC101" s="333">
        <f t="shared" si="180"/>
        <v>0.23868925712157885</v>
      </c>
      <c r="BD101" s="333">
        <f t="shared" si="180"/>
        <v>0.10799194331546956</v>
      </c>
      <c r="BE101" s="333">
        <f t="shared" si="180"/>
        <v>0.32399458523963742</v>
      </c>
      <c r="BF101" s="482">
        <f t="shared" si="180"/>
        <v>8.5293732886444942E-2</v>
      </c>
      <c r="BG101" s="337">
        <f t="shared" ref="BG101" si="181">+BG100/BG$63</f>
        <v>0.23332638796810184</v>
      </c>
      <c r="BH101" s="337">
        <f t="shared" si="180"/>
        <v>0.28441201655487369</v>
      </c>
      <c r="BI101" s="337">
        <f t="shared" ref="BI101" si="182">+BI100/BI$63</f>
        <v>0.2679896046675731</v>
      </c>
      <c r="BJ101" s="337">
        <f t="shared" si="180"/>
        <v>0.18173289001547224</v>
      </c>
      <c r="BK101" s="482">
        <f t="shared" si="180"/>
        <v>4.8487962548198114E-2</v>
      </c>
      <c r="BL101" s="337">
        <f t="shared" si="180"/>
        <v>0.23333333333333331</v>
      </c>
      <c r="BM101" s="337">
        <f t="shared" si="180"/>
        <v>0.31111111111111112</v>
      </c>
      <c r="BN101" s="337">
        <f t="shared" si="180"/>
        <v>0.27777777777777779</v>
      </c>
      <c r="BO101" s="337">
        <f t="shared" si="180"/>
        <v>0.25555555555555559</v>
      </c>
      <c r="BP101" s="482">
        <f t="shared" si="180"/>
        <v>6.6431227272178331E-2</v>
      </c>
      <c r="BQ101" s="337">
        <f t="shared" ref="BQ101:BU101" si="183">+BQ100/BQ$63</f>
        <v>0.22222222222222221</v>
      </c>
      <c r="BR101" s="337">
        <f t="shared" si="183"/>
        <v>0.21111111111111114</v>
      </c>
      <c r="BS101" s="337">
        <f t="shared" si="183"/>
        <v>0.27777777777777779</v>
      </c>
      <c r="BT101" s="337">
        <f t="shared" si="183"/>
        <v>0.24444444444444444</v>
      </c>
      <c r="BU101" s="482">
        <f t="shared" si="183"/>
        <v>6.2884761079989332E-2</v>
      </c>
    </row>
    <row r="102" spans="2:73" s="155" customFormat="1" ht="12.75">
      <c r="B102" s="224" t="s">
        <v>126</v>
      </c>
      <c r="D102" s="332"/>
      <c r="E102" s="332"/>
      <c r="F102" s="332"/>
      <c r="G102" s="332"/>
      <c r="H102" s="332"/>
      <c r="I102" s="329"/>
      <c r="J102" s="329"/>
      <c r="K102" s="329"/>
      <c r="L102" s="329">
        <f t="shared" ref="L102:AZ102" si="184">+L100/G100-1</f>
        <v>-0.42364253393665163</v>
      </c>
      <c r="M102" s="489">
        <f t="shared" si="184"/>
        <v>-0.42364253393665163</v>
      </c>
      <c r="N102" s="329">
        <f t="shared" si="184"/>
        <v>-0.42704011065006919</v>
      </c>
      <c r="O102" s="329">
        <f t="shared" si="184"/>
        <v>0.40468227424749159</v>
      </c>
      <c r="P102" s="329">
        <f t="shared" si="184"/>
        <v>-6.7294281729428196E-2</v>
      </c>
      <c r="Q102" s="329">
        <f t="shared" si="184"/>
        <v>0.96859666339548567</v>
      </c>
      <c r="R102" s="489">
        <f t="shared" si="184"/>
        <v>0.96859666339548567</v>
      </c>
      <c r="S102" s="329">
        <f t="shared" si="184"/>
        <v>1.1092335546167775</v>
      </c>
      <c r="T102" s="329">
        <f t="shared" si="184"/>
        <v>-0.4626190476190476</v>
      </c>
      <c r="U102" s="329">
        <f t="shared" si="184"/>
        <v>0.33345794392523365</v>
      </c>
      <c r="V102" s="329">
        <f t="shared" si="184"/>
        <v>-0.44167497507477571</v>
      </c>
      <c r="W102" s="489">
        <f t="shared" si="184"/>
        <v>-0.44167497507477571</v>
      </c>
      <c r="X102" s="329">
        <f t="shared" si="184"/>
        <v>0.62203147353361943</v>
      </c>
      <c r="Y102" s="329">
        <f t="shared" si="184"/>
        <v>1.0434204696499778</v>
      </c>
      <c r="Z102" s="329">
        <f t="shared" si="184"/>
        <v>-0.22455845248107653</v>
      </c>
      <c r="AA102" s="329">
        <f t="shared" si="184"/>
        <v>2.1464285714285714</v>
      </c>
      <c r="AB102" s="489">
        <f t="shared" si="184"/>
        <v>2.1464285714285714</v>
      </c>
      <c r="AC102" s="329">
        <f t="shared" si="184"/>
        <v>0.11077791497618628</v>
      </c>
      <c r="AD102" s="329">
        <f t="shared" si="184"/>
        <v>1.8133130962705986</v>
      </c>
      <c r="AE102" s="329">
        <f t="shared" si="184"/>
        <v>1.3676789587852496</v>
      </c>
      <c r="AF102" s="329">
        <f t="shared" si="184"/>
        <v>-3.0079455164585656E-2</v>
      </c>
      <c r="AG102" s="489">
        <f>+AG100/AB100-1</f>
        <v>-3.0079455164585656E-2</v>
      </c>
      <c r="AH102" s="329">
        <f>+AH100/AC100-1</f>
        <v>0.5979037636969986</v>
      </c>
      <c r="AI102" s="329">
        <f t="shared" si="184"/>
        <v>-0.45448940269749516</v>
      </c>
      <c r="AJ102" s="329">
        <f t="shared" si="184"/>
        <v>0.37929454878607416</v>
      </c>
      <c r="AK102" s="329">
        <f t="shared" si="184"/>
        <v>-0.43534230544177877</v>
      </c>
      <c r="AL102" s="489">
        <f t="shared" si="184"/>
        <v>-0.43534230544177877</v>
      </c>
      <c r="AM102" s="329">
        <f t="shared" si="184"/>
        <v>-0.5730471079308288</v>
      </c>
      <c r="AN102" s="329">
        <f t="shared" si="184"/>
        <v>5.611048318734106</v>
      </c>
      <c r="AO102" s="329">
        <f t="shared" si="184"/>
        <v>4.7918742389018041</v>
      </c>
      <c r="AP102" s="329">
        <f t="shared" si="184"/>
        <v>-8.7823834196891215E-2</v>
      </c>
      <c r="AQ102" s="480">
        <f t="shared" si="184"/>
        <v>-8.7823834196891215E-2</v>
      </c>
      <c r="AR102" s="329">
        <f t="shared" si="184"/>
        <v>1.8312383612662941</v>
      </c>
      <c r="AS102" s="329">
        <f t="shared" si="184"/>
        <v>-0.85399525570063894</v>
      </c>
      <c r="AT102" s="329">
        <f t="shared" si="184"/>
        <v>-0.73500516074773503</v>
      </c>
      <c r="AU102" s="329">
        <f t="shared" si="184"/>
        <v>1.9125248508946324</v>
      </c>
      <c r="AV102" s="480">
        <f>+AV100/AQ100-1</f>
        <v>1.9125248508946324</v>
      </c>
      <c r="AW102" s="329">
        <f t="shared" si="184"/>
        <v>-0.30321466743402126</v>
      </c>
      <c r="AX102" s="329">
        <f t="shared" si="184"/>
        <v>0.31572014051522257</v>
      </c>
      <c r="AY102" s="329">
        <f t="shared" si="184"/>
        <v>-0.35437103289094052</v>
      </c>
      <c r="AZ102" s="329">
        <f t="shared" si="184"/>
        <v>0.54188200877620663</v>
      </c>
      <c r="BA102" s="480">
        <f t="shared" ref="BA102:BP102" si="185">+BA100/AV100-1</f>
        <v>0.54188200877620663</v>
      </c>
      <c r="BB102" s="237">
        <f t="shared" si="185"/>
        <v>0.35882005899705005</v>
      </c>
      <c r="BC102" s="329">
        <f t="shared" si="185"/>
        <v>0.42618756257648238</v>
      </c>
      <c r="BD102" s="329">
        <f t="shared" si="185"/>
        <v>-0.32912523740364208</v>
      </c>
      <c r="BE102" s="329">
        <f t="shared" si="185"/>
        <v>0.19580065772830757</v>
      </c>
      <c r="BF102" s="480">
        <f t="shared" si="185"/>
        <v>0.19580065772830757</v>
      </c>
      <c r="BG102" s="237">
        <f t="shared" si="185"/>
        <v>6.964223688780824E-2</v>
      </c>
      <c r="BH102" s="237">
        <f t="shared" si="185"/>
        <v>0.24360374414976604</v>
      </c>
      <c r="BI102" s="237">
        <f t="shared" si="185"/>
        <v>1.5930058284762696</v>
      </c>
      <c r="BJ102" s="237">
        <f t="shared" si="185"/>
        <v>-0.41606727311191027</v>
      </c>
      <c r="BK102" s="480">
        <f t="shared" si="185"/>
        <v>-0.41606727311191027</v>
      </c>
      <c r="BL102" s="237">
        <f t="shared" si="185"/>
        <v>1.9262408331980119E-2</v>
      </c>
      <c r="BM102" s="237">
        <f t="shared" si="185"/>
        <v>6.1967874831866165E-2</v>
      </c>
      <c r="BN102" s="237">
        <f t="shared" si="185"/>
        <v>1.6923162003439352E-3</v>
      </c>
      <c r="BO102" s="237">
        <f t="shared" si="185"/>
        <v>0.33644161911662596</v>
      </c>
      <c r="BP102" s="480">
        <f t="shared" si="185"/>
        <v>0.33644161911662596</v>
      </c>
      <c r="BQ102" s="237">
        <f t="shared" ref="BQ102" si="186">+BQ100/BL100-1</f>
        <v>-1.8950319678116556E-2</v>
      </c>
      <c r="BR102" s="237">
        <f t="shared" ref="BR102" si="187">+BR100/BM100-1</f>
        <v>-0.3061343625190972</v>
      </c>
      <c r="BS102" s="237">
        <f t="shared" ref="BS102" si="188">+BS100/BN100-1</f>
        <v>1.6314008163188287E-2</v>
      </c>
      <c r="BT102" s="237">
        <f t="shared" ref="BT102" si="189">+BT100/BO100-1</f>
        <v>-3.522915156866202E-2</v>
      </c>
      <c r="BU102" s="480">
        <f t="shared" ref="BU102" si="190">+BU100/BP100-1</f>
        <v>-3.522915156866202E-2</v>
      </c>
    </row>
    <row r="103" spans="2:73" s="155" customFormat="1" ht="12.75">
      <c r="B103" s="224" t="s">
        <v>127</v>
      </c>
      <c r="D103" s="332"/>
      <c r="E103" s="332"/>
      <c r="F103" s="332"/>
      <c r="G103" s="332"/>
      <c r="H103" s="332"/>
      <c r="I103" s="329">
        <f>+I100/G100-1</f>
        <v>-0.1821266968325792</v>
      </c>
      <c r="J103" s="329">
        <f>+J100/I100-1</f>
        <v>3.3886583679114901E-2</v>
      </c>
      <c r="K103" s="329">
        <f>+K100/J100-1</f>
        <v>-4.0802675585284276E-2</v>
      </c>
      <c r="L103" s="329">
        <f>+L100/K100-1</f>
        <v>-0.28940027894002784</v>
      </c>
      <c r="M103" s="495"/>
      <c r="N103" s="329">
        <f>+N100/L100-1</f>
        <v>-0.18694798822374881</v>
      </c>
      <c r="O103" s="329">
        <f>+O100/N100-1</f>
        <v>1.5347012673506337</v>
      </c>
      <c r="P103" s="329">
        <f>+P100/O100-1</f>
        <v>-0.36309523809523814</v>
      </c>
      <c r="Q103" s="329">
        <f>+Q100/P100-1</f>
        <v>0.49981308411214953</v>
      </c>
      <c r="R103" s="495"/>
      <c r="S103" s="329">
        <f>+S100/Q100-1</f>
        <v>-0.12886340977068789</v>
      </c>
      <c r="T103" s="329">
        <f>+T100/S100-1</f>
        <v>-0.35422031473533622</v>
      </c>
      <c r="U103" s="329">
        <f>+U100/T100-1</f>
        <v>0.58041648205582641</v>
      </c>
      <c r="V103" s="329">
        <f>+V100/U100-1</f>
        <v>-0.37202130641996078</v>
      </c>
      <c r="W103" s="489"/>
      <c r="X103" s="329">
        <f>+X100/V100-1</f>
        <v>1.5308035714285713</v>
      </c>
      <c r="Y103" s="329">
        <f>+Y100/X100-1</f>
        <v>-0.18645263714940907</v>
      </c>
      <c r="Z103" s="329">
        <f>+Z100/Y100-1</f>
        <v>-0.40026019080659148</v>
      </c>
      <c r="AA103" s="329">
        <f>+AA100/Z100-1</f>
        <v>1.5480838756326825</v>
      </c>
      <c r="AB103" s="489"/>
      <c r="AC103" s="329">
        <f>+AC100/AA100-1</f>
        <v>-0.10655505107832008</v>
      </c>
      <c r="AD103" s="329">
        <f>+AD100/AC100-1</f>
        <v>1.0605050023820866</v>
      </c>
      <c r="AE103" s="329">
        <f>+AE100/AD100-1</f>
        <v>-0.49526011560693639</v>
      </c>
      <c r="AF103" s="329">
        <f>+AF100/AE100-1</f>
        <v>4.3823484501450682E-2</v>
      </c>
      <c r="AG103" s="489"/>
      <c r="AH103" s="329">
        <f>+AH100/AF100-1</f>
        <v>0.47191339964891754</v>
      </c>
      <c r="AI103" s="329">
        <f>+AI100/AH100-1</f>
        <v>-0.29656131981713374</v>
      </c>
      <c r="AJ103" s="329">
        <f>+AJ100/AI100-1</f>
        <v>0.27620796835264194</v>
      </c>
      <c r="AK103" s="329">
        <f>+AK100/AJ100-1</f>
        <v>-0.57267795859625814</v>
      </c>
      <c r="AL103" s="489"/>
      <c r="AM103" s="329">
        <f>+AM100/AK100-1</f>
        <v>0.11295336787564758</v>
      </c>
      <c r="AN103" s="329">
        <f>+AN100/AL100-1</f>
        <v>11.122538860103626</v>
      </c>
      <c r="AO103" s="329">
        <f>+AO100/AM100-1</f>
        <v>11.178305400372439</v>
      </c>
      <c r="AP103" s="329">
        <f>+AP100/AN100-1</f>
        <v>-0.92475370247686617</v>
      </c>
      <c r="AQ103" s="470"/>
      <c r="AR103" s="329">
        <f>+AR100/AP100-1</f>
        <v>2.4544163589889236</v>
      </c>
      <c r="AS103" s="329">
        <f>+AS100/AQ100-1</f>
        <v>0.94035785288270368</v>
      </c>
      <c r="AT103" s="329">
        <f>+AT100/AR100-1</f>
        <v>0.13985036586368493</v>
      </c>
      <c r="AU103" s="329">
        <f>+AU100/AS100-1</f>
        <v>0.50102459016393452</v>
      </c>
      <c r="AV103" s="470"/>
      <c r="AW103" s="329">
        <f>+AW100/AU100-1</f>
        <v>-0.17357386640663086</v>
      </c>
      <c r="AX103" s="329">
        <f>+AX100/AV100-1</f>
        <v>-0.12345197464651392</v>
      </c>
      <c r="AY103" s="329">
        <f>+AY100/AW100-1</f>
        <v>5.6165191740412901E-2</v>
      </c>
      <c r="AZ103" s="329">
        <f>+AZ100/AX100-1</f>
        <v>0.75903882523083777</v>
      </c>
      <c r="BA103" s="470"/>
      <c r="BB103" s="237">
        <f>+BB100/AZ100-1</f>
        <v>-0.27169238552997721</v>
      </c>
      <c r="BC103" s="329">
        <f>+BC100/BA100-1</f>
        <v>-0.18922337465216288</v>
      </c>
      <c r="BD103" s="329">
        <f>+BD100/BB100-1</f>
        <v>-0.47855158040986456</v>
      </c>
      <c r="BE103" s="329">
        <f>+BE100/BC100-1</f>
        <v>0.47488299531981282</v>
      </c>
      <c r="BF103" s="470"/>
      <c r="BG103" s="237">
        <f>+BG100/BE100-1</f>
        <v>-0.34852972286862705</v>
      </c>
      <c r="BH103" s="237">
        <f>+BH100/BG100-1</f>
        <v>0.29428478649131362</v>
      </c>
      <c r="BI103" s="237">
        <f>+BI100/BH100-1</f>
        <v>-2.3333124255158988E-2</v>
      </c>
      <c r="BJ103" s="237">
        <f>+BJ100/BI100-1</f>
        <v>-0.29092543831481599</v>
      </c>
      <c r="BK103" s="470"/>
      <c r="BL103" s="237">
        <f>+BL100/BJ100-1</f>
        <v>0.13715010830842611</v>
      </c>
      <c r="BM103" s="237">
        <f>+BM100/BL100-1</f>
        <v>0.3485132512507183</v>
      </c>
      <c r="BN103" s="237">
        <f>+BN100/BM100-1</f>
        <v>-7.8767137776278195E-2</v>
      </c>
      <c r="BO103" s="237">
        <f>+BO100/BN100-1</f>
        <v>-5.3964236355960371E-2</v>
      </c>
      <c r="BP103" s="470"/>
      <c r="BQ103" s="237">
        <f>+BQ100/BO100-1</f>
        <v>-0.16524542914835527</v>
      </c>
      <c r="BR103" s="237">
        <f>+BR100/BQ100-1</f>
        <v>-4.6238915827866434E-2</v>
      </c>
      <c r="BS103" s="237">
        <f>+BS100/BR100-1</f>
        <v>0.34934173431236615</v>
      </c>
      <c r="BT103" s="237">
        <f>+BT100/BS100-1</f>
        <v>-0.10194317995595659</v>
      </c>
      <c r="BU103" s="470"/>
    </row>
    <row r="104" spans="2:73" s="155" customFormat="1" ht="12.75">
      <c r="B104" s="155" t="s">
        <v>190</v>
      </c>
      <c r="C104" s="327"/>
      <c r="D104" s="334"/>
      <c r="E104" s="334"/>
      <c r="F104" s="334"/>
      <c r="G104" s="334">
        <f t="shared" ref="G104:AD104" si="191">+G58</f>
        <v>55.365344467640917</v>
      </c>
      <c r="H104" s="334">
        <f t="shared" si="191"/>
        <v>17.478031634446396</v>
      </c>
      <c r="I104" s="334">
        <f t="shared" si="191"/>
        <v>41.71153846153846</v>
      </c>
      <c r="J104" s="334">
        <f t="shared" si="191"/>
        <v>42.053445850914208</v>
      </c>
      <c r="K104" s="334">
        <f t="shared" si="191"/>
        <v>38.663870581186337</v>
      </c>
      <c r="L104" s="334">
        <f t="shared" si="191"/>
        <v>22.409285277947465</v>
      </c>
      <c r="M104" s="492">
        <f t="shared" si="191"/>
        <v>36.484363636363639</v>
      </c>
      <c r="N104" s="334">
        <f t="shared" si="191"/>
        <v>18.34542994218231</v>
      </c>
      <c r="O104" s="334">
        <f t="shared" si="191"/>
        <v>43.418332184700205</v>
      </c>
      <c r="P104" s="334">
        <f t="shared" si="191"/>
        <v>25.543766578249336</v>
      </c>
      <c r="Q104" s="334">
        <f t="shared" si="191"/>
        <v>32.609049038201029</v>
      </c>
      <c r="R104" s="492">
        <f t="shared" si="191"/>
        <v>29.169903302708057</v>
      </c>
      <c r="S104" s="334">
        <f t="shared" si="191"/>
        <v>27.062720468037512</v>
      </c>
      <c r="T104" s="334">
        <f t="shared" si="191"/>
        <v>16.471780733052221</v>
      </c>
      <c r="U104" s="334">
        <f t="shared" si="191"/>
        <v>24.303883715648421</v>
      </c>
      <c r="V104" s="334">
        <f t="shared" si="191"/>
        <v>12.582698789164898</v>
      </c>
      <c r="W104" s="492">
        <f t="shared" si="191"/>
        <v>21.158951603805512</v>
      </c>
      <c r="X104" s="334">
        <f t="shared" si="191"/>
        <v>33.320924764890279</v>
      </c>
      <c r="Y104" s="334">
        <f t="shared" si="191"/>
        <v>25.892333603642939</v>
      </c>
      <c r="Z104" s="334">
        <f t="shared" si="191"/>
        <v>15.150629906883331</v>
      </c>
      <c r="AA104" s="334">
        <f t="shared" si="191"/>
        <v>35.975499092558984</v>
      </c>
      <c r="AB104" s="492">
        <f t="shared" si="191"/>
        <v>25.560957710301807</v>
      </c>
      <c r="AC104" s="334">
        <f t="shared" si="191"/>
        <v>31.411706019288328</v>
      </c>
      <c r="AD104" s="334">
        <f t="shared" si="191"/>
        <v>58.974294227564265</v>
      </c>
      <c r="AE104" s="334">
        <f t="shared" ref="AE104:BD104" si="192">+AE58</f>
        <v>27.684828558008459</v>
      </c>
      <c r="AF104" s="334">
        <f t="shared" si="192"/>
        <v>26.640685892439592</v>
      </c>
      <c r="AG104" s="492">
        <f t="shared" si="192"/>
        <v>30.392936626655477</v>
      </c>
      <c r="AH104" s="334">
        <f t="shared" si="192"/>
        <v>36.04298507462687</v>
      </c>
      <c r="AI104" s="334">
        <f t="shared" si="192"/>
        <v>24.714645974781767</v>
      </c>
      <c r="AJ104" s="334">
        <f t="shared" si="192"/>
        <v>29.603452042822809</v>
      </c>
      <c r="AK104" s="334">
        <f t="shared" si="192"/>
        <v>11.519713499353383</v>
      </c>
      <c r="AL104" s="492">
        <f t="shared" si="192"/>
        <v>17.741409338456862</v>
      </c>
      <c r="AM104" s="334">
        <f t="shared" si="192"/>
        <v>12.08476589360505</v>
      </c>
      <c r="AN104" s="334">
        <f t="shared" si="192"/>
        <v>121.80038176770015</v>
      </c>
      <c r="AO104" s="334">
        <f t="shared" si="192"/>
        <v>127.06768134715027</v>
      </c>
      <c r="AP104" s="334">
        <f t="shared" si="192"/>
        <v>7.2920358055088936</v>
      </c>
      <c r="AQ104" s="483">
        <f t="shared" si="192"/>
        <v>9.0328589979807319</v>
      </c>
      <c r="AR104" s="334">
        <f t="shared" si="192"/>
        <v>24.679742982752789</v>
      </c>
      <c r="AS104" s="334">
        <f t="shared" si="192"/>
        <v>13.179012345679011</v>
      </c>
      <c r="AT104" s="334">
        <f t="shared" si="192"/>
        <v>26.732367812151857</v>
      </c>
      <c r="AU104" s="334">
        <f t="shared" si="192"/>
        <v>19.307769549391239</v>
      </c>
      <c r="AV104" s="483">
        <f t="shared" si="192"/>
        <v>13.368339901557505</v>
      </c>
      <c r="AW104" s="334">
        <f t="shared" si="192"/>
        <v>15.634287822575686</v>
      </c>
      <c r="AX104" s="334">
        <f t="shared" si="192"/>
        <v>16.071875558734131</v>
      </c>
      <c r="AY104" s="334">
        <f t="shared" si="192"/>
        <v>15.943437302089931</v>
      </c>
      <c r="AZ104" s="334">
        <f t="shared" si="192"/>
        <v>26.849046280399222</v>
      </c>
      <c r="BA104" s="483">
        <f t="shared" si="192"/>
        <v>23.152944659643236</v>
      </c>
      <c r="BB104" s="334">
        <f t="shared" si="192"/>
        <v>19.191200977669148</v>
      </c>
      <c r="BC104" s="334">
        <f t="shared" si="192"/>
        <v>21.482033140942097</v>
      </c>
      <c r="BD104" s="334">
        <f t="shared" si="192"/>
        <v>9.7192748983922606</v>
      </c>
      <c r="BE104" s="334">
        <f t="shared" ref="BE104" si="193">+BE58</f>
        <v>29.159512671567366</v>
      </c>
      <c r="BF104" s="483">
        <f>+BF58</f>
        <v>28.191861278142916</v>
      </c>
      <c r="BG104" s="334">
        <f t="shared" ref="BG104:BH104" si="194">+BG58</f>
        <v>20.999374917129167</v>
      </c>
      <c r="BH104" s="334">
        <f t="shared" si="194"/>
        <v>25.597081489938631</v>
      </c>
      <c r="BI104" s="334">
        <f t="shared" ref="BI104:BJ104" si="195">+BI58</f>
        <v>24.119064420081578</v>
      </c>
      <c r="BJ104" s="334">
        <f t="shared" si="195"/>
        <v>16.355960101392501</v>
      </c>
      <c r="BK104" s="483">
        <f>+BK58</f>
        <v>23.674474980896417</v>
      </c>
      <c r="BL104" s="324">
        <v>21</v>
      </c>
      <c r="BM104" s="324">
        <v>28</v>
      </c>
      <c r="BN104" s="324">
        <v>25</v>
      </c>
      <c r="BO104" s="324">
        <v>23</v>
      </c>
      <c r="BP104" s="483">
        <f>+BP58</f>
        <v>20.904978382710976</v>
      </c>
      <c r="BQ104" s="324">
        <v>20</v>
      </c>
      <c r="BR104" s="324">
        <v>19</v>
      </c>
      <c r="BS104" s="324">
        <v>25</v>
      </c>
      <c r="BT104" s="324">
        <v>22</v>
      </c>
      <c r="BU104" s="483">
        <f>+BU58</f>
        <v>23.051843040921504</v>
      </c>
    </row>
    <row r="105" spans="2:73" s="155" customFormat="1" ht="12.75">
      <c r="C105" s="310"/>
      <c r="D105" s="331"/>
      <c r="E105" s="331"/>
      <c r="F105" s="331"/>
      <c r="G105" s="331"/>
      <c r="H105" s="331"/>
      <c r="I105" s="331"/>
      <c r="J105" s="331"/>
      <c r="K105" s="331"/>
      <c r="L105" s="331"/>
      <c r="M105" s="490"/>
      <c r="N105" s="331"/>
      <c r="O105" s="331"/>
      <c r="P105" s="331"/>
      <c r="Q105" s="331"/>
      <c r="R105" s="490"/>
      <c r="S105" s="331"/>
      <c r="T105" s="331"/>
      <c r="U105" s="331"/>
      <c r="V105" s="331"/>
      <c r="W105" s="490"/>
      <c r="X105" s="331"/>
      <c r="Y105" s="331"/>
      <c r="Z105" s="331"/>
      <c r="AA105" s="331"/>
      <c r="AB105" s="490"/>
      <c r="AC105" s="331"/>
      <c r="AD105" s="331"/>
      <c r="AE105" s="331"/>
      <c r="AF105" s="331"/>
      <c r="AG105" s="490"/>
      <c r="AH105" s="331"/>
      <c r="AI105" s="331"/>
      <c r="AJ105" s="331"/>
      <c r="AK105" s="331"/>
      <c r="AL105" s="490"/>
      <c r="AM105" s="331"/>
      <c r="AN105" s="324"/>
      <c r="AO105" s="324"/>
      <c r="AP105" s="324"/>
      <c r="AQ105" s="481"/>
      <c r="AR105" s="331"/>
      <c r="AS105" s="324"/>
      <c r="AT105" s="324"/>
      <c r="AU105" s="324"/>
      <c r="AV105" s="481"/>
      <c r="AW105" s="331"/>
      <c r="AX105" s="324"/>
      <c r="AY105" s="324"/>
      <c r="AZ105" s="324"/>
      <c r="BA105" s="481"/>
      <c r="BB105" s="324"/>
      <c r="BC105" s="324"/>
      <c r="BD105" s="324"/>
      <c r="BE105" s="324"/>
      <c r="BF105" s="481"/>
      <c r="BG105" s="324"/>
      <c r="BH105" s="324"/>
      <c r="BI105" s="324"/>
      <c r="BJ105" s="324"/>
      <c r="BK105" s="481"/>
      <c r="BL105" s="324"/>
      <c r="BM105" s="324"/>
      <c r="BN105" s="324"/>
      <c r="BO105" s="324"/>
      <c r="BP105" s="481"/>
      <c r="BQ105" s="324"/>
      <c r="BR105" s="324"/>
      <c r="BS105" s="324"/>
      <c r="BT105" s="324"/>
      <c r="BU105" s="481"/>
    </row>
    <row r="106" spans="2:73" s="155" customFormat="1" ht="12.75">
      <c r="B106" s="224" t="s">
        <v>167</v>
      </c>
      <c r="D106" s="332"/>
      <c r="E106" s="332"/>
      <c r="F106" s="332"/>
      <c r="G106" s="328">
        <f t="shared" ref="G106:AL106" si="196">+G29</f>
        <v>11907</v>
      </c>
      <c r="H106" s="328">
        <f t="shared" si="196"/>
        <v>11907</v>
      </c>
      <c r="I106" s="328">
        <f t="shared" si="196"/>
        <v>7956</v>
      </c>
      <c r="J106" s="328">
        <f t="shared" si="196"/>
        <v>12765</v>
      </c>
      <c r="K106" s="328">
        <f t="shared" si="196"/>
        <v>15725</v>
      </c>
      <c r="L106" s="328">
        <f t="shared" si="196"/>
        <v>24707</v>
      </c>
      <c r="M106" s="488">
        <f t="shared" si="196"/>
        <v>24707</v>
      </c>
      <c r="N106" s="328">
        <f t="shared" si="196"/>
        <v>14424</v>
      </c>
      <c r="O106" s="328">
        <f t="shared" si="196"/>
        <v>19798</v>
      </c>
      <c r="P106" s="328">
        <f t="shared" si="196"/>
        <v>22226</v>
      </c>
      <c r="Q106" s="328">
        <f t="shared" si="196"/>
        <v>23499</v>
      </c>
      <c r="R106" s="488">
        <f t="shared" si="196"/>
        <v>23499</v>
      </c>
      <c r="S106" s="328">
        <f t="shared" si="196"/>
        <v>16346</v>
      </c>
      <c r="T106" s="328">
        <f t="shared" si="196"/>
        <v>20667</v>
      </c>
      <c r="U106" s="328">
        <f t="shared" si="196"/>
        <v>23737</v>
      </c>
      <c r="V106" s="328">
        <f t="shared" si="196"/>
        <v>29728</v>
      </c>
      <c r="W106" s="488">
        <f t="shared" si="196"/>
        <v>29728</v>
      </c>
      <c r="X106" s="328">
        <f t="shared" si="196"/>
        <v>18372</v>
      </c>
      <c r="Y106" s="328">
        <f t="shared" si="196"/>
        <v>21832</v>
      </c>
      <c r="Z106" s="328">
        <f t="shared" si="196"/>
        <v>27392</v>
      </c>
      <c r="AA106" s="328">
        <f t="shared" si="196"/>
        <v>37376</v>
      </c>
      <c r="AB106" s="488">
        <f t="shared" si="196"/>
        <v>37376</v>
      </c>
      <c r="AC106" s="328">
        <f t="shared" si="196"/>
        <v>25062</v>
      </c>
      <c r="AD106" s="328">
        <f t="shared" si="196"/>
        <v>33069</v>
      </c>
      <c r="AE106" s="328">
        <f t="shared" si="196"/>
        <v>33174</v>
      </c>
      <c r="AF106" s="328">
        <f t="shared" si="196"/>
        <v>41021</v>
      </c>
      <c r="AG106" s="488">
        <f t="shared" si="196"/>
        <v>41021</v>
      </c>
      <c r="AH106" s="328">
        <f t="shared" si="196"/>
        <v>26486</v>
      </c>
      <c r="AI106" s="328">
        <f t="shared" si="196"/>
        <v>36165</v>
      </c>
      <c r="AJ106" s="328">
        <f t="shared" si="196"/>
        <v>48035</v>
      </c>
      <c r="AK106" s="328">
        <f t="shared" si="196"/>
        <v>61677</v>
      </c>
      <c r="AL106" s="488">
        <f t="shared" si="196"/>
        <v>61677</v>
      </c>
      <c r="AM106" s="328">
        <f t="shared" ref="AM106:BP106" si="197">+AM29</f>
        <v>47806</v>
      </c>
      <c r="AN106" s="328">
        <f t="shared" si="197"/>
        <v>55633</v>
      </c>
      <c r="AO106" s="328">
        <f t="shared" si="197"/>
        <v>57975</v>
      </c>
      <c r="AP106" s="328">
        <f t="shared" si="197"/>
        <v>82620</v>
      </c>
      <c r="AQ106" s="472">
        <f t="shared" si="197"/>
        <v>82620</v>
      </c>
      <c r="AR106" s="328">
        <f t="shared" si="197"/>
        <v>56502</v>
      </c>
      <c r="AS106" s="328">
        <f t="shared" si="197"/>
        <v>66348</v>
      </c>
      <c r="AT106" s="328">
        <f t="shared" si="197"/>
        <v>64427</v>
      </c>
      <c r="AU106" s="328">
        <f t="shared" si="197"/>
        <v>80306</v>
      </c>
      <c r="AV106" s="472">
        <f t="shared" si="197"/>
        <v>80306</v>
      </c>
      <c r="AW106" s="328">
        <f t="shared" si="197"/>
        <v>57545</v>
      </c>
      <c r="AX106" s="328">
        <f t="shared" si="197"/>
        <v>69456</v>
      </c>
      <c r="AY106" s="328">
        <f t="shared" si="197"/>
        <v>63388</v>
      </c>
      <c r="AZ106" s="328">
        <f t="shared" si="197"/>
        <v>84489</v>
      </c>
      <c r="BA106" s="472">
        <f t="shared" si="197"/>
        <v>84489</v>
      </c>
      <c r="BB106" s="167">
        <f t="shared" si="197"/>
        <v>60605</v>
      </c>
      <c r="BC106" s="328">
        <f t="shared" si="197"/>
        <v>67242</v>
      </c>
      <c r="BD106" s="328">
        <f t="shared" si="197"/>
        <v>82319</v>
      </c>
      <c r="BE106" s="328">
        <f t="shared" si="197"/>
        <v>88802</v>
      </c>
      <c r="BF106" s="472">
        <f t="shared" si="197"/>
        <v>88802</v>
      </c>
      <c r="BG106" s="167">
        <f t="shared" si="197"/>
        <v>69458</v>
      </c>
      <c r="BH106" s="167">
        <f t="shared" si="197"/>
        <v>78125</v>
      </c>
      <c r="BI106" s="167">
        <f t="shared" ref="BI106" si="198">+BI29</f>
        <v>80539</v>
      </c>
      <c r="BJ106" s="167">
        <f t="shared" si="197"/>
        <v>96998</v>
      </c>
      <c r="BK106" s="472">
        <f t="shared" si="197"/>
        <v>96998</v>
      </c>
      <c r="BL106" s="167">
        <f t="shared" si="197"/>
        <v>69466.637391249998</v>
      </c>
      <c r="BM106" s="167">
        <f t="shared" si="197"/>
        <v>72272.402608000004</v>
      </c>
      <c r="BN106" s="167">
        <f t="shared" si="197"/>
        <v>80439.914704950002</v>
      </c>
      <c r="BO106" s="167">
        <f t="shared" si="197"/>
        <v>89819.117927804997</v>
      </c>
      <c r="BP106" s="472">
        <f t="shared" si="197"/>
        <v>89819.117927804997</v>
      </c>
      <c r="BQ106" s="167">
        <f t="shared" ref="BQ106:BU106" si="199">+BQ29</f>
        <v>67707.838374754152</v>
      </c>
      <c r="BR106" s="167">
        <f t="shared" si="199"/>
        <v>73550.732224553431</v>
      </c>
      <c r="BS106" s="167">
        <f t="shared" si="199"/>
        <v>82832.797341016631</v>
      </c>
      <c r="BT106" s="167">
        <f t="shared" si="199"/>
        <v>103780.00477703112</v>
      </c>
      <c r="BU106" s="472">
        <f t="shared" si="199"/>
        <v>103780.00477703112</v>
      </c>
    </row>
    <row r="107" spans="2:73" s="155" customFormat="1" ht="12.75">
      <c r="B107" s="224" t="s">
        <v>217</v>
      </c>
      <c r="D107" s="332"/>
      <c r="E107" s="332"/>
      <c r="F107" s="332"/>
      <c r="G107" s="333">
        <f t="shared" ref="G107:AD107" si="200">+G106/(G$63+G$64)</f>
        <v>0.3968074116039591</v>
      </c>
      <c r="H107" s="333">
        <f t="shared" si="200"/>
        <v>0.11502791892884054</v>
      </c>
      <c r="I107" s="333">
        <f t="shared" si="200"/>
        <v>0.27102708226877875</v>
      </c>
      <c r="J107" s="333">
        <f t="shared" si="200"/>
        <v>0.38804109922178986</v>
      </c>
      <c r="K107" s="333">
        <f t="shared" si="200"/>
        <v>0.4360303904170364</v>
      </c>
      <c r="L107" s="333">
        <f t="shared" si="200"/>
        <v>0.54934963868816011</v>
      </c>
      <c r="M107" s="491">
        <f t="shared" si="200"/>
        <v>0.17242654756089051</v>
      </c>
      <c r="N107" s="333">
        <f t="shared" si="200"/>
        <v>0.32550267415882472</v>
      </c>
      <c r="O107" s="333">
        <f t="shared" si="200"/>
        <v>0.42737182946573127</v>
      </c>
      <c r="P107" s="333">
        <f t="shared" si="200"/>
        <v>0.48744434940895237</v>
      </c>
      <c r="Q107" s="333">
        <f t="shared" si="200"/>
        <v>0.46535437748777153</v>
      </c>
      <c r="R107" s="491">
        <f t="shared" si="200"/>
        <v>0.12584345479082321</v>
      </c>
      <c r="S107" s="333">
        <f t="shared" si="200"/>
        <v>0.32082433758586848</v>
      </c>
      <c r="T107" s="333">
        <f t="shared" si="200"/>
        <v>0.38553520128343843</v>
      </c>
      <c r="U107" s="333">
        <f t="shared" si="200"/>
        <v>0.41430167207735541</v>
      </c>
      <c r="V107" s="333">
        <f t="shared" si="200"/>
        <v>0.45481388553156987</v>
      </c>
      <c r="W107" s="491">
        <f t="shared" si="200"/>
        <v>0.13083758411710597</v>
      </c>
      <c r="X107" s="333">
        <f t="shared" si="200"/>
        <v>0.28983861044062664</v>
      </c>
      <c r="Y107" s="333">
        <f t="shared" si="200"/>
        <v>0.33883258578678627</v>
      </c>
      <c r="Z107" s="333">
        <f t="shared" si="200"/>
        <v>0.42020648288769236</v>
      </c>
      <c r="AA107" s="333">
        <f t="shared" si="200"/>
        <v>0.52299727139159025</v>
      </c>
      <c r="AB107" s="491">
        <f t="shared" si="200"/>
        <v>0.14132308902265647</v>
      </c>
      <c r="AC107" s="333">
        <f t="shared" si="200"/>
        <v>0.34516857646540328</v>
      </c>
      <c r="AD107" s="333">
        <f t="shared" si="200"/>
        <v>0.42148128321798645</v>
      </c>
      <c r="AE107" s="333">
        <f t="shared" ref="AE107:BE107" si="201">+AE106/(AE$63+AE$64)</f>
        <v>0.40155907665863727</v>
      </c>
      <c r="AF107" s="333">
        <f t="shared" si="201"/>
        <v>0.45145989016431332</v>
      </c>
      <c r="AG107" s="491">
        <f t="shared" si="201"/>
        <v>0.12639619403284003</v>
      </c>
      <c r="AH107" s="333">
        <f t="shared" si="201"/>
        <v>0.26951451568589541</v>
      </c>
      <c r="AI107" s="333">
        <f t="shared" si="201"/>
        <v>0.38210402865384008</v>
      </c>
      <c r="AJ107" s="333">
        <f t="shared" si="201"/>
        <v>0.46803597353626097</v>
      </c>
      <c r="AK107" s="333">
        <f t="shared" si="201"/>
        <v>0.54148705477467673</v>
      </c>
      <c r="AL107" s="491">
        <f t="shared" si="201"/>
        <v>0.15063230546044246</v>
      </c>
      <c r="AM107" s="333">
        <f t="shared" si="201"/>
        <v>0.41374356311393828</v>
      </c>
      <c r="AN107" s="333">
        <f t="shared" si="201"/>
        <v>0.46225623384932407</v>
      </c>
      <c r="AO107" s="333">
        <f t="shared" si="201"/>
        <v>0.43213005269787791</v>
      </c>
      <c r="AP107" s="333">
        <f t="shared" si="201"/>
        <v>0.52374673529933824</v>
      </c>
      <c r="AQ107" s="482">
        <f t="shared" si="201"/>
        <v>0.15653508397987892</v>
      </c>
      <c r="AR107" s="333">
        <f t="shared" si="201"/>
        <v>0.34663165708606591</v>
      </c>
      <c r="AS107" s="333">
        <f t="shared" si="201"/>
        <v>0.40463005879052522</v>
      </c>
      <c r="AT107" s="333">
        <f t="shared" si="201"/>
        <v>0.39593537404514478</v>
      </c>
      <c r="AU107" s="333">
        <f t="shared" si="201"/>
        <v>0.48669713094386735</v>
      </c>
      <c r="AV107" s="482">
        <f t="shared" si="201"/>
        <v>0.12266113536317508</v>
      </c>
      <c r="AW107" s="333">
        <f t="shared" si="201"/>
        <v>0.33421225338451976</v>
      </c>
      <c r="AX107" s="333">
        <f t="shared" si="201"/>
        <v>0.39137858169216466</v>
      </c>
      <c r="AY107" s="333">
        <f t="shared" si="201"/>
        <v>0.39111495033010429</v>
      </c>
      <c r="AZ107" s="333">
        <f t="shared" si="201"/>
        <v>0.51590034804909324</v>
      </c>
      <c r="BA107" s="482">
        <f t="shared" si="201"/>
        <v>0.12507883212975546</v>
      </c>
      <c r="BB107" s="333">
        <f t="shared" si="201"/>
        <v>0.36771308610814485</v>
      </c>
      <c r="BC107" s="333">
        <f t="shared" si="201"/>
        <v>0.39855377411611298</v>
      </c>
      <c r="BD107" s="333">
        <f t="shared" si="201"/>
        <v>0.48223805227823929</v>
      </c>
      <c r="BE107" s="333">
        <f t="shared" si="201"/>
        <v>0.50379540013388857</v>
      </c>
      <c r="BF107" s="482">
        <f>+BF106/(BF$63+BF$64)</f>
        <v>0.13049541586394689</v>
      </c>
      <c r="BG107" s="333">
        <f t="shared" ref="BG107:BH107" si="202">+BG106/(BG$63+BG$64)</f>
        <v>0.39043282743114111</v>
      </c>
      <c r="BH107" s="333">
        <f t="shared" si="202"/>
        <v>0.43928701959571537</v>
      </c>
      <c r="BI107" s="333">
        <f t="shared" ref="BI107:BJ107" si="203">+BI106/(BI$63+BI$64)</f>
        <v>0.44483413788151599</v>
      </c>
      <c r="BJ107" s="333">
        <f t="shared" si="203"/>
        <v>0.51797739008773758</v>
      </c>
      <c r="BK107" s="482">
        <f>+BK106/(BK$63+BK$64)</f>
        <v>0.13396366609489244</v>
      </c>
      <c r="BL107" s="234">
        <v>0.37</v>
      </c>
      <c r="BM107" s="234">
        <v>0.4</v>
      </c>
      <c r="BN107" s="234">
        <v>0.45</v>
      </c>
      <c r="BO107" s="234">
        <v>0.5</v>
      </c>
      <c r="BP107" s="482">
        <f>+BP106/(BP$63+BP$64)</f>
        <v>0.12357782743960978</v>
      </c>
      <c r="BQ107" s="234">
        <v>0.37</v>
      </c>
      <c r="BR107" s="234">
        <v>0.4</v>
      </c>
      <c r="BS107" s="234">
        <v>0.45</v>
      </c>
      <c r="BT107" s="234">
        <v>0.56000000000000005</v>
      </c>
      <c r="BU107" s="482">
        <f>+BU106/(BU$63+BU$64)</f>
        <v>0.14095463087992668</v>
      </c>
    </row>
    <row r="108" spans="2:73" s="155" customFormat="1" ht="12.75">
      <c r="B108" s="224" t="s">
        <v>126</v>
      </c>
      <c r="D108" s="332"/>
      <c r="E108" s="332"/>
      <c r="F108" s="332"/>
      <c r="G108" s="332"/>
      <c r="H108" s="332"/>
      <c r="I108" s="329"/>
      <c r="J108" s="329"/>
      <c r="K108" s="329"/>
      <c r="L108" s="329">
        <f t="shared" ref="L108:AZ108" si="204">+L106/G106-1</f>
        <v>1.0749979003947256</v>
      </c>
      <c r="M108" s="489">
        <f t="shared" si="204"/>
        <v>1.0749979003947256</v>
      </c>
      <c r="N108" s="329">
        <f t="shared" si="204"/>
        <v>0.81297134238310709</v>
      </c>
      <c r="O108" s="329">
        <f t="shared" si="204"/>
        <v>0.55095965530748137</v>
      </c>
      <c r="P108" s="329">
        <f t="shared" si="204"/>
        <v>0.41341812400635924</v>
      </c>
      <c r="Q108" s="329">
        <f t="shared" si="204"/>
        <v>-4.8893026267859296E-2</v>
      </c>
      <c r="R108" s="489">
        <f t="shared" si="204"/>
        <v>-4.8893026267859296E-2</v>
      </c>
      <c r="S108" s="329">
        <f t="shared" si="204"/>
        <v>0.13325013865779267</v>
      </c>
      <c r="T108" s="329">
        <f t="shared" si="204"/>
        <v>4.389332255783418E-2</v>
      </c>
      <c r="U108" s="329">
        <f t="shared" si="204"/>
        <v>6.7983442814721462E-2</v>
      </c>
      <c r="V108" s="329">
        <f t="shared" si="204"/>
        <v>0.26507510957913105</v>
      </c>
      <c r="W108" s="489">
        <f t="shared" si="204"/>
        <v>0.26507510957913105</v>
      </c>
      <c r="X108" s="329">
        <f t="shared" si="204"/>
        <v>0.12394469595007962</v>
      </c>
      <c r="Y108" s="329">
        <f t="shared" si="204"/>
        <v>5.6370058547442703E-2</v>
      </c>
      <c r="Z108" s="329">
        <f t="shared" si="204"/>
        <v>0.15397902009521003</v>
      </c>
      <c r="AA108" s="329">
        <f t="shared" si="204"/>
        <v>0.25726587728740591</v>
      </c>
      <c r="AB108" s="489">
        <f t="shared" si="204"/>
        <v>0.25726587728740591</v>
      </c>
      <c r="AC108" s="329">
        <f t="shared" si="204"/>
        <v>0.36414108425865455</v>
      </c>
      <c r="AD108" s="329">
        <f t="shared" si="204"/>
        <v>0.51470318798094539</v>
      </c>
      <c r="AE108" s="329">
        <f t="shared" si="204"/>
        <v>0.21108352803738328</v>
      </c>
      <c r="AF108" s="329">
        <f t="shared" si="204"/>
        <v>9.7522474315068441E-2</v>
      </c>
      <c r="AG108" s="489">
        <f>+AG106/AB106-1</f>
        <v>9.7522474315068441E-2</v>
      </c>
      <c r="AH108" s="329">
        <f>+AH106/AC106-1</f>
        <v>5.6819088660122974E-2</v>
      </c>
      <c r="AI108" s="329">
        <f t="shared" si="204"/>
        <v>9.3622425836886514E-2</v>
      </c>
      <c r="AJ108" s="329">
        <f t="shared" si="204"/>
        <v>0.44797130282751563</v>
      </c>
      <c r="AK108" s="329">
        <f t="shared" si="204"/>
        <v>0.5035469637502743</v>
      </c>
      <c r="AL108" s="489">
        <f t="shared" si="204"/>
        <v>0.5035469637502743</v>
      </c>
      <c r="AM108" s="329">
        <f t="shared" si="204"/>
        <v>0.804953560371517</v>
      </c>
      <c r="AN108" s="329">
        <f>+AN106/AI106-1</f>
        <v>0.53831052122217615</v>
      </c>
      <c r="AO108" s="329">
        <f>+AO106/AJ106-1</f>
        <v>0.20693244509212039</v>
      </c>
      <c r="AP108" s="329">
        <f>+AP106/AK106-1</f>
        <v>0.33955931708740694</v>
      </c>
      <c r="AQ108" s="480">
        <f t="shared" si="204"/>
        <v>0.33955931708740694</v>
      </c>
      <c r="AR108" s="329">
        <f t="shared" si="204"/>
        <v>0.18190185332385056</v>
      </c>
      <c r="AS108" s="329">
        <f t="shared" si="204"/>
        <v>0.19260151349019461</v>
      </c>
      <c r="AT108" s="329">
        <f t="shared" si="204"/>
        <v>0.11128934885726616</v>
      </c>
      <c r="AU108" s="329">
        <f t="shared" si="204"/>
        <v>-2.8007746308399861E-2</v>
      </c>
      <c r="AV108" s="480">
        <f>+AV106/AQ106-1</f>
        <v>-2.8007746308399861E-2</v>
      </c>
      <c r="AW108" s="329">
        <f t="shared" si="204"/>
        <v>1.8459523556688229E-2</v>
      </c>
      <c r="AX108" s="329">
        <f t="shared" si="204"/>
        <v>4.6843913908482637E-2</v>
      </c>
      <c r="AY108" s="329">
        <f t="shared" si="204"/>
        <v>-1.6126779145389403E-2</v>
      </c>
      <c r="AZ108" s="329">
        <f t="shared" si="204"/>
        <v>5.2088262396334128E-2</v>
      </c>
      <c r="BA108" s="480">
        <f t="shared" ref="BA108:BP108" si="205">+BA106/AV106-1</f>
        <v>5.2088262396334128E-2</v>
      </c>
      <c r="BB108" s="237">
        <f t="shared" si="205"/>
        <v>5.3175775480059029E-2</v>
      </c>
      <c r="BC108" s="329">
        <f t="shared" si="205"/>
        <v>-3.1876295784381448E-2</v>
      </c>
      <c r="BD108" s="329">
        <f t="shared" si="205"/>
        <v>0.29865274184388202</v>
      </c>
      <c r="BE108" s="329">
        <f t="shared" si="205"/>
        <v>5.1048065428635603E-2</v>
      </c>
      <c r="BF108" s="480">
        <f t="shared" si="205"/>
        <v>5.1048065428635603E-2</v>
      </c>
      <c r="BG108" s="237">
        <f t="shared" si="205"/>
        <v>0.14607705634848611</v>
      </c>
      <c r="BH108" s="237">
        <f t="shared" si="205"/>
        <v>0.16184824960590105</v>
      </c>
      <c r="BI108" s="237">
        <f t="shared" si="205"/>
        <v>-2.1623197560708962E-2</v>
      </c>
      <c r="BJ108" s="237">
        <f t="shared" si="205"/>
        <v>9.22952185761583E-2</v>
      </c>
      <c r="BK108" s="480">
        <f t="shared" si="205"/>
        <v>9.22952185761583E-2</v>
      </c>
      <c r="BL108" s="237">
        <f t="shared" si="205"/>
        <v>1.2435416006795208E-4</v>
      </c>
      <c r="BM108" s="237">
        <f t="shared" si="205"/>
        <v>-7.4913246617599905E-2</v>
      </c>
      <c r="BN108" s="237">
        <f t="shared" si="205"/>
        <v>-1.2302771955201575E-3</v>
      </c>
      <c r="BO108" s="237">
        <f t="shared" si="205"/>
        <v>-7.4010619519938592E-2</v>
      </c>
      <c r="BP108" s="480">
        <f t="shared" si="205"/>
        <v>-7.4010619519938592E-2</v>
      </c>
      <c r="BQ108" s="237">
        <f t="shared" ref="BQ108" si="206">+BQ106/BL106-1</f>
        <v>-2.5318614554349805E-2</v>
      </c>
      <c r="BR108" s="237">
        <f t="shared" ref="BR108" si="207">+BR106/BM106-1</f>
        <v>1.7687659056901506E-2</v>
      </c>
      <c r="BS108" s="237">
        <f t="shared" ref="BS108" si="208">+BS106/BN106-1</f>
        <v>2.9747453672018587E-2</v>
      </c>
      <c r="BT108" s="237">
        <f t="shared" ref="BT108" si="209">+BT106/BO106-1</f>
        <v>0.15543335507311085</v>
      </c>
      <c r="BU108" s="480">
        <f t="shared" ref="BU108" si="210">+BU106/BP106-1</f>
        <v>0.15543335507311085</v>
      </c>
    </row>
    <row r="109" spans="2:73" s="155" customFormat="1" ht="12.75">
      <c r="B109" s="224" t="s">
        <v>127</v>
      </c>
      <c r="D109" s="332"/>
      <c r="E109" s="332"/>
      <c r="F109" s="332"/>
      <c r="G109" s="332"/>
      <c r="H109" s="332"/>
      <c r="I109" s="330">
        <f>+I106/G106-1</f>
        <v>-0.33182161753590322</v>
      </c>
      <c r="J109" s="330">
        <f>+J106/I106-1</f>
        <v>0.60444947209653099</v>
      </c>
      <c r="K109" s="330">
        <f>+K106/J106-1</f>
        <v>0.23188405797101441</v>
      </c>
      <c r="L109" s="330">
        <f>+L106/K106-1</f>
        <v>0.57119236883942759</v>
      </c>
      <c r="M109" s="495"/>
      <c r="N109" s="330">
        <f>+N106/L106-1</f>
        <v>-0.41619783866920301</v>
      </c>
      <c r="O109" s="330">
        <f>+O106/N106-1</f>
        <v>0.3725734886300609</v>
      </c>
      <c r="P109" s="330">
        <f>+P106/O106-1</f>
        <v>0.12263865036872401</v>
      </c>
      <c r="Q109" s="330">
        <f>+Q106/P106-1</f>
        <v>5.7275263205255111E-2</v>
      </c>
      <c r="R109" s="495"/>
      <c r="S109" s="330">
        <f>+S106/Q106-1</f>
        <v>-0.30439593174177626</v>
      </c>
      <c r="T109" s="330">
        <f>+T106/S106-1</f>
        <v>0.26434601737428109</v>
      </c>
      <c r="U109" s="330">
        <f>+U106/T106-1</f>
        <v>0.14854599119369039</v>
      </c>
      <c r="V109" s="330">
        <f>+V106/U106-1</f>
        <v>0.25239078232295564</v>
      </c>
      <c r="W109" s="489"/>
      <c r="X109" s="330">
        <f>+X106/V106-1</f>
        <v>-0.38199677072120564</v>
      </c>
      <c r="Y109" s="330">
        <f>+Y106/X106-1</f>
        <v>0.18833006749401271</v>
      </c>
      <c r="Z109" s="330">
        <f>+Z106/Y106-1</f>
        <v>0.2546720410406742</v>
      </c>
      <c r="AA109" s="330">
        <f>+AA106/Z106-1</f>
        <v>0.36448598130841114</v>
      </c>
      <c r="AB109" s="489"/>
      <c r="AC109" s="330">
        <f>+AC106/AA106-1</f>
        <v>-0.32946275684931503</v>
      </c>
      <c r="AD109" s="330">
        <f>+AD106/AC106-1</f>
        <v>0.31948767057696914</v>
      </c>
      <c r="AE109" s="330">
        <f>+AE106/AD106-1</f>
        <v>3.1751791708245491E-3</v>
      </c>
      <c r="AF109" s="330">
        <f>+AF106/AE106-1</f>
        <v>0.23654066437571597</v>
      </c>
      <c r="AG109" s="489"/>
      <c r="AH109" s="330">
        <f>+AH106/AF106-1</f>
        <v>-0.35433070866141736</v>
      </c>
      <c r="AI109" s="330">
        <f>+AI106/AH106-1</f>
        <v>0.36543834478592463</v>
      </c>
      <c r="AJ109" s="330">
        <f>+AJ106/AI106-1</f>
        <v>0.32821789022535608</v>
      </c>
      <c r="AK109" s="330">
        <f>+AK106/AJ106-1</f>
        <v>0.28400124908920588</v>
      </c>
      <c r="AL109" s="489"/>
      <c r="AM109" s="330">
        <f>+AM106/AK106-1</f>
        <v>-0.22489744961655078</v>
      </c>
      <c r="AN109" s="330">
        <f>+AN106/AL106-1</f>
        <v>-9.799439012922162E-2</v>
      </c>
      <c r="AO109" s="330">
        <f>+AO106/AM106-1</f>
        <v>0.2127138852863657</v>
      </c>
      <c r="AP109" s="330">
        <f>+AP106/AN106-1</f>
        <v>0.48508978483993315</v>
      </c>
      <c r="AQ109" s="470"/>
      <c r="AR109" s="330">
        <f>+AR106/AP106-1</f>
        <v>-0.31612200435729843</v>
      </c>
      <c r="AS109" s="330">
        <f>+AS106/AQ106-1</f>
        <v>-0.19694989106753813</v>
      </c>
      <c r="AT109" s="330">
        <f>+AT106/AR106-1</f>
        <v>0.14026052175144232</v>
      </c>
      <c r="AU109" s="330">
        <f>+AU106/AS106-1</f>
        <v>0.21037559534575268</v>
      </c>
      <c r="AV109" s="470"/>
      <c r="AW109" s="330">
        <f>+AW106/AU106-1</f>
        <v>-0.28342838642193613</v>
      </c>
      <c r="AX109" s="330">
        <f>+AX106/AV106-1</f>
        <v>-0.13510821109257087</v>
      </c>
      <c r="AY109" s="330">
        <f>+AY106/AW106-1</f>
        <v>0.1015379268398644</v>
      </c>
      <c r="AZ109" s="330">
        <f>+AZ106/AX106-1</f>
        <v>0.21643918451969602</v>
      </c>
      <c r="BA109" s="470"/>
      <c r="BB109" s="325">
        <f>+BB106/AZ106-1</f>
        <v>-0.28268768715454085</v>
      </c>
      <c r="BC109" s="330">
        <f>+BC106/BA106-1</f>
        <v>-0.20413308241309525</v>
      </c>
      <c r="BD109" s="330">
        <f>+BD106/BB106-1</f>
        <v>0.35828727002722549</v>
      </c>
      <c r="BE109" s="330">
        <f>+BE106/BC106-1</f>
        <v>0.32063293774724122</v>
      </c>
      <c r="BF109" s="470"/>
      <c r="BG109" s="325">
        <f>+BG106/BE106-1</f>
        <v>-0.2178329316907277</v>
      </c>
      <c r="BH109" s="325">
        <f>+BH106/BG106-1</f>
        <v>0.1247804428575543</v>
      </c>
      <c r="BI109" s="325">
        <f>+BI106/BH106-1</f>
        <v>3.0899199999999905E-2</v>
      </c>
      <c r="BJ109" s="325">
        <f>+BJ106/BI106-1</f>
        <v>0.2043606203205901</v>
      </c>
      <c r="BK109" s="470"/>
      <c r="BL109" s="325">
        <f>+BL106/BJ106-1</f>
        <v>-0.28383433275686099</v>
      </c>
      <c r="BM109" s="325">
        <f>+BM106/BL106-1</f>
        <v>4.0390111312677668E-2</v>
      </c>
      <c r="BN109" s="325">
        <f>+BN106/BM106-1</f>
        <v>0.11301010900730613</v>
      </c>
      <c r="BO109" s="325">
        <f>+BO106/BN106-1</f>
        <v>0.11659887081254983</v>
      </c>
      <c r="BP109" s="470"/>
      <c r="BQ109" s="325">
        <f>+BQ106/BO106-1</f>
        <v>-0.24617564793748581</v>
      </c>
      <c r="BR109" s="325">
        <f>+BR106/BQ106-1</f>
        <v>8.6295678462803949E-2</v>
      </c>
      <c r="BS109" s="325">
        <f>+BS106/BR106-1</f>
        <v>0.12619949299926292</v>
      </c>
      <c r="BT109" s="325">
        <f>+BT106/BS106-1</f>
        <v>0.2528854283379609</v>
      </c>
      <c r="BU109" s="470"/>
    </row>
    <row r="110" spans="2:73" s="155" customFormat="1" ht="12.75">
      <c r="C110" s="310"/>
      <c r="D110" s="331"/>
      <c r="E110" s="331"/>
      <c r="F110" s="331"/>
      <c r="G110" s="331"/>
      <c r="H110" s="331"/>
      <c r="I110" s="331"/>
      <c r="J110" s="331"/>
      <c r="K110" s="331"/>
      <c r="L110" s="331"/>
      <c r="M110" s="490"/>
      <c r="N110" s="331"/>
      <c r="O110" s="331"/>
      <c r="P110" s="331"/>
      <c r="Q110" s="331"/>
      <c r="R110" s="490"/>
      <c r="S110" s="331"/>
      <c r="T110" s="331"/>
      <c r="U110" s="331"/>
      <c r="V110" s="331"/>
      <c r="W110" s="490"/>
      <c r="X110" s="331"/>
      <c r="Y110" s="331"/>
      <c r="Z110" s="331"/>
      <c r="AA110" s="331"/>
      <c r="AB110" s="490"/>
      <c r="AC110" s="331"/>
      <c r="AD110" s="331"/>
      <c r="AE110" s="331"/>
      <c r="AF110" s="331"/>
      <c r="AG110" s="490"/>
      <c r="AH110" s="331"/>
      <c r="AI110" s="331"/>
      <c r="AJ110" s="331"/>
      <c r="AK110" s="331"/>
      <c r="AL110" s="490"/>
      <c r="AM110" s="331"/>
      <c r="AN110" s="310"/>
      <c r="AO110" s="310"/>
      <c r="AP110" s="310"/>
      <c r="AQ110" s="481"/>
      <c r="AR110" s="331"/>
      <c r="AS110" s="310"/>
      <c r="AT110" s="310"/>
      <c r="AU110" s="310"/>
      <c r="AV110" s="481"/>
      <c r="AW110" s="331"/>
      <c r="AX110" s="310"/>
      <c r="AY110" s="310"/>
      <c r="AZ110" s="310"/>
      <c r="BA110" s="481"/>
      <c r="BB110" s="310"/>
      <c r="BC110" s="310"/>
      <c r="BD110" s="310"/>
      <c r="BE110" s="310"/>
      <c r="BF110" s="481"/>
      <c r="BG110" s="310"/>
      <c r="BH110" s="310"/>
      <c r="BI110" s="310"/>
      <c r="BJ110" s="310"/>
      <c r="BK110" s="481"/>
      <c r="BL110" s="310"/>
      <c r="BM110" s="310"/>
      <c r="BN110" s="310"/>
      <c r="BO110" s="310"/>
      <c r="BP110" s="481"/>
      <c r="BQ110" s="310"/>
      <c r="BR110" s="310"/>
      <c r="BS110" s="310"/>
      <c r="BT110" s="310"/>
      <c r="BU110" s="481"/>
    </row>
    <row r="111" spans="2:73" s="155" customFormat="1" ht="12.75">
      <c r="B111" s="155" t="s">
        <v>236</v>
      </c>
      <c r="C111" s="310"/>
      <c r="D111" s="328"/>
      <c r="E111" s="328"/>
      <c r="F111" s="328"/>
      <c r="G111" s="328">
        <f t="shared" ref="G111:AL111" si="211">+G32</f>
        <v>58164</v>
      </c>
      <c r="H111" s="328">
        <f t="shared" si="211"/>
        <v>58164</v>
      </c>
      <c r="I111" s="328">
        <f t="shared" si="211"/>
        <v>60539</v>
      </c>
      <c r="J111" s="328">
        <f t="shared" si="211"/>
        <v>66040</v>
      </c>
      <c r="K111" s="328">
        <f t="shared" si="211"/>
        <v>74347</v>
      </c>
      <c r="L111" s="328">
        <f t="shared" si="211"/>
        <v>87917</v>
      </c>
      <c r="M111" s="488">
        <f t="shared" si="211"/>
        <v>87917</v>
      </c>
      <c r="N111" s="328">
        <f t="shared" si="211"/>
        <v>90081</v>
      </c>
      <c r="O111" s="328">
        <f t="shared" si="211"/>
        <v>99360</v>
      </c>
      <c r="P111" s="328">
        <f t="shared" si="211"/>
        <v>104663</v>
      </c>
      <c r="Q111" s="328">
        <f t="shared" si="211"/>
        <v>116903</v>
      </c>
      <c r="R111" s="488">
        <f t="shared" si="211"/>
        <v>116903</v>
      </c>
      <c r="S111" s="328">
        <f t="shared" si="211"/>
        <v>116564</v>
      </c>
      <c r="T111" s="328">
        <f t="shared" si="211"/>
        <v>126085</v>
      </c>
      <c r="U111" s="328">
        <f t="shared" si="211"/>
        <v>133117</v>
      </c>
      <c r="V111" s="328">
        <f t="shared" si="211"/>
        <v>142020</v>
      </c>
      <c r="W111" s="488">
        <f t="shared" si="211"/>
        <v>142020</v>
      </c>
      <c r="X111" s="328">
        <f t="shared" si="211"/>
        <v>140448</v>
      </c>
      <c r="Y111" s="328">
        <f t="shared" si="211"/>
        <v>153634</v>
      </c>
      <c r="Z111" s="328">
        <f t="shared" si="211"/>
        <v>159408</v>
      </c>
      <c r="AA111" s="328">
        <f t="shared" si="211"/>
        <v>189855</v>
      </c>
      <c r="AB111" s="488">
        <f t="shared" si="211"/>
        <v>189855</v>
      </c>
      <c r="AC111" s="328">
        <f t="shared" si="211"/>
        <v>184453</v>
      </c>
      <c r="AD111" s="328">
        <f t="shared" si="211"/>
        <v>199048</v>
      </c>
      <c r="AE111" s="328">
        <f t="shared" si="211"/>
        <v>200314</v>
      </c>
      <c r="AF111" s="328">
        <f t="shared" si="211"/>
        <v>231518</v>
      </c>
      <c r="AG111" s="488">
        <f t="shared" si="211"/>
        <v>231518</v>
      </c>
      <c r="AH111" s="328">
        <f t="shared" si="211"/>
        <v>219432</v>
      </c>
      <c r="AI111" s="328">
        <f t="shared" si="211"/>
        <v>227318</v>
      </c>
      <c r="AJ111" s="328">
        <f t="shared" si="211"/>
        <v>231560</v>
      </c>
      <c r="AK111" s="328">
        <f t="shared" si="211"/>
        <v>278585</v>
      </c>
      <c r="AL111" s="488">
        <f t="shared" si="211"/>
        <v>278585</v>
      </c>
      <c r="AM111" s="328">
        <f t="shared" ref="AM111:BP111" si="212">+AM32</f>
        <v>282245</v>
      </c>
      <c r="AN111" s="167">
        <f t="shared" si="212"/>
        <v>302186</v>
      </c>
      <c r="AO111" s="167">
        <f t="shared" si="212"/>
        <v>316045</v>
      </c>
      <c r="AP111" s="167">
        <f t="shared" si="212"/>
        <v>372067</v>
      </c>
      <c r="AQ111" s="472">
        <f t="shared" si="212"/>
        <v>372067</v>
      </c>
      <c r="AR111" s="328">
        <f t="shared" si="212"/>
        <v>378338</v>
      </c>
      <c r="AS111" s="167">
        <f t="shared" si="212"/>
        <v>395208</v>
      </c>
      <c r="AT111" s="167">
        <f t="shared" si="212"/>
        <v>391761</v>
      </c>
      <c r="AU111" s="167">
        <f t="shared" si="212"/>
        <v>426599</v>
      </c>
      <c r="AV111" s="472">
        <f t="shared" si="212"/>
        <v>426599</v>
      </c>
      <c r="AW111" s="328">
        <f t="shared" si="212"/>
        <v>413992</v>
      </c>
      <c r="AX111" s="167">
        <f t="shared" si="212"/>
        <v>429328</v>
      </c>
      <c r="AY111" s="167">
        <f t="shared" si="212"/>
        <v>421898</v>
      </c>
      <c r="AZ111" s="167">
        <f t="shared" si="212"/>
        <v>455503</v>
      </c>
      <c r="BA111" s="472">
        <f t="shared" si="212"/>
        <v>455503</v>
      </c>
      <c r="BB111" s="167">
        <f t="shared" si="212"/>
        <v>437687</v>
      </c>
      <c r="BC111" s="167">
        <f t="shared" si="212"/>
        <v>437222</v>
      </c>
      <c r="BD111" s="167">
        <f t="shared" si="212"/>
        <v>423640</v>
      </c>
      <c r="BE111" s="167">
        <f t="shared" si="212"/>
        <v>461118</v>
      </c>
      <c r="BF111" s="472">
        <f t="shared" si="212"/>
        <v>461118</v>
      </c>
      <c r="BG111" s="167">
        <f t="shared" si="212"/>
        <v>447798</v>
      </c>
      <c r="BH111" s="167">
        <f t="shared" si="212"/>
        <v>446688</v>
      </c>
      <c r="BI111" s="167">
        <f t="shared" ref="BI111" si="213">+BI32</f>
        <v>422943</v>
      </c>
      <c r="BJ111" s="167">
        <f t="shared" si="212"/>
        <v>451155</v>
      </c>
      <c r="BK111" s="472">
        <f t="shared" si="212"/>
        <v>451155</v>
      </c>
      <c r="BL111" s="167">
        <f t="shared" si="212"/>
        <v>447798</v>
      </c>
      <c r="BM111" s="167">
        <f t="shared" si="212"/>
        <v>451154.88</v>
      </c>
      <c r="BN111" s="167">
        <f t="shared" si="212"/>
        <v>427172.43</v>
      </c>
      <c r="BO111" s="167">
        <f t="shared" si="212"/>
        <v>460178.10000000003</v>
      </c>
      <c r="BP111" s="472">
        <f t="shared" si="212"/>
        <v>460178.10000000003</v>
      </c>
      <c r="BQ111" s="167">
        <f t="shared" ref="BQ111:BU111" si="214">+BQ32</f>
        <v>456753.96</v>
      </c>
      <c r="BR111" s="167">
        <f t="shared" si="214"/>
        <v>460177.97759999998</v>
      </c>
      <c r="BS111" s="167">
        <f t="shared" si="214"/>
        <v>435715.8786</v>
      </c>
      <c r="BT111" s="167">
        <f t="shared" si="214"/>
        <v>469381.66200000007</v>
      </c>
      <c r="BU111" s="472">
        <f t="shared" si="214"/>
        <v>469381.66200000007</v>
      </c>
    </row>
    <row r="112" spans="2:73" s="155" customFormat="1" ht="12.75">
      <c r="B112" s="310" t="s">
        <v>237</v>
      </c>
      <c r="C112" s="302"/>
      <c r="D112" s="336"/>
      <c r="E112" s="336"/>
      <c r="F112" s="336"/>
      <c r="G112" s="336"/>
      <c r="H112" s="336"/>
      <c r="I112" s="336"/>
      <c r="J112" s="336"/>
      <c r="K112" s="336"/>
      <c r="L112" s="336"/>
      <c r="M112" s="494"/>
      <c r="N112" s="336"/>
      <c r="O112" s="336"/>
      <c r="P112" s="336"/>
      <c r="Q112" s="336"/>
      <c r="R112" s="494"/>
      <c r="S112" s="336"/>
      <c r="T112" s="336"/>
      <c r="U112" s="336"/>
      <c r="V112" s="336"/>
      <c r="W112" s="494"/>
      <c r="X112" s="336"/>
      <c r="Y112" s="336"/>
      <c r="Z112" s="336"/>
      <c r="AA112" s="336"/>
      <c r="AB112" s="494"/>
      <c r="AC112" s="336"/>
      <c r="AD112" s="336"/>
      <c r="AE112" s="336"/>
      <c r="AF112" s="336"/>
      <c r="AG112" s="494"/>
      <c r="AH112" s="336"/>
      <c r="AI112" s="336"/>
      <c r="AJ112" s="336"/>
      <c r="AK112" s="336"/>
      <c r="AL112" s="494"/>
      <c r="AM112" s="336"/>
      <c r="AN112" s="338"/>
      <c r="AO112" s="338"/>
      <c r="AP112" s="338"/>
      <c r="AQ112" s="485"/>
      <c r="AR112" s="336"/>
      <c r="AS112" s="338"/>
      <c r="AT112" s="338"/>
      <c r="AU112" s="338"/>
      <c r="AV112" s="485"/>
      <c r="AW112" s="336"/>
      <c r="AX112" s="338"/>
      <c r="AY112" s="338"/>
      <c r="AZ112" s="338"/>
      <c r="BA112" s="485"/>
      <c r="BB112" s="338"/>
      <c r="BC112" s="338"/>
      <c r="BD112" s="338"/>
      <c r="BE112" s="338"/>
      <c r="BF112" s="485"/>
      <c r="BG112" s="338"/>
      <c r="BH112" s="338"/>
      <c r="BI112" s="338"/>
      <c r="BJ112" s="338"/>
      <c r="BK112" s="485"/>
      <c r="BL112" s="338">
        <v>0</v>
      </c>
      <c r="BM112" s="338">
        <v>0.01</v>
      </c>
      <c r="BN112" s="338">
        <v>0.01</v>
      </c>
      <c r="BO112" s="338">
        <v>0.02</v>
      </c>
      <c r="BP112" s="485"/>
      <c r="BQ112" s="338">
        <v>0.02</v>
      </c>
      <c r="BR112" s="338">
        <v>0.02</v>
      </c>
      <c r="BS112" s="338">
        <v>0.02</v>
      </c>
      <c r="BT112" s="338">
        <v>0.02</v>
      </c>
      <c r="BU112" s="485"/>
    </row>
    <row r="113" spans="2:73" s="155" customFormat="1" ht="12.75">
      <c r="B113" s="224" t="s">
        <v>191</v>
      </c>
      <c r="C113" s="237"/>
      <c r="D113" s="329"/>
      <c r="E113" s="329"/>
      <c r="F113" s="329"/>
      <c r="G113" s="329"/>
      <c r="H113" s="329"/>
      <c r="I113" s="329"/>
      <c r="J113" s="329"/>
      <c r="K113" s="329"/>
      <c r="L113" s="329">
        <f t="shared" ref="L113:AQ113" si="215">+L32/G32-1</f>
        <v>0.51153634550581106</v>
      </c>
      <c r="M113" s="489">
        <f t="shared" si="215"/>
        <v>0.51153634550581106</v>
      </c>
      <c r="N113" s="329">
        <f t="shared" si="215"/>
        <v>0.48798295313764672</v>
      </c>
      <c r="O113" s="329">
        <f t="shared" si="215"/>
        <v>0.50454270139309498</v>
      </c>
      <c r="P113" s="329">
        <f t="shared" si="215"/>
        <v>0.40776359503409676</v>
      </c>
      <c r="Q113" s="329">
        <f t="shared" si="215"/>
        <v>0.32969732816178898</v>
      </c>
      <c r="R113" s="489">
        <f t="shared" si="215"/>
        <v>0.32969732816178898</v>
      </c>
      <c r="S113" s="329">
        <f t="shared" si="215"/>
        <v>0.29399096368823607</v>
      </c>
      <c r="T113" s="329">
        <f t="shared" si="215"/>
        <v>0.26897141706924321</v>
      </c>
      <c r="U113" s="329">
        <f t="shared" si="215"/>
        <v>0.27186302704871834</v>
      </c>
      <c r="V113" s="329">
        <f t="shared" si="215"/>
        <v>0.21485333994850442</v>
      </c>
      <c r="W113" s="489">
        <f t="shared" si="215"/>
        <v>0.21485333994850442</v>
      </c>
      <c r="X113" s="329">
        <f t="shared" si="215"/>
        <v>0.20490031227480188</v>
      </c>
      <c r="Y113" s="329">
        <f t="shared" si="215"/>
        <v>0.2184954594123012</v>
      </c>
      <c r="Z113" s="329">
        <f t="shared" si="215"/>
        <v>0.1975029485339963</v>
      </c>
      <c r="AA113" s="329">
        <f t="shared" si="215"/>
        <v>0.33681875792141946</v>
      </c>
      <c r="AB113" s="489">
        <f t="shared" si="215"/>
        <v>0.33681875792141946</v>
      </c>
      <c r="AC113" s="329">
        <f t="shared" si="215"/>
        <v>0.31331880838459791</v>
      </c>
      <c r="AD113" s="329">
        <f t="shared" si="215"/>
        <v>0.29559863051147528</v>
      </c>
      <c r="AE113" s="329">
        <f t="shared" si="215"/>
        <v>0.25661196426779087</v>
      </c>
      <c r="AF113" s="329">
        <f t="shared" si="215"/>
        <v>0.21944641963603795</v>
      </c>
      <c r="AG113" s="489">
        <f t="shared" si="215"/>
        <v>0.21944641963603795</v>
      </c>
      <c r="AH113" s="329">
        <f t="shared" si="215"/>
        <v>0.1896363843363893</v>
      </c>
      <c r="AI113" s="329">
        <f t="shared" si="215"/>
        <v>0.14202604396929375</v>
      </c>
      <c r="AJ113" s="329">
        <f t="shared" si="215"/>
        <v>0.15598510338768135</v>
      </c>
      <c r="AK113" s="329">
        <f t="shared" si="215"/>
        <v>0.20329736780725471</v>
      </c>
      <c r="AL113" s="489">
        <f t="shared" si="215"/>
        <v>0.20329736780725471</v>
      </c>
      <c r="AM113" s="329">
        <f t="shared" si="215"/>
        <v>0.28625268876007137</v>
      </c>
      <c r="AN113" s="329">
        <f t="shared" si="215"/>
        <v>0.32935359276432141</v>
      </c>
      <c r="AO113" s="329">
        <f t="shared" si="215"/>
        <v>0.36485144239074097</v>
      </c>
      <c r="AP113" s="329">
        <f t="shared" si="215"/>
        <v>0.33556006245849557</v>
      </c>
      <c r="AQ113" s="484">
        <f t="shared" si="215"/>
        <v>0.33556006245849557</v>
      </c>
      <c r="AR113" s="329">
        <f t="shared" ref="AR113:BP113" si="216">+AR32/AM32-1</f>
        <v>0.34045952984109551</v>
      </c>
      <c r="AS113" s="329">
        <f t="shared" si="216"/>
        <v>0.30783027671698893</v>
      </c>
      <c r="AT113" s="329">
        <f t="shared" si="216"/>
        <v>0.23957347846034582</v>
      </c>
      <c r="AU113" s="329">
        <f t="shared" si="216"/>
        <v>0.14656500038971476</v>
      </c>
      <c r="AV113" s="484">
        <f t="shared" si="216"/>
        <v>0.14656500038971476</v>
      </c>
      <c r="AW113" s="329">
        <f t="shared" si="216"/>
        <v>9.4238485164059638E-2</v>
      </c>
      <c r="AX113" s="329">
        <f t="shared" si="216"/>
        <v>8.6334284731078403E-2</v>
      </c>
      <c r="AY113" s="329">
        <f t="shared" si="216"/>
        <v>7.6927003964151641E-2</v>
      </c>
      <c r="AZ113" s="329">
        <f t="shared" si="216"/>
        <v>6.7754495439511064E-2</v>
      </c>
      <c r="BA113" s="484">
        <f t="shared" si="216"/>
        <v>6.7754495439511064E-2</v>
      </c>
      <c r="BB113" s="339">
        <f t="shared" si="216"/>
        <v>5.7235405515082327E-2</v>
      </c>
      <c r="BC113" s="329">
        <f t="shared" si="216"/>
        <v>1.8386874371110196E-2</v>
      </c>
      <c r="BD113" s="329">
        <f t="shared" si="216"/>
        <v>4.128960080398647E-3</v>
      </c>
      <c r="BE113" s="329">
        <f t="shared" si="216"/>
        <v>1.2327031874652894E-2</v>
      </c>
      <c r="BF113" s="484">
        <f t="shared" si="216"/>
        <v>1.2327031874652894E-2</v>
      </c>
      <c r="BG113" s="339">
        <f t="shared" si="216"/>
        <v>2.3100983122642527E-2</v>
      </c>
      <c r="BH113" s="339">
        <f t="shared" si="216"/>
        <v>2.1650328665986596E-2</v>
      </c>
      <c r="BI113" s="339">
        <f t="shared" si="216"/>
        <v>-1.6452648475120402E-3</v>
      </c>
      <c r="BJ113" s="339">
        <f t="shared" si="216"/>
        <v>-2.160618323292518E-2</v>
      </c>
      <c r="BK113" s="484">
        <f t="shared" si="216"/>
        <v>-2.160618323292518E-2</v>
      </c>
      <c r="BL113" s="339">
        <f t="shared" si="216"/>
        <v>0</v>
      </c>
      <c r="BM113" s="339">
        <f t="shared" si="216"/>
        <v>1.0000000000000009E-2</v>
      </c>
      <c r="BN113" s="339">
        <f t="shared" si="216"/>
        <v>1.0000000000000009E-2</v>
      </c>
      <c r="BO113" s="339">
        <f t="shared" si="216"/>
        <v>2.0000000000000018E-2</v>
      </c>
      <c r="BP113" s="484">
        <f t="shared" si="216"/>
        <v>2.0000000000000018E-2</v>
      </c>
      <c r="BQ113" s="339">
        <f t="shared" ref="BQ113" si="217">+BQ32/BL32-1</f>
        <v>2.0000000000000018E-2</v>
      </c>
      <c r="BR113" s="339">
        <f t="shared" ref="BR113" si="218">+BR32/BM32-1</f>
        <v>2.0000000000000018E-2</v>
      </c>
      <c r="BS113" s="339">
        <f t="shared" ref="BS113" si="219">+BS32/BN32-1</f>
        <v>2.0000000000000018E-2</v>
      </c>
      <c r="BT113" s="339">
        <f t="shared" ref="BT113" si="220">+BT32/BO32-1</f>
        <v>2.0000000000000018E-2</v>
      </c>
      <c r="BU113" s="484">
        <f t="shared" ref="BU113" si="221">+BU32/BP32-1</f>
        <v>2.0000000000000018E-2</v>
      </c>
    </row>
    <row r="114" spans="2:73" s="155" customFormat="1" ht="12.75">
      <c r="D114" s="332"/>
      <c r="E114" s="332"/>
      <c r="F114" s="332"/>
      <c r="G114" s="332"/>
      <c r="H114" s="332"/>
      <c r="I114" s="332"/>
      <c r="J114" s="332"/>
      <c r="K114" s="332"/>
      <c r="L114" s="332"/>
      <c r="M114" s="495"/>
      <c r="N114" s="332"/>
      <c r="O114" s="332"/>
      <c r="P114" s="332"/>
      <c r="Q114" s="332"/>
      <c r="R114" s="495"/>
      <c r="S114" s="332"/>
      <c r="T114" s="332"/>
      <c r="U114" s="332"/>
      <c r="V114" s="332"/>
      <c r="W114" s="495"/>
      <c r="X114" s="332"/>
      <c r="Y114" s="332"/>
      <c r="Z114" s="332"/>
      <c r="AA114" s="332"/>
      <c r="AB114" s="495"/>
      <c r="AC114" s="332"/>
      <c r="AD114" s="332"/>
      <c r="AE114" s="332"/>
      <c r="AF114" s="332"/>
      <c r="AG114" s="495"/>
      <c r="AH114" s="332"/>
      <c r="AI114" s="332"/>
      <c r="AJ114" s="332"/>
      <c r="AL114" s="470"/>
      <c r="AQ114" s="470"/>
      <c r="AV114" s="470"/>
      <c r="BA114" s="470"/>
      <c r="BF114" s="470"/>
      <c r="BK114" s="470"/>
      <c r="BP114" s="470"/>
      <c r="BU114" s="470"/>
    </row>
    <row r="115" spans="2:73" s="155" customFormat="1" ht="12.75">
      <c r="B115" s="155" t="s">
        <v>238</v>
      </c>
      <c r="D115" s="328"/>
      <c r="E115" s="328"/>
      <c r="F115" s="328"/>
      <c r="G115" s="328">
        <f t="shared" ref="G115:AL115" si="222">+G39</f>
        <v>26892</v>
      </c>
      <c r="H115" s="328">
        <f t="shared" si="222"/>
        <v>26892</v>
      </c>
      <c r="I115" s="328">
        <f t="shared" si="222"/>
        <v>28104</v>
      </c>
      <c r="J115" s="328">
        <f t="shared" si="222"/>
        <v>31471</v>
      </c>
      <c r="K115" s="328">
        <f t="shared" si="222"/>
        <v>35805</v>
      </c>
      <c r="L115" s="328">
        <f t="shared" si="222"/>
        <v>42400</v>
      </c>
      <c r="M115" s="488">
        <f t="shared" si="222"/>
        <v>42400</v>
      </c>
      <c r="N115" s="328">
        <f t="shared" si="222"/>
        <v>41776</v>
      </c>
      <c r="O115" s="328">
        <f t="shared" si="222"/>
        <v>45362</v>
      </c>
      <c r="P115" s="328">
        <f t="shared" si="222"/>
        <v>44601</v>
      </c>
      <c r="Q115" s="328">
        <f t="shared" si="222"/>
        <v>52160</v>
      </c>
      <c r="R115" s="488">
        <f t="shared" si="222"/>
        <v>52160</v>
      </c>
      <c r="S115" s="328">
        <f t="shared" si="222"/>
        <v>51083</v>
      </c>
      <c r="T115" s="328">
        <f t="shared" si="222"/>
        <v>54344</v>
      </c>
      <c r="U115" s="328">
        <f t="shared" si="222"/>
        <v>55526</v>
      </c>
      <c r="V115" s="328">
        <f t="shared" si="222"/>
        <v>83373</v>
      </c>
      <c r="W115" s="488">
        <f t="shared" si="222"/>
        <v>83373</v>
      </c>
      <c r="X115" s="328">
        <f t="shared" si="222"/>
        <v>78450</v>
      </c>
      <c r="Y115" s="328">
        <f t="shared" si="222"/>
        <v>70766</v>
      </c>
      <c r="Z115" s="328">
        <f t="shared" si="222"/>
        <v>63680</v>
      </c>
      <c r="AA115" s="328">
        <f t="shared" si="222"/>
        <v>58716</v>
      </c>
      <c r="AB115" s="488">
        <f t="shared" si="222"/>
        <v>58716</v>
      </c>
      <c r="AC115" s="328">
        <f t="shared" si="222"/>
        <v>52014</v>
      </c>
      <c r="AD115" s="328">
        <f t="shared" si="222"/>
        <v>44944</v>
      </c>
      <c r="AE115" s="328">
        <f t="shared" si="222"/>
        <v>36620</v>
      </c>
      <c r="AF115" s="328">
        <f t="shared" si="222"/>
        <v>36226</v>
      </c>
      <c r="AG115" s="488">
        <f t="shared" si="222"/>
        <v>36226</v>
      </c>
      <c r="AH115" s="328">
        <f t="shared" si="222"/>
        <v>31641</v>
      </c>
      <c r="AI115" s="328">
        <f t="shared" si="222"/>
        <v>33280</v>
      </c>
      <c r="AJ115" s="328">
        <f t="shared" si="222"/>
        <v>30632</v>
      </c>
      <c r="AK115" s="328">
        <f t="shared" si="222"/>
        <v>31365</v>
      </c>
      <c r="AL115" s="472">
        <f t="shared" si="222"/>
        <v>31365</v>
      </c>
      <c r="AM115" s="167">
        <f t="shared" ref="AM115:BP115" si="223">+AM39</f>
        <v>28833</v>
      </c>
      <c r="AN115" s="167">
        <f t="shared" si="223"/>
        <v>30124</v>
      </c>
      <c r="AO115" s="167">
        <f t="shared" si="223"/>
        <v>27905</v>
      </c>
      <c r="AP115" s="167">
        <f t="shared" si="223"/>
        <v>33056</v>
      </c>
      <c r="AQ115" s="472">
        <f t="shared" si="223"/>
        <v>33056</v>
      </c>
      <c r="AR115" s="167">
        <f t="shared" si="223"/>
        <v>30616</v>
      </c>
      <c r="AS115" s="167">
        <f t="shared" si="223"/>
        <v>33098</v>
      </c>
      <c r="AT115" s="167">
        <f t="shared" si="223"/>
        <v>31659</v>
      </c>
      <c r="AU115" s="167">
        <f t="shared" si="223"/>
        <v>31040</v>
      </c>
      <c r="AV115" s="472">
        <f t="shared" si="223"/>
        <v>31040</v>
      </c>
      <c r="AW115" s="167">
        <f t="shared" si="223"/>
        <v>31585</v>
      </c>
      <c r="AX115" s="167">
        <f t="shared" si="223"/>
        <v>30064</v>
      </c>
      <c r="AY115" s="167">
        <f t="shared" si="223"/>
        <v>29344</v>
      </c>
      <c r="AZ115" s="167">
        <f t="shared" si="223"/>
        <v>32577</v>
      </c>
      <c r="BA115" s="472">
        <f t="shared" si="223"/>
        <v>32577</v>
      </c>
      <c r="BB115" s="167">
        <f t="shared" si="223"/>
        <v>29207</v>
      </c>
      <c r="BC115" s="167">
        <f t="shared" si="223"/>
        <v>27512</v>
      </c>
      <c r="BD115" s="167">
        <f t="shared" si="223"/>
        <v>28239</v>
      </c>
      <c r="BE115" s="167">
        <f t="shared" si="223"/>
        <v>27078</v>
      </c>
      <c r="BF115" s="472">
        <f t="shared" si="223"/>
        <v>27078</v>
      </c>
      <c r="BG115" s="167">
        <f t="shared" si="223"/>
        <v>27524</v>
      </c>
      <c r="BH115" s="167">
        <f t="shared" si="223"/>
        <v>29183</v>
      </c>
      <c r="BI115" s="167">
        <f t="shared" ref="BI115" si="224">+BI39</f>
        <v>28342</v>
      </c>
      <c r="BJ115" s="167">
        <f t="shared" si="223"/>
        <v>29971</v>
      </c>
      <c r="BK115" s="472">
        <f t="shared" si="223"/>
        <v>29971</v>
      </c>
      <c r="BL115" s="167">
        <f t="shared" si="223"/>
        <v>28472.449999999997</v>
      </c>
      <c r="BM115" s="167">
        <f t="shared" si="223"/>
        <v>27903.000999999997</v>
      </c>
      <c r="BN115" s="167">
        <f t="shared" si="223"/>
        <v>27344.940979999996</v>
      </c>
      <c r="BO115" s="167">
        <f t="shared" si="223"/>
        <v>27071.491570199996</v>
      </c>
      <c r="BP115" s="472">
        <f t="shared" si="223"/>
        <v>27071.491570199996</v>
      </c>
      <c r="BQ115" s="167">
        <f t="shared" ref="BQ115:BU115" si="225">+BQ39</f>
        <v>25717.916991689995</v>
      </c>
      <c r="BR115" s="167">
        <f t="shared" si="225"/>
        <v>25203.558651856194</v>
      </c>
      <c r="BS115" s="167">
        <f t="shared" si="225"/>
        <v>24699.487478819068</v>
      </c>
      <c r="BT115" s="167">
        <f t="shared" si="225"/>
        <v>24452.492604030878</v>
      </c>
      <c r="BU115" s="472">
        <f t="shared" si="225"/>
        <v>24452.492604030878</v>
      </c>
    </row>
    <row r="116" spans="2:73" s="155" customFormat="1" ht="12.75">
      <c r="B116" s="310" t="s">
        <v>237</v>
      </c>
      <c r="D116" s="332"/>
      <c r="E116" s="332"/>
      <c r="F116" s="332"/>
      <c r="G116" s="332"/>
      <c r="H116" s="332"/>
      <c r="I116" s="332"/>
      <c r="J116" s="332"/>
      <c r="K116" s="332"/>
      <c r="L116" s="332"/>
      <c r="M116" s="495"/>
      <c r="N116" s="332"/>
      <c r="O116" s="332"/>
      <c r="P116" s="332"/>
      <c r="Q116" s="332"/>
      <c r="R116" s="495"/>
      <c r="S116" s="332"/>
      <c r="T116" s="332"/>
      <c r="U116" s="332"/>
      <c r="V116" s="332"/>
      <c r="W116" s="495"/>
      <c r="X116" s="332"/>
      <c r="Y116" s="332"/>
      <c r="Z116" s="332"/>
      <c r="AA116" s="332"/>
      <c r="AB116" s="495"/>
      <c r="AC116" s="332"/>
      <c r="AD116" s="332"/>
      <c r="AE116" s="332"/>
      <c r="AF116" s="332"/>
      <c r="AG116" s="495"/>
      <c r="AH116" s="332"/>
      <c r="AI116" s="332"/>
      <c r="AJ116" s="332"/>
      <c r="AK116" s="332"/>
      <c r="AL116" s="470"/>
      <c r="AM116" s="338"/>
      <c r="AN116" s="338"/>
      <c r="AO116" s="338"/>
      <c r="AP116" s="338"/>
      <c r="AQ116" s="470"/>
      <c r="AR116" s="338"/>
      <c r="AS116" s="338"/>
      <c r="AT116" s="338"/>
      <c r="AU116" s="338"/>
      <c r="AV116" s="470"/>
      <c r="AW116" s="338"/>
      <c r="AX116" s="338"/>
      <c r="AY116" s="338"/>
      <c r="AZ116" s="338"/>
      <c r="BA116" s="470"/>
      <c r="BB116" s="338"/>
      <c r="BC116" s="338"/>
      <c r="BD116" s="338"/>
      <c r="BE116" s="338"/>
      <c r="BF116" s="470"/>
      <c r="BG116" s="338"/>
      <c r="BH116" s="338"/>
      <c r="BI116" s="338"/>
      <c r="BJ116" s="338"/>
      <c r="BK116" s="470"/>
      <c r="BL116" s="338">
        <v>-0.05</v>
      </c>
      <c r="BM116" s="338">
        <v>-0.02</v>
      </c>
      <c r="BN116" s="338">
        <v>-0.02</v>
      </c>
      <c r="BO116" s="338">
        <v>-0.01</v>
      </c>
      <c r="BP116" s="470"/>
      <c r="BQ116" s="338">
        <v>-0.05</v>
      </c>
      <c r="BR116" s="338">
        <v>-0.02</v>
      </c>
      <c r="BS116" s="338">
        <v>-0.02</v>
      </c>
      <c r="BT116" s="338">
        <v>-0.01</v>
      </c>
      <c r="BU116" s="470"/>
    </row>
    <row r="117" spans="2:73" s="155" customFormat="1" ht="12.75">
      <c r="B117" s="224" t="s">
        <v>126</v>
      </c>
      <c r="D117" s="332"/>
      <c r="E117" s="332"/>
      <c r="F117" s="332"/>
      <c r="G117" s="332"/>
      <c r="H117" s="332"/>
      <c r="I117" s="332"/>
      <c r="J117" s="332"/>
      <c r="K117" s="332"/>
      <c r="L117" s="329">
        <f t="shared" ref="L117:AQ117" si="226">+L39/G39-1</f>
        <v>0.57667707868511076</v>
      </c>
      <c r="M117" s="489">
        <f t="shared" si="226"/>
        <v>0.57667707868511076</v>
      </c>
      <c r="N117" s="329">
        <f t="shared" si="226"/>
        <v>0.48647879305436947</v>
      </c>
      <c r="O117" s="329">
        <f t="shared" si="226"/>
        <v>0.4413904864796161</v>
      </c>
      <c r="P117" s="329">
        <f t="shared" si="226"/>
        <v>0.2456640134059489</v>
      </c>
      <c r="Q117" s="329">
        <f t="shared" si="226"/>
        <v>0.23018867924528297</v>
      </c>
      <c r="R117" s="489">
        <f t="shared" si="226"/>
        <v>0.23018867924528297</v>
      </c>
      <c r="S117" s="329">
        <f t="shared" si="226"/>
        <v>0.22278341631558796</v>
      </c>
      <c r="T117" s="329">
        <f t="shared" si="226"/>
        <v>0.19800714254221585</v>
      </c>
      <c r="U117" s="329">
        <f t="shared" si="226"/>
        <v>0.24494966480572189</v>
      </c>
      <c r="V117" s="329">
        <f t="shared" si="226"/>
        <v>0.59840874233128827</v>
      </c>
      <c r="W117" s="489">
        <f t="shared" si="226"/>
        <v>0.59840874233128827</v>
      </c>
      <c r="X117" s="329">
        <f t="shared" si="226"/>
        <v>0.535735959125345</v>
      </c>
      <c r="Y117" s="329">
        <f t="shared" si="226"/>
        <v>0.3021860738996025</v>
      </c>
      <c r="Z117" s="329">
        <f t="shared" si="226"/>
        <v>0.14685012426610955</v>
      </c>
      <c r="AA117" s="329">
        <f t="shared" si="226"/>
        <v>-0.29574322622431726</v>
      </c>
      <c r="AB117" s="489">
        <f t="shared" si="226"/>
        <v>-0.29574322622431726</v>
      </c>
      <c r="AC117" s="329">
        <f t="shared" si="226"/>
        <v>-0.33697896749521994</v>
      </c>
      <c r="AD117" s="329">
        <f t="shared" si="226"/>
        <v>-0.36489274510358083</v>
      </c>
      <c r="AE117" s="329">
        <f t="shared" si="226"/>
        <v>-0.42493718592964824</v>
      </c>
      <c r="AF117" s="329">
        <f t="shared" si="226"/>
        <v>-0.38303017916751825</v>
      </c>
      <c r="AG117" s="489">
        <f t="shared" si="226"/>
        <v>-0.38303017916751825</v>
      </c>
      <c r="AH117" s="329">
        <f t="shared" si="226"/>
        <v>-0.39168300842080983</v>
      </c>
      <c r="AI117" s="329">
        <f t="shared" si="226"/>
        <v>-0.25952296190815238</v>
      </c>
      <c r="AJ117" s="329">
        <f t="shared" si="226"/>
        <v>-0.16351720371381762</v>
      </c>
      <c r="AK117" s="329">
        <f t="shared" si="226"/>
        <v>-0.13418539170761334</v>
      </c>
      <c r="AL117" s="480">
        <f t="shared" si="226"/>
        <v>-0.13418539170761334</v>
      </c>
      <c r="AM117" s="237">
        <f t="shared" si="226"/>
        <v>-8.8745614866786782E-2</v>
      </c>
      <c r="AN117" s="237">
        <f t="shared" si="226"/>
        <v>-9.4831730769230793E-2</v>
      </c>
      <c r="AO117" s="237">
        <f t="shared" si="226"/>
        <v>-8.9024549490728688E-2</v>
      </c>
      <c r="AP117" s="237">
        <f t="shared" si="226"/>
        <v>5.3913597959508897E-2</v>
      </c>
      <c r="AQ117" s="480">
        <f t="shared" si="226"/>
        <v>5.3913597959508897E-2</v>
      </c>
      <c r="AR117" s="237">
        <f t="shared" ref="AR117:BP117" si="227">+AR39/AM39-1</f>
        <v>6.1838865189193015E-2</v>
      </c>
      <c r="AS117" s="237">
        <f t="shared" si="227"/>
        <v>9.8725268888593787E-2</v>
      </c>
      <c r="AT117" s="237">
        <f t="shared" si="227"/>
        <v>0.13452786239025261</v>
      </c>
      <c r="AU117" s="237">
        <f t="shared" si="227"/>
        <v>-6.0987415295256531E-2</v>
      </c>
      <c r="AV117" s="480">
        <f t="shared" si="227"/>
        <v>-6.0987415295256531E-2</v>
      </c>
      <c r="AW117" s="237">
        <f t="shared" si="227"/>
        <v>3.1650117585576121E-2</v>
      </c>
      <c r="AX117" s="237">
        <f t="shared" si="227"/>
        <v>-9.1667170221765626E-2</v>
      </c>
      <c r="AY117" s="237">
        <f t="shared" si="227"/>
        <v>-7.3122966612969464E-2</v>
      </c>
      <c r="AZ117" s="237">
        <f t="shared" si="227"/>
        <v>4.9516752577319689E-2</v>
      </c>
      <c r="BA117" s="480">
        <f t="shared" si="227"/>
        <v>4.9516752577319689E-2</v>
      </c>
      <c r="BB117" s="237">
        <f t="shared" si="227"/>
        <v>-7.5288902960265913E-2</v>
      </c>
      <c r="BC117" s="237">
        <f t="shared" si="227"/>
        <v>-8.4885577434805737E-2</v>
      </c>
      <c r="BD117" s="237">
        <f t="shared" si="227"/>
        <v>-3.7656761177753517E-2</v>
      </c>
      <c r="BE117" s="237">
        <f t="shared" si="227"/>
        <v>-0.16880007367160876</v>
      </c>
      <c r="BF117" s="480">
        <f t="shared" si="227"/>
        <v>-0.16880007367160876</v>
      </c>
      <c r="BG117" s="237">
        <f t="shared" si="227"/>
        <v>-5.7623172527133892E-2</v>
      </c>
      <c r="BH117" s="237">
        <f t="shared" si="227"/>
        <v>6.0737132887467293E-2</v>
      </c>
      <c r="BI117" s="237">
        <f t="shared" si="227"/>
        <v>3.6474379404369817E-3</v>
      </c>
      <c r="BJ117" s="237">
        <f t="shared" si="227"/>
        <v>0.10683950070167669</v>
      </c>
      <c r="BK117" s="480">
        <f t="shared" si="227"/>
        <v>0.10683950070167669</v>
      </c>
      <c r="BL117" s="237">
        <f t="shared" si="227"/>
        <v>3.4459017584653306E-2</v>
      </c>
      <c r="BM117" s="237">
        <f t="shared" si="227"/>
        <v>-4.3861117774046665E-2</v>
      </c>
      <c r="BN117" s="237">
        <f t="shared" si="227"/>
        <v>-3.5179557547103335E-2</v>
      </c>
      <c r="BO117" s="237">
        <f t="shared" si="227"/>
        <v>-9.6743800000000157E-2</v>
      </c>
      <c r="BP117" s="480">
        <f t="shared" si="227"/>
        <v>-9.6743800000000157E-2</v>
      </c>
      <c r="BQ117" s="237">
        <f t="shared" ref="BQ117" si="228">+BQ39/BL39-1</f>
        <v>-9.6743800000000046E-2</v>
      </c>
      <c r="BR117" s="237">
        <f t="shared" ref="BR117" si="229">+BR39/BM39-1</f>
        <v>-9.6743800000000157E-2</v>
      </c>
      <c r="BS117" s="237">
        <f t="shared" ref="BS117" si="230">+BS39/BN39-1</f>
        <v>-9.6743800000000157E-2</v>
      </c>
      <c r="BT117" s="237">
        <f t="shared" ref="BT117" si="231">+BT39/BO39-1</f>
        <v>-9.6743800000000157E-2</v>
      </c>
      <c r="BU117" s="480">
        <f t="shared" ref="BU117" si="232">+BU39/BP39-1</f>
        <v>-9.6743800000000157E-2</v>
      </c>
    </row>
    <row r="118" spans="2:73" s="155" customFormat="1" ht="12.75">
      <c r="B118" s="224" t="s">
        <v>127</v>
      </c>
      <c r="D118" s="332"/>
      <c r="E118" s="332"/>
      <c r="F118" s="332"/>
      <c r="G118" s="332"/>
      <c r="H118" s="332"/>
      <c r="I118" s="330">
        <f>+I39/G39-1</f>
        <v>4.5069165551093304E-2</v>
      </c>
      <c r="J118" s="330">
        <f>+J39/I39-1</f>
        <v>0.11980500996299459</v>
      </c>
      <c r="K118" s="330">
        <f>+K39/J39-1</f>
        <v>0.13771408598392165</v>
      </c>
      <c r="L118" s="330">
        <f>+L39/K39-1</f>
        <v>0.18419215193408744</v>
      </c>
      <c r="M118" s="495"/>
      <c r="N118" s="330">
        <f>+N39/L39-1</f>
        <v>-1.4716981132075424E-2</v>
      </c>
      <c r="O118" s="330">
        <f>+O39/N39-1</f>
        <v>8.5838759096131811E-2</v>
      </c>
      <c r="P118" s="330">
        <f>+P39/O39-1</f>
        <v>-1.6776156254133423E-2</v>
      </c>
      <c r="Q118" s="330">
        <f>+Q39/P39-1</f>
        <v>0.16948050492141431</v>
      </c>
      <c r="R118" s="495"/>
      <c r="S118" s="330">
        <f>+S39/Q39-1</f>
        <v>-2.064800613496931E-2</v>
      </c>
      <c r="T118" s="330">
        <f>+T39/S39-1</f>
        <v>6.3837284419474116E-2</v>
      </c>
      <c r="U118" s="330">
        <f>+U39/T39-1</f>
        <v>2.1750331223318042E-2</v>
      </c>
      <c r="V118" s="330">
        <f>+V39/U39-1</f>
        <v>0.50151280481215998</v>
      </c>
      <c r="W118" s="489"/>
      <c r="X118" s="330">
        <f>+X39/V39-1</f>
        <v>-5.9047893202835433E-2</v>
      </c>
      <c r="Y118" s="330">
        <f>+Y39/X39-1</f>
        <v>-9.7947737412364511E-2</v>
      </c>
      <c r="Z118" s="330">
        <f>+Z39/Y39-1</f>
        <v>-0.10013283215103297</v>
      </c>
      <c r="AA118" s="330">
        <f>+AA39/Z39-1</f>
        <v>-7.7952261306532655E-2</v>
      </c>
      <c r="AB118" s="489"/>
      <c r="AC118" s="330">
        <f>+AC39/AA39-1</f>
        <v>-0.11414265276926217</v>
      </c>
      <c r="AD118" s="330">
        <f>+AD39/AC39-1</f>
        <v>-0.13592494328450033</v>
      </c>
      <c r="AE118" s="330">
        <f>+AE39/AD39-1</f>
        <v>-0.18520825916696337</v>
      </c>
      <c r="AF118" s="330">
        <f>+AF39/AE39-1</f>
        <v>-1.0759148006553754E-2</v>
      </c>
      <c r="AG118" s="489"/>
      <c r="AH118" s="330">
        <f>+AH39/AF39-1</f>
        <v>-0.12656655440843589</v>
      </c>
      <c r="AI118" s="330">
        <f>+AI39/AH39-1</f>
        <v>5.1799879902657997E-2</v>
      </c>
      <c r="AJ118" s="330">
        <f>+AJ39/AI39-1</f>
        <v>-7.9567307692307687E-2</v>
      </c>
      <c r="AK118" s="330">
        <f>+AK39/AJ39-1</f>
        <v>2.3929224340558886E-2</v>
      </c>
      <c r="AL118" s="470"/>
      <c r="AM118" s="325">
        <f>+AM39/AK39-1</f>
        <v>-8.0726924916307952E-2</v>
      </c>
      <c r="AN118" s="325">
        <f>+AN39/AM39-1</f>
        <v>4.4775084105018514E-2</v>
      </c>
      <c r="AO118" s="325">
        <f>+AO39/AN39-1</f>
        <v>-7.3662196255477319E-2</v>
      </c>
      <c r="AP118" s="325">
        <f>+AP39/AO39-1</f>
        <v>0.18459057516574084</v>
      </c>
      <c r="AQ118" s="470"/>
      <c r="AR118" s="325">
        <f>+AR39/AP39-1</f>
        <v>-7.3814133591481146E-2</v>
      </c>
      <c r="AS118" s="325">
        <f>+AS39/AR39-1</f>
        <v>8.1068722236738999E-2</v>
      </c>
      <c r="AT118" s="325">
        <f>+AT39/AS39-1</f>
        <v>-4.3476947247567788E-2</v>
      </c>
      <c r="AU118" s="325">
        <f>+AU39/AT39-1</f>
        <v>-1.9552102087873946E-2</v>
      </c>
      <c r="AV118" s="470"/>
      <c r="AW118" s="325">
        <f>+AW39/AU39-1</f>
        <v>1.7557989690721643E-2</v>
      </c>
      <c r="AX118" s="325">
        <f>+AX39/AW39-1</f>
        <v>-4.8155770144055698E-2</v>
      </c>
      <c r="AY118" s="325">
        <f>+AY39/AX39-1</f>
        <v>-2.3948908994145812E-2</v>
      </c>
      <c r="AZ118" s="325">
        <f>+AZ39/AY39-1</f>
        <v>0.11017584514721923</v>
      </c>
      <c r="BA118" s="470"/>
      <c r="BB118" s="325">
        <f>+BB39/AZ39-1</f>
        <v>-0.10344721736194251</v>
      </c>
      <c r="BC118" s="325">
        <f>+BC39/BB39-1</f>
        <v>-5.8034032937309576E-2</v>
      </c>
      <c r="BD118" s="325">
        <f>+BD39/BC39-1</f>
        <v>2.6424832800232556E-2</v>
      </c>
      <c r="BE118" s="325">
        <f>+BE39/BD39-1</f>
        <v>-4.1113353872304303E-2</v>
      </c>
      <c r="BF118" s="470"/>
      <c r="BG118" s="325">
        <f>+BG39/BE39-1</f>
        <v>1.6470935815052767E-2</v>
      </c>
      <c r="BH118" s="325">
        <f>+BH39/BG39-1</f>
        <v>6.0274669379450696E-2</v>
      </c>
      <c r="BI118" s="325">
        <f>+BI39/BH39-1</f>
        <v>-2.8818147551656792E-2</v>
      </c>
      <c r="BJ118" s="325">
        <f>+BJ39/BI39-1</f>
        <v>5.7476536588808136E-2</v>
      </c>
      <c r="BK118" s="470"/>
      <c r="BL118" s="325">
        <f>+BL39/BJ39-1</f>
        <v>-5.0000000000000044E-2</v>
      </c>
      <c r="BM118" s="325">
        <f>+BM39/BL39-1</f>
        <v>-2.0000000000000018E-2</v>
      </c>
      <c r="BN118" s="325">
        <f>+BN39/BM39-1</f>
        <v>-2.0000000000000018E-2</v>
      </c>
      <c r="BO118" s="325">
        <f>+BO39/BN39-1</f>
        <v>-1.0000000000000009E-2</v>
      </c>
      <c r="BP118" s="470"/>
      <c r="BQ118" s="325">
        <f>+BQ39/BO39-1</f>
        <v>-5.0000000000000044E-2</v>
      </c>
      <c r="BR118" s="325">
        <f>+BR39/BQ39-1</f>
        <v>-2.0000000000000018E-2</v>
      </c>
      <c r="BS118" s="325">
        <f>+BS39/BR39-1</f>
        <v>-2.0000000000000129E-2</v>
      </c>
      <c r="BT118" s="325">
        <f>+BT39/BS39-1</f>
        <v>-1.0000000000000009E-2</v>
      </c>
      <c r="BU118" s="470"/>
    </row>
    <row r="119" spans="2:73" s="155" customFormat="1" ht="12.75">
      <c r="B119" s="224"/>
      <c r="D119" s="332"/>
      <c r="E119" s="332"/>
      <c r="F119" s="332"/>
      <c r="G119" s="332"/>
      <c r="H119" s="332"/>
      <c r="I119" s="330"/>
      <c r="J119" s="330"/>
      <c r="K119" s="330"/>
      <c r="L119" s="330"/>
      <c r="M119" s="495"/>
      <c r="N119" s="330"/>
      <c r="O119" s="330"/>
      <c r="P119" s="330"/>
      <c r="Q119" s="330"/>
      <c r="R119" s="495"/>
      <c r="S119" s="330"/>
      <c r="T119" s="330"/>
      <c r="U119" s="330"/>
      <c r="V119" s="330"/>
      <c r="W119" s="489"/>
      <c r="X119" s="330"/>
      <c r="Y119" s="330"/>
      <c r="Z119" s="330"/>
      <c r="AA119" s="330"/>
      <c r="AB119" s="489"/>
      <c r="AC119" s="330"/>
      <c r="AD119" s="330"/>
      <c r="AE119" s="330"/>
      <c r="AF119" s="330"/>
      <c r="AG119" s="489"/>
      <c r="AH119" s="330"/>
      <c r="AI119" s="330"/>
      <c r="AJ119" s="330"/>
      <c r="AK119" s="330"/>
      <c r="AL119" s="470"/>
      <c r="AM119" s="325"/>
      <c r="AN119" s="325"/>
      <c r="AO119" s="325"/>
      <c r="AP119" s="325"/>
      <c r="AQ119" s="470"/>
      <c r="AR119" s="325"/>
      <c r="AS119" s="325"/>
      <c r="AT119" s="325"/>
      <c r="AU119" s="325"/>
      <c r="AV119" s="470"/>
      <c r="AW119" s="325"/>
      <c r="AX119" s="325"/>
      <c r="AY119" s="718"/>
      <c r="AZ119" s="718"/>
      <c r="BA119" s="470"/>
      <c r="BB119" s="325"/>
      <c r="BC119" s="325"/>
      <c r="BD119" s="325"/>
      <c r="BE119" s="325"/>
      <c r="BF119" s="470"/>
      <c r="BG119" s="325"/>
      <c r="BH119" s="325"/>
      <c r="BI119" s="325"/>
      <c r="BJ119" s="325"/>
      <c r="BK119" s="470"/>
      <c r="BL119" s="325"/>
      <c r="BM119" s="325"/>
      <c r="BN119" s="325"/>
      <c r="BO119" s="325"/>
      <c r="BP119" s="470"/>
      <c r="BQ119" s="325"/>
      <c r="BR119" s="325"/>
      <c r="BS119" s="325"/>
      <c r="BT119" s="325"/>
      <c r="BU119" s="470"/>
    </row>
    <row r="120" spans="2:73" s="155" customFormat="1" ht="12.75">
      <c r="B120" s="224" t="s">
        <v>251</v>
      </c>
      <c r="D120" s="328"/>
      <c r="E120" s="328"/>
      <c r="F120" s="328"/>
      <c r="G120" s="328">
        <f t="shared" ref="G120:AL120" si="233">+G115+G111</f>
        <v>85056</v>
      </c>
      <c r="H120" s="328">
        <f t="shared" si="233"/>
        <v>85056</v>
      </c>
      <c r="I120" s="328">
        <f t="shared" si="233"/>
        <v>88643</v>
      </c>
      <c r="J120" s="328">
        <f t="shared" si="233"/>
        <v>97511</v>
      </c>
      <c r="K120" s="328">
        <f t="shared" si="233"/>
        <v>110152</v>
      </c>
      <c r="L120" s="328">
        <f t="shared" si="233"/>
        <v>130317</v>
      </c>
      <c r="M120" s="488">
        <f t="shared" si="233"/>
        <v>130317</v>
      </c>
      <c r="N120" s="328">
        <f t="shared" si="233"/>
        <v>131857</v>
      </c>
      <c r="O120" s="328">
        <f t="shared" si="233"/>
        <v>144722</v>
      </c>
      <c r="P120" s="328">
        <f t="shared" si="233"/>
        <v>149264</v>
      </c>
      <c r="Q120" s="328">
        <f t="shared" si="233"/>
        <v>169063</v>
      </c>
      <c r="R120" s="488">
        <f t="shared" si="233"/>
        <v>169063</v>
      </c>
      <c r="S120" s="328">
        <f t="shared" si="233"/>
        <v>167647</v>
      </c>
      <c r="T120" s="328">
        <f t="shared" si="233"/>
        <v>180429</v>
      </c>
      <c r="U120" s="328">
        <f t="shared" si="233"/>
        <v>188643</v>
      </c>
      <c r="V120" s="328">
        <f t="shared" si="233"/>
        <v>225393</v>
      </c>
      <c r="W120" s="488">
        <f t="shared" si="233"/>
        <v>225393</v>
      </c>
      <c r="X120" s="328">
        <f t="shared" si="233"/>
        <v>218898</v>
      </c>
      <c r="Y120" s="328">
        <f t="shared" si="233"/>
        <v>224400</v>
      </c>
      <c r="Z120" s="328">
        <f t="shared" si="233"/>
        <v>223088</v>
      </c>
      <c r="AA120" s="328">
        <f t="shared" si="233"/>
        <v>248571</v>
      </c>
      <c r="AB120" s="488">
        <f t="shared" si="233"/>
        <v>248571</v>
      </c>
      <c r="AC120" s="328">
        <f t="shared" si="233"/>
        <v>236467</v>
      </c>
      <c r="AD120" s="328">
        <f t="shared" si="233"/>
        <v>243992</v>
      </c>
      <c r="AE120" s="328">
        <f t="shared" si="233"/>
        <v>236934</v>
      </c>
      <c r="AF120" s="328">
        <f t="shared" si="233"/>
        <v>267744</v>
      </c>
      <c r="AG120" s="488">
        <f t="shared" si="233"/>
        <v>267744</v>
      </c>
      <c r="AH120" s="328">
        <f t="shared" si="233"/>
        <v>251073</v>
      </c>
      <c r="AI120" s="328">
        <f t="shared" si="233"/>
        <v>260598</v>
      </c>
      <c r="AJ120" s="328">
        <f t="shared" si="233"/>
        <v>262192</v>
      </c>
      <c r="AK120" s="328">
        <f t="shared" si="233"/>
        <v>309950</v>
      </c>
      <c r="AL120" s="472">
        <f t="shared" si="233"/>
        <v>309950</v>
      </c>
      <c r="AM120" s="167">
        <f t="shared" ref="AM120:BP120" si="234">+AM115+AM111</f>
        <v>311078</v>
      </c>
      <c r="AN120" s="167">
        <f t="shared" si="234"/>
        <v>332310</v>
      </c>
      <c r="AO120" s="167">
        <f t="shared" si="234"/>
        <v>343950</v>
      </c>
      <c r="AP120" s="167">
        <f t="shared" si="234"/>
        <v>405123</v>
      </c>
      <c r="AQ120" s="472">
        <f t="shared" si="234"/>
        <v>405123</v>
      </c>
      <c r="AR120" s="167">
        <f t="shared" si="234"/>
        <v>408954</v>
      </c>
      <c r="AS120" s="167">
        <f t="shared" si="234"/>
        <v>428306</v>
      </c>
      <c r="AT120" s="167">
        <f t="shared" si="234"/>
        <v>423420</v>
      </c>
      <c r="AU120" s="167">
        <f t="shared" si="234"/>
        <v>457639</v>
      </c>
      <c r="AV120" s="472">
        <f t="shared" si="234"/>
        <v>457639</v>
      </c>
      <c r="AW120" s="167">
        <f t="shared" si="234"/>
        <v>445577</v>
      </c>
      <c r="AX120" s="167">
        <f t="shared" si="234"/>
        <v>459392</v>
      </c>
      <c r="AY120" s="167">
        <f t="shared" si="234"/>
        <v>451242</v>
      </c>
      <c r="AZ120" s="167">
        <f t="shared" si="234"/>
        <v>488080</v>
      </c>
      <c r="BA120" s="472">
        <f t="shared" si="234"/>
        <v>488080</v>
      </c>
      <c r="BB120" s="167">
        <f t="shared" si="234"/>
        <v>466894</v>
      </c>
      <c r="BC120" s="167">
        <f t="shared" si="234"/>
        <v>464734</v>
      </c>
      <c r="BD120" s="167">
        <f t="shared" si="234"/>
        <v>451879</v>
      </c>
      <c r="BE120" s="167">
        <f t="shared" si="234"/>
        <v>488196</v>
      </c>
      <c r="BF120" s="472">
        <f t="shared" si="234"/>
        <v>488196</v>
      </c>
      <c r="BG120" s="167">
        <f t="shared" si="234"/>
        <v>475322</v>
      </c>
      <c r="BH120" s="167">
        <f t="shared" si="234"/>
        <v>475871</v>
      </c>
      <c r="BI120" s="167">
        <f t="shared" ref="BI120" si="235">+BI115+BI111</f>
        <v>451285</v>
      </c>
      <c r="BJ120" s="167">
        <f t="shared" si="234"/>
        <v>481126</v>
      </c>
      <c r="BK120" s="472">
        <f t="shared" si="234"/>
        <v>481126</v>
      </c>
      <c r="BL120" s="167">
        <f t="shared" si="234"/>
        <v>476270.45</v>
      </c>
      <c r="BM120" s="167">
        <f t="shared" si="234"/>
        <v>479057.88099999999</v>
      </c>
      <c r="BN120" s="167">
        <f t="shared" si="234"/>
        <v>454517.37098000001</v>
      </c>
      <c r="BO120" s="167">
        <f t="shared" si="234"/>
        <v>487249.59157020005</v>
      </c>
      <c r="BP120" s="472">
        <f t="shared" si="234"/>
        <v>487249.59157020005</v>
      </c>
      <c r="BQ120" s="167">
        <f t="shared" ref="BQ120:BU120" si="236">+BQ115+BQ111</f>
        <v>482471.87699169002</v>
      </c>
      <c r="BR120" s="167">
        <f t="shared" si="236"/>
        <v>485381.53625185619</v>
      </c>
      <c r="BS120" s="167">
        <f t="shared" si="236"/>
        <v>460415.36607881909</v>
      </c>
      <c r="BT120" s="167">
        <f t="shared" si="236"/>
        <v>493834.15460403095</v>
      </c>
      <c r="BU120" s="472">
        <f t="shared" si="236"/>
        <v>493834.15460403095</v>
      </c>
    </row>
    <row r="121" spans="2:73" s="155" customFormat="1" ht="12.75">
      <c r="B121" s="224" t="s">
        <v>126</v>
      </c>
      <c r="D121" s="332"/>
      <c r="E121" s="332"/>
      <c r="F121" s="332"/>
      <c r="G121" s="332"/>
      <c r="H121" s="332"/>
      <c r="I121" s="332"/>
      <c r="J121" s="332"/>
      <c r="K121" s="332"/>
      <c r="L121" s="329">
        <f t="shared" ref="L121:AF121" si="237">+L120/G120-1</f>
        <v>0.53213177200902928</v>
      </c>
      <c r="M121" s="489">
        <f t="shared" si="237"/>
        <v>0.53213177200902928</v>
      </c>
      <c r="N121" s="329">
        <f t="shared" si="237"/>
        <v>0.48750606364856774</v>
      </c>
      <c r="O121" s="329">
        <f t="shared" si="237"/>
        <v>0.48416076135000163</v>
      </c>
      <c r="P121" s="329">
        <f t="shared" si="237"/>
        <v>0.35507299005011261</v>
      </c>
      <c r="Q121" s="329">
        <f t="shared" si="237"/>
        <v>0.29732114766300644</v>
      </c>
      <c r="R121" s="489">
        <f t="shared" si="237"/>
        <v>0.29732114766300644</v>
      </c>
      <c r="S121" s="329">
        <f t="shared" si="237"/>
        <v>0.27143041325071859</v>
      </c>
      <c r="T121" s="329">
        <f t="shared" si="237"/>
        <v>0.24672820994734734</v>
      </c>
      <c r="U121" s="329">
        <f t="shared" si="237"/>
        <v>0.26382114910494159</v>
      </c>
      <c r="V121" s="329">
        <f t="shared" si="237"/>
        <v>0.33318940276701592</v>
      </c>
      <c r="W121" s="489">
        <f t="shared" si="237"/>
        <v>0.33318940276701592</v>
      </c>
      <c r="X121" s="329">
        <f t="shared" si="237"/>
        <v>0.30570782656414974</v>
      </c>
      <c r="Y121" s="329">
        <f t="shared" si="237"/>
        <v>0.24370250902016855</v>
      </c>
      <c r="Z121" s="329">
        <f t="shared" si="237"/>
        <v>0.18259357622599293</v>
      </c>
      <c r="AA121" s="329">
        <f>+AA120/V120-1</f>
        <v>0.10283371710745226</v>
      </c>
      <c r="AB121" s="489">
        <f>+AB120/W120-1</f>
        <v>0.10283371710745226</v>
      </c>
      <c r="AC121" s="329">
        <f t="shared" si="237"/>
        <v>8.0261126186625731E-2</v>
      </c>
      <c r="AD121" s="329">
        <f t="shared" si="237"/>
        <v>8.7308377896613276E-2</v>
      </c>
      <c r="AE121" s="329">
        <f t="shared" si="237"/>
        <v>6.2065194004159885E-2</v>
      </c>
      <c r="AF121" s="329">
        <f t="shared" si="237"/>
        <v>7.7132891608433729E-2</v>
      </c>
      <c r="AG121" s="489">
        <f t="shared" ref="AG121:AL121" si="238">+AG120/AB120-1</f>
        <v>7.7132891608433729E-2</v>
      </c>
      <c r="AH121" s="329">
        <f t="shared" si="238"/>
        <v>6.176760393627867E-2</v>
      </c>
      <c r="AI121" s="329">
        <f t="shared" si="238"/>
        <v>6.805960851175441E-2</v>
      </c>
      <c r="AJ121" s="329">
        <f t="shared" si="238"/>
        <v>0.10660352672052142</v>
      </c>
      <c r="AK121" s="329">
        <f t="shared" si="238"/>
        <v>0.15763565196605711</v>
      </c>
      <c r="AL121" s="480">
        <f t="shared" si="238"/>
        <v>0.15763565196605711</v>
      </c>
      <c r="AM121" s="237">
        <f t="shared" ref="AM121:AZ121" si="239">+AM120/AH120-1</f>
        <v>0.23899423673592946</v>
      </c>
      <c r="AN121" s="237">
        <f>+AN120/AI120-1</f>
        <v>0.27518246494600884</v>
      </c>
      <c r="AO121" s="237">
        <f t="shared" si="239"/>
        <v>0.31182492219442248</v>
      </c>
      <c r="AP121" s="237">
        <f t="shared" si="239"/>
        <v>0.30705920309727386</v>
      </c>
      <c r="AQ121" s="480">
        <f>+AQ120/AL120-1</f>
        <v>0.30705920309727386</v>
      </c>
      <c r="AR121" s="237">
        <f t="shared" si="239"/>
        <v>0.31463491471592331</v>
      </c>
      <c r="AS121" s="237">
        <f t="shared" si="239"/>
        <v>0.28887484577653399</v>
      </c>
      <c r="AT121" s="237">
        <f t="shared" si="239"/>
        <v>0.23105102485826423</v>
      </c>
      <c r="AU121" s="237">
        <f t="shared" si="239"/>
        <v>0.12962976676219329</v>
      </c>
      <c r="AV121" s="480">
        <f>+AV120/AQ120-1</f>
        <v>0.12962976676219329</v>
      </c>
      <c r="AW121" s="237">
        <f t="shared" si="239"/>
        <v>8.9552859245783045E-2</v>
      </c>
      <c r="AX121" s="237">
        <f t="shared" si="239"/>
        <v>7.2578950563382261E-2</v>
      </c>
      <c r="AY121" s="237">
        <f t="shared" si="239"/>
        <v>6.5707807850361233E-2</v>
      </c>
      <c r="AZ121" s="237">
        <f t="shared" si="239"/>
        <v>6.6517495230957069E-2</v>
      </c>
      <c r="BA121" s="480">
        <f t="shared" ref="BA121:BP121" si="240">+BA120/AV120-1</f>
        <v>6.6517495230957069E-2</v>
      </c>
      <c r="BB121" s="237">
        <f t="shared" si="240"/>
        <v>4.7841338309652537E-2</v>
      </c>
      <c r="BC121" s="237">
        <f t="shared" si="240"/>
        <v>1.162841320702146E-2</v>
      </c>
      <c r="BD121" s="237">
        <f t="shared" si="240"/>
        <v>1.4116593756787754E-3</v>
      </c>
      <c r="BE121" s="237">
        <f t="shared" si="240"/>
        <v>2.3766595640051236E-4</v>
      </c>
      <c r="BF121" s="480">
        <f t="shared" si="240"/>
        <v>2.3766595640051236E-4</v>
      </c>
      <c r="BG121" s="237">
        <f t="shared" si="240"/>
        <v>1.8051206483698623E-2</v>
      </c>
      <c r="BH121" s="237">
        <f t="shared" si="240"/>
        <v>2.3964246213963314E-2</v>
      </c>
      <c r="BI121" s="237">
        <f t="shared" si="240"/>
        <v>-1.3145111855165093E-3</v>
      </c>
      <c r="BJ121" s="237">
        <f t="shared" si="240"/>
        <v>-1.4481888421863376E-2</v>
      </c>
      <c r="BK121" s="480">
        <f t="shared" si="240"/>
        <v>-1.4481888421863376E-2</v>
      </c>
      <c r="BL121" s="237">
        <f t="shared" si="240"/>
        <v>1.9953841816704454E-3</v>
      </c>
      <c r="BM121" s="237">
        <f t="shared" si="240"/>
        <v>6.6969430791117279E-3</v>
      </c>
      <c r="BN121" s="237">
        <f t="shared" si="240"/>
        <v>7.1625934387360424E-3</v>
      </c>
      <c r="BO121" s="237">
        <f t="shared" si="240"/>
        <v>1.2727625549648236E-2</v>
      </c>
      <c r="BP121" s="480">
        <f t="shared" si="240"/>
        <v>1.2727625549648236E-2</v>
      </c>
      <c r="BQ121" s="237">
        <f t="shared" ref="BQ121" si="241">+BQ120/BL120-1</f>
        <v>1.3020809902629882E-2</v>
      </c>
      <c r="BR121" s="237">
        <f t="shared" ref="BR121" si="242">+BR120/BM120-1</f>
        <v>1.3200190420948665E-2</v>
      </c>
      <c r="BS121" s="237">
        <f t="shared" ref="BS121" si="243">+BS120/BN120-1</f>
        <v>1.2976390948715943E-2</v>
      </c>
      <c r="BT121" s="237">
        <f t="shared" ref="BT121" si="244">+BT120/BO120-1</f>
        <v>1.3513737410454585E-2</v>
      </c>
      <c r="BU121" s="480">
        <f t="shared" ref="BU121" si="245">+BU120/BP120-1</f>
        <v>1.3513737410454585E-2</v>
      </c>
    </row>
    <row r="122" spans="2:73" s="155" customFormat="1" ht="12.75">
      <c r="B122" s="224" t="s">
        <v>127</v>
      </c>
      <c r="D122" s="332"/>
      <c r="E122" s="332"/>
      <c r="F122" s="332"/>
      <c r="G122" s="332"/>
      <c r="H122" s="332"/>
      <c r="I122" s="330">
        <f>+I120/G120-1</f>
        <v>4.2172215951843395E-2</v>
      </c>
      <c r="J122" s="330">
        <f>+J120/I120-1</f>
        <v>0.10004174046456016</v>
      </c>
      <c r="K122" s="330">
        <f>+K120/J120-1</f>
        <v>0.12963665637722932</v>
      </c>
      <c r="L122" s="330">
        <f>+L120/K120-1</f>
        <v>0.18306521897015027</v>
      </c>
      <c r="M122" s="495"/>
      <c r="N122" s="330">
        <f>+N120/L120-1</f>
        <v>1.1817337722630272E-2</v>
      </c>
      <c r="O122" s="330">
        <f>+O120/N120-1</f>
        <v>9.7567819683444856E-2</v>
      </c>
      <c r="P122" s="330">
        <f>+P120/O120-1</f>
        <v>3.1384309227346252E-2</v>
      </c>
      <c r="Q122" s="330">
        <f>+Q120/P120-1</f>
        <v>0.1326441740808233</v>
      </c>
      <c r="R122" s="495"/>
      <c r="S122" s="330">
        <f>+S120/Q120-1</f>
        <v>-8.3755759687217379E-3</v>
      </c>
      <c r="T122" s="330">
        <f>+T120/S120-1</f>
        <v>7.6243535524047612E-2</v>
      </c>
      <c r="U122" s="330">
        <f>+U120/T120-1</f>
        <v>4.5524832482583211E-2</v>
      </c>
      <c r="V122" s="330">
        <f>+V120/U120-1</f>
        <v>0.19481242346654803</v>
      </c>
      <c r="W122" s="489"/>
      <c r="X122" s="330">
        <f>+X120/V120-1</f>
        <v>-2.8816334136375077E-2</v>
      </c>
      <c r="Y122" s="330">
        <f>+Y120/X120-1</f>
        <v>2.5134994380944464E-2</v>
      </c>
      <c r="Z122" s="330">
        <f>+Z120/Y120-1</f>
        <v>-5.8467023172905641E-3</v>
      </c>
      <c r="AA122" s="330">
        <f>+AA120/Z120-1</f>
        <v>0.11422846589686575</v>
      </c>
      <c r="AB122" s="489"/>
      <c r="AC122" s="330">
        <f>+AC120/AA120-1</f>
        <v>-4.8694336829316343E-2</v>
      </c>
      <c r="AD122" s="330">
        <f>+AD120/AC120-1</f>
        <v>3.1822622184068061E-2</v>
      </c>
      <c r="AE122" s="330">
        <f>+AE120/AD120-1</f>
        <v>-2.892717794026034E-2</v>
      </c>
      <c r="AF122" s="330">
        <f>+AF120/AE120-1</f>
        <v>0.1300362126161716</v>
      </c>
      <c r="AG122" s="489"/>
      <c r="AH122" s="330">
        <f>+AH120/AF120-1</f>
        <v>-6.2264700609537482E-2</v>
      </c>
      <c r="AI122" s="330">
        <f>+AI120/AH120-1</f>
        <v>3.7937173650691269E-2</v>
      </c>
      <c r="AJ122" s="330">
        <f>+AJ120/AI120-1</f>
        <v>6.116700818885823E-3</v>
      </c>
      <c r="AK122" s="330">
        <f>+AK120/AJ120-1</f>
        <v>0.18214895954109966</v>
      </c>
      <c r="AL122" s="470"/>
      <c r="AM122" s="325">
        <f>+AM120/AK120-1</f>
        <v>3.6392966607516897E-3</v>
      </c>
      <c r="AN122" s="325">
        <f>+AN120/AM120-1</f>
        <v>6.825297835269617E-2</v>
      </c>
      <c r="AO122" s="325">
        <f>+AO120/AM120-1</f>
        <v>0.10567124643979975</v>
      </c>
      <c r="AP122" s="325">
        <f>+AP120/AN120-1</f>
        <v>0.21911167283560529</v>
      </c>
      <c r="AQ122" s="470"/>
      <c r="AR122" s="325">
        <f>+AR120/AP120-1</f>
        <v>9.4563873194066783E-3</v>
      </c>
      <c r="AS122" s="325">
        <f>+AS120/AR120-1</f>
        <v>4.7320725558375853E-2</v>
      </c>
      <c r="AT122" s="325">
        <f>+AT120/AS120-1</f>
        <v>-1.1407731855262337E-2</v>
      </c>
      <c r="AU122" s="325">
        <f>+AU120/AS120-1</f>
        <v>6.8486082380354141E-2</v>
      </c>
      <c r="AV122" s="470"/>
      <c r="AW122" s="325">
        <f>+AW120/AU120-1</f>
        <v>-2.6357019397385328E-2</v>
      </c>
      <c r="AX122" s="325">
        <f>+AX120/AW120-1</f>
        <v>3.1004742165775978E-2</v>
      </c>
      <c r="AY122" s="325">
        <f>+AY120/AX120-1</f>
        <v>-1.7740840066871044E-2</v>
      </c>
      <c r="AZ122" s="325">
        <f>+AZ120/AY120-1</f>
        <v>8.1636904366171548E-2</v>
      </c>
      <c r="BA122" s="470"/>
      <c r="BB122" s="325">
        <f>+BB120/AZ120-1</f>
        <v>-4.3406818554335369E-2</v>
      </c>
      <c r="BC122" s="325">
        <f>+BC120/BB120-1</f>
        <v>-4.6263177509241471E-3</v>
      </c>
      <c r="BD122" s="325">
        <f>+BD120/BC120-1</f>
        <v>-2.7660984563212532E-2</v>
      </c>
      <c r="BE122" s="325">
        <f>+BE120/BD120-1</f>
        <v>8.0368859805390436E-2</v>
      </c>
      <c r="BF122" s="470"/>
      <c r="BG122" s="325">
        <f>+BG120/BE120-1</f>
        <v>-2.6370556088128549E-2</v>
      </c>
      <c r="BH122" s="325">
        <f>+BH120/BG120-1</f>
        <v>1.1550065008563148E-3</v>
      </c>
      <c r="BI122" s="325">
        <f>+BI120/BH120-1</f>
        <v>-5.1665262224426356E-2</v>
      </c>
      <c r="BJ122" s="325">
        <f>+BJ120/BI120-1</f>
        <v>6.6124511118251128E-2</v>
      </c>
      <c r="BK122" s="470"/>
      <c r="BL122" s="325">
        <f>+BL120/BJ120-1</f>
        <v>-1.0092054887908763E-2</v>
      </c>
      <c r="BM122" s="325">
        <f>+BM120/BL120-1</f>
        <v>5.8526221813677282E-3</v>
      </c>
      <c r="BN122" s="325">
        <f>+BN120/BM120-1</f>
        <v>-5.1226607458734197E-2</v>
      </c>
      <c r="BO122" s="325">
        <f>+BO120/BN120-1</f>
        <v>7.2015334682643761E-2</v>
      </c>
      <c r="BP122" s="470"/>
      <c r="BQ122" s="325">
        <f>+BQ120/BO120-1</f>
        <v>-9.8054768257751501E-3</v>
      </c>
      <c r="BR122" s="325">
        <f>+BR120/BQ120-1</f>
        <v>6.0307333938476315E-3</v>
      </c>
      <c r="BS122" s="325">
        <f>+BS120/BR120-1</f>
        <v>-5.1436176097317765E-2</v>
      </c>
      <c r="BT122" s="325">
        <f>+BT120/BS120-1</f>
        <v>7.2583999117637799E-2</v>
      </c>
      <c r="BU122" s="470"/>
    </row>
    <row r="123" spans="2:73">
      <c r="D123" s="382"/>
      <c r="E123" s="382"/>
      <c r="F123" s="382"/>
      <c r="G123" s="382"/>
      <c r="H123" s="382"/>
      <c r="I123" s="382"/>
      <c r="J123" s="382"/>
      <c r="K123" s="382"/>
      <c r="L123" s="382"/>
      <c r="M123" s="496"/>
      <c r="N123" s="382"/>
      <c r="O123" s="382"/>
      <c r="P123" s="382"/>
      <c r="Q123" s="382"/>
      <c r="R123" s="496"/>
      <c r="S123" s="382"/>
      <c r="T123" s="382"/>
      <c r="U123" s="382"/>
      <c r="V123" s="382"/>
      <c r="W123" s="496"/>
      <c r="X123" s="382"/>
      <c r="Y123" s="382"/>
      <c r="Z123" s="382"/>
      <c r="AA123" s="382"/>
      <c r="AB123" s="496"/>
      <c r="AC123" s="382"/>
      <c r="AD123" s="382"/>
      <c r="AE123" s="382"/>
      <c r="AF123" s="382"/>
      <c r="AG123" s="496"/>
      <c r="AH123" s="382"/>
      <c r="AI123" s="382"/>
      <c r="AJ123" s="382"/>
      <c r="AK123" s="382"/>
      <c r="AL123" s="486"/>
      <c r="AM123" s="383"/>
      <c r="AN123" s="383"/>
      <c r="AO123" s="383"/>
      <c r="AP123" s="383"/>
      <c r="AQ123" s="486"/>
      <c r="AR123" s="383"/>
      <c r="AS123" s="383"/>
      <c r="AT123" s="383"/>
      <c r="AU123" s="383"/>
      <c r="AV123" s="486"/>
      <c r="AW123" s="383"/>
      <c r="AX123" s="383"/>
      <c r="AY123" s="383"/>
      <c r="AZ123" s="383"/>
      <c r="BA123" s="486"/>
      <c r="BB123" s="383"/>
      <c r="BC123" s="383"/>
      <c r="BD123" s="383"/>
      <c r="BE123" s="383"/>
      <c r="BF123" s="486"/>
      <c r="BG123" s="383"/>
      <c r="BH123" s="383"/>
      <c r="BI123" s="383"/>
      <c r="BJ123" s="383"/>
      <c r="BK123" s="486"/>
      <c r="BL123" s="383"/>
      <c r="BM123" s="383"/>
      <c r="BN123" s="383"/>
      <c r="BO123" s="383"/>
      <c r="BP123" s="486"/>
      <c r="BQ123" s="383"/>
      <c r="BR123" s="383"/>
      <c r="BS123" s="383"/>
      <c r="BT123" s="383"/>
      <c r="BU123" s="486"/>
    </row>
    <row r="124" spans="2:73" ht="13.15">
      <c r="B124" s="225" t="s">
        <v>506</v>
      </c>
      <c r="C124" s="819"/>
      <c r="D124" s="347"/>
      <c r="E124" s="347"/>
      <c r="F124" s="347"/>
      <c r="G124" s="820" t="str">
        <f>+'Billings &amp; Recs'!G12</f>
        <v>NA</v>
      </c>
      <c r="H124" s="820">
        <f>+'Billings &amp; Recs'!H12</f>
        <v>102081</v>
      </c>
      <c r="I124" s="820">
        <f>+'Billings &amp; Recs'!I12</f>
        <v>27158</v>
      </c>
      <c r="J124" s="820">
        <f>+'Billings &amp; Recs'!J12</f>
        <v>34658</v>
      </c>
      <c r="K124" s="820">
        <f>+'Billings &amp; Recs'!K12</f>
        <v>40953</v>
      </c>
      <c r="L124" s="820">
        <f>+'Billings &amp; Recs'!L12</f>
        <v>53018</v>
      </c>
      <c r="M124" s="821">
        <f>+'Billings &amp; Recs'!M12</f>
        <v>155787</v>
      </c>
      <c r="N124" s="820">
        <f>+'Billings &amp; Recs'!N12</f>
        <v>36336</v>
      </c>
      <c r="O124" s="820">
        <f>+'Billings &amp; Recs'!O12</f>
        <v>50133</v>
      </c>
      <c r="P124" s="820">
        <f>+'Billings &amp; Recs'!P12</f>
        <v>44881</v>
      </c>
      <c r="Q124" s="820">
        <f>+'Billings &amp; Recs'!Q12</f>
        <v>64833</v>
      </c>
      <c r="R124" s="821">
        <f>+'Billings &amp; Recs'!R12</f>
        <v>196183</v>
      </c>
      <c r="S124" s="820">
        <f>+'Billings &amp; Recs'!S12</f>
        <v>43829</v>
      </c>
      <c r="T124" s="820">
        <f>+'Billings &amp; Recs'!T12</f>
        <v>60225</v>
      </c>
      <c r="U124" s="820">
        <f>+'Billings &amp; Recs'!U12</f>
        <v>58735</v>
      </c>
      <c r="V124" s="820">
        <f>+'Billings &amp; Recs'!V12</f>
        <v>94481</v>
      </c>
      <c r="W124" s="821">
        <f>+'Billings &amp; Recs'!W12</f>
        <v>257270</v>
      </c>
      <c r="X124" s="820">
        <f>+'Billings &amp; Recs'!X12</f>
        <v>48020</v>
      </c>
      <c r="Y124" s="820">
        <f>+'Billings &amp; Recs'!Y12</f>
        <v>63943</v>
      </c>
      <c r="Z124" s="820">
        <f>+'Billings &amp; Recs'!Z12</f>
        <v>61053</v>
      </c>
      <c r="AA124" s="820">
        <f>+'Billings &amp; Recs'!AA12</f>
        <v>94253</v>
      </c>
      <c r="AB124" s="821">
        <f>+'Billings &amp; Recs'!AB12</f>
        <v>267269</v>
      </c>
      <c r="AC124" s="820">
        <f>+'Billings &amp; Recs'!AC12</f>
        <v>61081</v>
      </c>
      <c r="AD124" s="820">
        <f>+'Billings &amp; Recs'!AD12</f>
        <v>86484</v>
      </c>
      <c r="AE124" s="820">
        <f>+'Billings &amp; Recs'!AE12</f>
        <v>76097</v>
      </c>
      <c r="AF124" s="820">
        <f>+'Billings &amp; Recs'!AF12</f>
        <v>122458</v>
      </c>
      <c r="AG124" s="821">
        <f>+'Billings &amp; Recs'!AG12</f>
        <v>346120</v>
      </c>
      <c r="AH124" s="820">
        <f>+'Billings &amp; Recs'!AH12</f>
        <v>77669</v>
      </c>
      <c r="AI124" s="820">
        <f>+'Billings &amp; Recs'!AI12</f>
        <v>108437</v>
      </c>
      <c r="AJ124" s="820">
        <f>+'Billings &amp; Recs'!AJ12</f>
        <v>106669</v>
      </c>
      <c r="AK124" s="820">
        <f>+'Billings &amp; Recs'!AK12</f>
        <v>160917</v>
      </c>
      <c r="AL124" s="822">
        <f>+'Billings &amp; Recs'!AL12</f>
        <v>453692</v>
      </c>
      <c r="AM124" s="823">
        <f>+'Billings &amp; Recs'!AM12</f>
        <v>118579</v>
      </c>
      <c r="AN124" s="823">
        <f>+'Billings &amp; Recs'!AN12</f>
        <v>147653</v>
      </c>
      <c r="AO124" s="823">
        <f>+'Billings &amp; Recs'!AO12</f>
        <v>151534</v>
      </c>
      <c r="AP124" s="823">
        <f>+'Billings &amp; Recs'!AP12</f>
        <v>212811</v>
      </c>
      <c r="AQ124" s="822">
        <f>+'Billings &amp; Recs'!AQ12</f>
        <v>630577</v>
      </c>
      <c r="AR124" s="823">
        <f>+'Billings &amp; Recs'!AR12</f>
        <v>161215</v>
      </c>
      <c r="AS124" s="823">
        <f>+'Billings &amp; Recs'!AS12</f>
        <v>186807</v>
      </c>
      <c r="AT124" s="823">
        <f>+'Billings &amp; Recs'!AT12</f>
        <v>170879</v>
      </c>
      <c r="AU124" s="823">
        <f>+'Billings &amp; Recs'!AU12</f>
        <v>218698</v>
      </c>
      <c r="AV124" s="822">
        <f>+'Billings &amp; Recs'!AV12</f>
        <v>737599</v>
      </c>
      <c r="AW124" s="823">
        <f>+'Billings &amp; Recs'!AW12</f>
        <v>171112</v>
      </c>
      <c r="AX124" s="823">
        <f>+'Billings &amp; Recs'!AX12</f>
        <v>204237</v>
      </c>
      <c r="AY124" s="823">
        <f>+'Billings &amp; Recs'!AY12</f>
        <v>190693</v>
      </c>
      <c r="AZ124" s="823">
        <f>+'Billings &amp; Recs'!AZ12</f>
        <v>242106</v>
      </c>
      <c r="BA124" s="822">
        <f>+'Billings &amp; Recs'!BA12</f>
        <v>808148</v>
      </c>
      <c r="BB124" s="823">
        <f>+'Billings &amp; Recs'!BB12</f>
        <v>183915</v>
      </c>
      <c r="BC124" s="823">
        <f>+'Billings &amp; Recs'!BC12</f>
        <v>205831</v>
      </c>
      <c r="BD124" s="823">
        <f>+'Billings &amp; Recs'!BD12</f>
        <v>201799</v>
      </c>
      <c r="BE124" s="823">
        <f>+'Billings &amp; Recs'!BE12</f>
        <v>252578</v>
      </c>
      <c r="BF124" s="822">
        <f>+'Billings &amp; Recs'!BF12</f>
        <v>844123</v>
      </c>
      <c r="BG124" s="823">
        <f>+'Billings &amp; Recs'!BG12</f>
        <v>197379</v>
      </c>
      <c r="BH124" s="823">
        <f>+'Billings &amp; Recs'!BH12</f>
        <v>214742</v>
      </c>
      <c r="BI124" s="823">
        <f>+'Billings &amp; Recs'!BI12</f>
        <v>193374</v>
      </c>
      <c r="BJ124" s="823">
        <f>+'Billings &amp; Recs'!BJ12</f>
        <v>247229</v>
      </c>
      <c r="BK124" s="822">
        <f>+'Billings &amp; Recs'!BK12</f>
        <v>852724</v>
      </c>
      <c r="BL124" s="823">
        <f>+'Billings &amp; Recs'!BL12</f>
        <v>203114.17500000005</v>
      </c>
      <c r="BM124" s="823">
        <f>+'Billings &amp; Recs'!BM12</f>
        <v>211721.21099999995</v>
      </c>
      <c r="BN124" s="823">
        <f>+'Billings &amp; Recs'!BN12</f>
        <v>185708.58997999999</v>
      </c>
      <c r="BO124" s="823">
        <f>+'Billings &amp; Recs'!BO12</f>
        <v>244453.90059020009</v>
      </c>
      <c r="BP124" s="822">
        <f>+'Billings &amp; Recs'!BP12</f>
        <v>844997.87657020008</v>
      </c>
      <c r="BQ124" s="823">
        <f>+'Billings &amp; Recs'!BQ12</f>
        <v>206744.87692148995</v>
      </c>
      <c r="BR124" s="823">
        <f>+'Billings &amp; Recs'!BR12</f>
        <v>215422.26846016617</v>
      </c>
      <c r="BS124" s="823">
        <f>+'Billings &amp; Recs'!BS12</f>
        <v>188719.01422696287</v>
      </c>
      <c r="BT124" s="823">
        <f>+'Billings &amp; Recs'!BT12</f>
        <v>248563.98772521183</v>
      </c>
      <c r="BU124" s="822">
        <f>+'Billings &amp; Recs'!BU12</f>
        <v>859450.14733383094</v>
      </c>
    </row>
    <row r="125" spans="2:73" ht="12.75">
      <c r="B125" s="224" t="s">
        <v>126</v>
      </c>
      <c r="D125" s="332"/>
      <c r="E125" s="332"/>
      <c r="F125" s="332"/>
      <c r="G125" s="332"/>
      <c r="H125" s="332"/>
      <c r="I125" s="332"/>
      <c r="J125" s="332"/>
      <c r="K125" s="332"/>
      <c r="L125" s="329" t="e">
        <f t="shared" ref="L125:AZ125" si="246">+L124/G124-1</f>
        <v>#DIV/0!</v>
      </c>
      <c r="M125" s="489">
        <f t="shared" si="246"/>
        <v>0.52611161724512878</v>
      </c>
      <c r="N125" s="329">
        <f t="shared" si="246"/>
        <v>0.33794830252595931</v>
      </c>
      <c r="O125" s="329">
        <f t="shared" si="246"/>
        <v>0.44650585723353919</v>
      </c>
      <c r="P125" s="329">
        <f t="shared" si="246"/>
        <v>9.5914829194442497E-2</v>
      </c>
      <c r="Q125" s="329">
        <f t="shared" si="246"/>
        <v>0.2228488437889018</v>
      </c>
      <c r="R125" s="489">
        <f t="shared" si="246"/>
        <v>0.25930276595608115</v>
      </c>
      <c r="S125" s="329">
        <f t="shared" si="246"/>
        <v>0.2062142228093351</v>
      </c>
      <c r="T125" s="329">
        <f t="shared" si="246"/>
        <v>0.20130452995033221</v>
      </c>
      <c r="U125" s="329">
        <f t="shared" si="246"/>
        <v>0.30868296160958986</v>
      </c>
      <c r="V125" s="329">
        <f t="shared" si="246"/>
        <v>0.45729798096648322</v>
      </c>
      <c r="W125" s="489">
        <f t="shared" si="246"/>
        <v>0.31137764230335963</v>
      </c>
      <c r="X125" s="329">
        <f t="shared" si="246"/>
        <v>9.5621620388327333E-2</v>
      </c>
      <c r="Y125" s="329">
        <f t="shared" si="246"/>
        <v>6.173515981735167E-2</v>
      </c>
      <c r="Z125" s="329">
        <f t="shared" si="246"/>
        <v>3.9465395420107185E-2</v>
      </c>
      <c r="AA125" s="329">
        <f t="shared" si="246"/>
        <v>-2.4131836030524267E-3</v>
      </c>
      <c r="AB125" s="489">
        <f t="shared" si="246"/>
        <v>3.8865783029502055E-2</v>
      </c>
      <c r="AC125" s="329">
        <f t="shared" si="246"/>
        <v>0.27199083715118699</v>
      </c>
      <c r="AD125" s="329">
        <f t="shared" si="246"/>
        <v>0.35251708552929961</v>
      </c>
      <c r="AE125" s="329">
        <f t="shared" si="246"/>
        <v>0.24640885787758182</v>
      </c>
      <c r="AF125" s="329">
        <f t="shared" si="246"/>
        <v>0.29924776930177299</v>
      </c>
      <c r="AG125" s="489">
        <f>+AG124/AB124-1</f>
        <v>0.2950248625916212</v>
      </c>
      <c r="AH125" s="329">
        <f>+AH124/AC124-1</f>
        <v>0.27157381182364393</v>
      </c>
      <c r="AI125" s="329">
        <f t="shared" si="246"/>
        <v>0.25383886036723546</v>
      </c>
      <c r="AJ125" s="329">
        <f t="shared" si="246"/>
        <v>0.40175039751895603</v>
      </c>
      <c r="AK125" s="329">
        <f t="shared" si="246"/>
        <v>0.31405869767593786</v>
      </c>
      <c r="AL125" s="480">
        <f t="shared" si="246"/>
        <v>0.31079394429677576</v>
      </c>
      <c r="AM125" s="237">
        <f t="shared" si="246"/>
        <v>0.52672237314758785</v>
      </c>
      <c r="AN125" s="237">
        <f t="shared" si="246"/>
        <v>0.36164777705026885</v>
      </c>
      <c r="AO125" s="237">
        <f t="shared" si="246"/>
        <v>0.42060017437118558</v>
      </c>
      <c r="AP125" s="237">
        <f t="shared" si="246"/>
        <v>0.32248923358004444</v>
      </c>
      <c r="AQ125" s="480">
        <f t="shared" si="246"/>
        <v>0.3898790368796452</v>
      </c>
      <c r="AR125" s="237">
        <f t="shared" si="246"/>
        <v>0.3595577631789777</v>
      </c>
      <c r="AS125" s="237">
        <f t="shared" si="246"/>
        <v>0.26517578376328288</v>
      </c>
      <c r="AT125" s="237">
        <f t="shared" si="246"/>
        <v>0.12766111895680177</v>
      </c>
      <c r="AU125" s="237">
        <f t="shared" si="246"/>
        <v>2.766304373364159E-2</v>
      </c>
      <c r="AV125" s="480">
        <f>+AV124/AQ124-1</f>
        <v>0.1697207478230256</v>
      </c>
      <c r="AW125" s="237">
        <f t="shared" si="246"/>
        <v>6.1390069162298833E-2</v>
      </c>
      <c r="AX125" s="237">
        <f t="shared" si="246"/>
        <v>9.330485474313055E-2</v>
      </c>
      <c r="AY125" s="237">
        <f t="shared" si="246"/>
        <v>0.11595339392201498</v>
      </c>
      <c r="AZ125" s="237">
        <f t="shared" si="246"/>
        <v>0.10703344337854026</v>
      </c>
      <c r="BA125" s="480">
        <f t="shared" ref="BA125:BP125" si="247">+BA124/AV124-1</f>
        <v>9.5646821646992564E-2</v>
      </c>
      <c r="BB125" s="237">
        <f t="shared" si="247"/>
        <v>7.4822338585254E-2</v>
      </c>
      <c r="BC125" s="237">
        <f t="shared" si="247"/>
        <v>7.8046583136257563E-3</v>
      </c>
      <c r="BD125" s="237">
        <f t="shared" si="247"/>
        <v>5.8240208083149447E-2</v>
      </c>
      <c r="BE125" s="237">
        <f t="shared" si="247"/>
        <v>4.3253781401534797E-2</v>
      </c>
      <c r="BF125" s="480">
        <f t="shared" si="247"/>
        <v>4.4515361047728907E-2</v>
      </c>
      <c r="BG125" s="237">
        <f t="shared" si="247"/>
        <v>7.3207731832640066E-2</v>
      </c>
      <c r="BH125" s="237">
        <f t="shared" si="247"/>
        <v>4.3292798460873305E-2</v>
      </c>
      <c r="BI125" s="237">
        <f t="shared" si="247"/>
        <v>-4.1749463575141643E-2</v>
      </c>
      <c r="BJ125" s="237">
        <f t="shared" si="247"/>
        <v>-2.1177616419482348E-2</v>
      </c>
      <c r="BK125" s="480">
        <f t="shared" si="247"/>
        <v>1.0189273364189733E-2</v>
      </c>
      <c r="BL125" s="237">
        <f t="shared" si="247"/>
        <v>2.905666256288697E-2</v>
      </c>
      <c r="BM125" s="237">
        <f t="shared" si="247"/>
        <v>-1.4067061869592612E-2</v>
      </c>
      <c r="BN125" s="237">
        <f t="shared" si="247"/>
        <v>-3.9640334377941233E-2</v>
      </c>
      <c r="BO125" s="237">
        <f t="shared" si="247"/>
        <v>-1.1224813471720219E-2</v>
      </c>
      <c r="BP125" s="480">
        <f t="shared" si="247"/>
        <v>-9.0605206723394227E-3</v>
      </c>
      <c r="BQ125" s="237">
        <f t="shared" ref="BQ125" si="248">+BQ124/BL124-1</f>
        <v>1.7875177453714919E-2</v>
      </c>
      <c r="BR125" s="237">
        <f t="shared" ref="BR125" si="249">+BR124/BM124-1</f>
        <v>1.7480806210607991E-2</v>
      </c>
      <c r="BS125" s="237">
        <f t="shared" ref="BS125" si="250">+BS124/BN124-1</f>
        <v>1.6210473878925491E-2</v>
      </c>
      <c r="BT125" s="237">
        <f t="shared" ref="BT125" si="251">+BT124/BO124-1</f>
        <v>1.6813342413798615E-2</v>
      </c>
      <c r="BU125" s="480">
        <f t="shared" ref="BU125" si="252">+BU124/BP124-1</f>
        <v>1.7103321989744957E-2</v>
      </c>
    </row>
    <row r="126" spans="2:73" ht="13.15" thickBot="1">
      <c r="B126" s="311" t="s">
        <v>127</v>
      </c>
      <c r="C126" s="312"/>
      <c r="D126" s="369"/>
      <c r="E126" s="369"/>
      <c r="F126" s="369"/>
      <c r="G126" s="369"/>
      <c r="H126" s="369"/>
      <c r="I126" s="340" t="e">
        <f>+I124/G124-1</f>
        <v>#DIV/0!</v>
      </c>
      <c r="J126" s="340">
        <f>+J124/I124-1</f>
        <v>0.27616172030340969</v>
      </c>
      <c r="K126" s="340">
        <f>+K124/J124-1</f>
        <v>0.18163194644815039</v>
      </c>
      <c r="L126" s="340">
        <f>+L124/K124-1</f>
        <v>0.29460601176958945</v>
      </c>
      <c r="M126" s="498"/>
      <c r="N126" s="340">
        <f>+N124/L124-1</f>
        <v>-0.31464785544532048</v>
      </c>
      <c r="O126" s="340">
        <f>+O124/N124-1</f>
        <v>0.37970607661822986</v>
      </c>
      <c r="P126" s="340">
        <f>+P124/O124-1</f>
        <v>-0.10476133484930084</v>
      </c>
      <c r="Q126" s="340">
        <f>+Q124/P124-1</f>
        <v>0.44455337447917831</v>
      </c>
      <c r="R126" s="498"/>
      <c r="S126" s="340">
        <f>+S124/Q124-1</f>
        <v>-0.32397081733068034</v>
      </c>
      <c r="T126" s="340">
        <f>+T124/S124-1</f>
        <v>0.37409021424171218</v>
      </c>
      <c r="U126" s="340">
        <f>+U124/T124-1</f>
        <v>-2.4740556247405565E-2</v>
      </c>
      <c r="V126" s="340">
        <f>+V124/U124-1</f>
        <v>0.60859793989954891</v>
      </c>
      <c r="W126" s="497"/>
      <c r="X126" s="340">
        <f>+X124/V124-1</f>
        <v>-0.49174966395359909</v>
      </c>
      <c r="Y126" s="340">
        <f>+Y124/X124-1</f>
        <v>0.3315910037484382</v>
      </c>
      <c r="Z126" s="340">
        <f>+Z124/Y124-1</f>
        <v>-4.5196503135605193E-2</v>
      </c>
      <c r="AA126" s="340">
        <f>+AA124/Z124-1</f>
        <v>0.54378982195797088</v>
      </c>
      <c r="AB126" s="497"/>
      <c r="AC126" s="340">
        <f>+AC124/AA124-1</f>
        <v>-0.35194635714513067</v>
      </c>
      <c r="AD126" s="340">
        <f>+AD124/AC124-1</f>
        <v>0.41589037507571902</v>
      </c>
      <c r="AE126" s="340">
        <f>+AE124/AD124-1</f>
        <v>-0.12010314046528836</v>
      </c>
      <c r="AF126" s="340">
        <f>+AF124/AE124-1</f>
        <v>0.60923558090332075</v>
      </c>
      <c r="AG126" s="497"/>
      <c r="AH126" s="340">
        <f>+AH124/AF124-1</f>
        <v>-0.36574988975812117</v>
      </c>
      <c r="AI126" s="340">
        <f>+AI124/AH124-1</f>
        <v>0.39614260515778499</v>
      </c>
      <c r="AJ126" s="340">
        <f>+AJ124/AI124-1</f>
        <v>-1.6304397945350768E-2</v>
      </c>
      <c r="AK126" s="340">
        <f>+AK124/AJ124-1</f>
        <v>0.50856387516523083</v>
      </c>
      <c r="AL126" s="487"/>
      <c r="AM126" s="341">
        <f>+AM124/AK124-1</f>
        <v>-0.26310458186518515</v>
      </c>
      <c r="AN126" s="341">
        <f>+AN124/AM124-1</f>
        <v>0.24518675313504068</v>
      </c>
      <c r="AO126" s="341">
        <f>+AO124/AM124-1</f>
        <v>0.27791598849712007</v>
      </c>
      <c r="AP126" s="341">
        <f>+AP124/AN124-1</f>
        <v>0.44129140620237983</v>
      </c>
      <c r="AQ126" s="487"/>
      <c r="AR126" s="341">
        <f>+AR124/AP124-1</f>
        <v>-0.24244987336180934</v>
      </c>
      <c r="AS126" s="341">
        <f>+AS124/AR124-1</f>
        <v>0.15874453369723662</v>
      </c>
      <c r="AT126" s="341">
        <f>+AT124/AS124-1</f>
        <v>-8.526447081747468E-2</v>
      </c>
      <c r="AU126" s="341">
        <f>+AU124/AS124-1</f>
        <v>0.17071630078101996</v>
      </c>
      <c r="AV126" s="487"/>
      <c r="AW126" s="341">
        <f>+AW124/AU124-1</f>
        <v>-0.21758772371032198</v>
      </c>
      <c r="AX126" s="341">
        <f>+AX124/AW124-1</f>
        <v>0.19358665669269248</v>
      </c>
      <c r="AY126" s="341">
        <f>+AY124/AX124-1</f>
        <v>-6.6315114303480804E-2</v>
      </c>
      <c r="AZ126" s="341">
        <f>+AZ124/AY124-1</f>
        <v>0.26961136486394355</v>
      </c>
      <c r="BA126" s="487"/>
      <c r="BB126" s="341">
        <f>+BB124/AZ124-1</f>
        <v>-0.24035339892443808</v>
      </c>
      <c r="BC126" s="341">
        <f>+BC124/BB124-1</f>
        <v>0.11916374412092545</v>
      </c>
      <c r="BD126" s="341">
        <f>+BD124/BC124-1</f>
        <v>-1.9588886027857799E-2</v>
      </c>
      <c r="BE126" s="341">
        <f>+BE124/BD124-1</f>
        <v>0.25163157399194258</v>
      </c>
      <c r="BF126" s="487"/>
      <c r="BG126" s="341">
        <f>+BG124/BE124-1</f>
        <v>-0.21854239086539606</v>
      </c>
      <c r="BH126" s="341">
        <f>+BH124/BG124-1</f>
        <v>8.7967818258274599E-2</v>
      </c>
      <c r="BI126" s="341">
        <f>+BI124/BH124-1</f>
        <v>-9.9505453055294235E-2</v>
      </c>
      <c r="BJ126" s="341">
        <f>+BJ124/BI124-1</f>
        <v>0.2785017634221767</v>
      </c>
      <c r="BK126" s="487"/>
      <c r="BL126" s="341">
        <f>+BL124/BJ124-1</f>
        <v>-0.17843709678071729</v>
      </c>
      <c r="BM126" s="341">
        <f>+BM124/BL124-1</f>
        <v>4.2375358588340184E-2</v>
      </c>
      <c r="BN126" s="341">
        <f>+BN124/BM124-1</f>
        <v>-0.12286261209794402</v>
      </c>
      <c r="BO126" s="341">
        <f>+BO124/BN124-1</f>
        <v>0.31633060493608145</v>
      </c>
      <c r="BP126" s="487"/>
      <c r="BQ126" s="341">
        <f>+BQ124/BO124-1</f>
        <v>-0.15425822037474934</v>
      </c>
      <c r="BR126" s="341">
        <f>+BR124/BQ124-1</f>
        <v>4.1971494858232594E-2</v>
      </c>
      <c r="BS126" s="341">
        <f>+BS124/BR124-1</f>
        <v>-0.12395772463115162</v>
      </c>
      <c r="BT126" s="341">
        <f>+BT124/BS124-1</f>
        <v>0.31711152023227718</v>
      </c>
      <c r="BU126" s="487"/>
    </row>
    <row r="127" spans="2:73" ht="12" thickBot="1">
      <c r="V127" s="385"/>
      <c r="W127" s="385"/>
      <c r="X127" s="385"/>
      <c r="AA127" s="385"/>
      <c r="AB127" s="385"/>
      <c r="AC127" s="385"/>
      <c r="AF127" s="385"/>
      <c r="AG127" s="385"/>
      <c r="AH127" s="385"/>
    </row>
    <row r="128" spans="2:73" ht="12.75">
      <c r="B128" s="367" t="s">
        <v>308</v>
      </c>
      <c r="C128" s="367"/>
      <c r="D128" s="400" t="str">
        <f>+B132</f>
        <v>Ending Deferred Contract Acquisition Cost - Total</v>
      </c>
      <c r="E128" s="400">
        <f>+D132</f>
        <v>0</v>
      </c>
      <c r="F128" s="400">
        <f>+E132</f>
        <v>0</v>
      </c>
      <c r="G128" s="400">
        <f>+F132</f>
        <v>0</v>
      </c>
      <c r="H128" s="400">
        <f>+C132</f>
        <v>0</v>
      </c>
      <c r="I128" s="400">
        <f>+G132</f>
        <v>0</v>
      </c>
      <c r="J128" s="400">
        <f>+I132</f>
        <v>0</v>
      </c>
      <c r="K128" s="400">
        <f>+J132</f>
        <v>0</v>
      </c>
      <c r="L128" s="400">
        <f>+K132</f>
        <v>0</v>
      </c>
      <c r="M128" s="501">
        <f>+H132</f>
        <v>0</v>
      </c>
      <c r="N128" s="400">
        <f>+L132</f>
        <v>0</v>
      </c>
      <c r="O128" s="400">
        <f>+N132</f>
        <v>0</v>
      </c>
      <c r="P128" s="400">
        <f>+O132</f>
        <v>0</v>
      </c>
      <c r="Q128" s="400">
        <f>+P132</f>
        <v>0</v>
      </c>
      <c r="R128" s="501">
        <f>+M132</f>
        <v>0</v>
      </c>
      <c r="S128" s="400">
        <f>+Q132</f>
        <v>0</v>
      </c>
      <c r="T128" s="400">
        <f>+S132</f>
        <v>0</v>
      </c>
      <c r="U128" s="400">
        <f>+T132</f>
        <v>0</v>
      </c>
      <c r="V128" s="400">
        <f>+U132</f>
        <v>0</v>
      </c>
      <c r="W128" s="501">
        <f>+R132</f>
        <v>0</v>
      </c>
      <c r="X128" s="400">
        <f>+V132</f>
        <v>27165</v>
      </c>
      <c r="Y128" s="400">
        <f>+X132</f>
        <v>28878</v>
      </c>
      <c r="Z128" s="400">
        <f>+Y132</f>
        <v>31695</v>
      </c>
      <c r="AA128" s="400">
        <f>+Z132</f>
        <v>33550</v>
      </c>
      <c r="AB128" s="501">
        <f>+W132</f>
        <v>27165</v>
      </c>
      <c r="AC128" s="400">
        <f>+AA132</f>
        <v>39955</v>
      </c>
      <c r="AD128" s="400">
        <f>+AC132</f>
        <v>41048</v>
      </c>
      <c r="AE128" s="400">
        <f>+AD132</f>
        <v>43126</v>
      </c>
      <c r="AF128" s="400">
        <f>+AE132</f>
        <v>45357</v>
      </c>
      <c r="AG128" s="501">
        <f>+AB132</f>
        <v>39955</v>
      </c>
      <c r="AH128" s="400">
        <f>+AF132</f>
        <v>51260</v>
      </c>
      <c r="AI128" s="400">
        <f>+AH132</f>
        <v>51775</v>
      </c>
      <c r="AJ128" s="400">
        <f>+AI132</f>
        <v>54254</v>
      </c>
      <c r="AK128" s="401">
        <f>+AJ132</f>
        <v>56538</v>
      </c>
      <c r="AL128" s="500">
        <f>+AG132</f>
        <v>51260</v>
      </c>
      <c r="AM128" s="401">
        <f>+AK132</f>
        <v>64639</v>
      </c>
      <c r="AN128" s="401">
        <f>+AL132</f>
        <v>64639</v>
      </c>
      <c r="AO128" s="401">
        <f>+AM132</f>
        <v>66595</v>
      </c>
      <c r="AP128" s="401">
        <f>+AN132</f>
        <v>70092</v>
      </c>
      <c r="AQ128" s="500">
        <f>+AL132</f>
        <v>64639</v>
      </c>
      <c r="AR128" s="401">
        <f>+AP132</f>
        <v>87165</v>
      </c>
      <c r="AS128" s="401">
        <f>+AQ132</f>
        <v>87165</v>
      </c>
      <c r="AT128" s="401">
        <f>+AR132</f>
        <v>90105</v>
      </c>
      <c r="AU128" s="401">
        <f>+AS132</f>
        <v>92245</v>
      </c>
      <c r="AV128" s="500">
        <f>+AQ132</f>
        <v>87165</v>
      </c>
      <c r="AW128" s="401">
        <f>+AU132</f>
        <v>103075</v>
      </c>
      <c r="AX128" s="401">
        <f>+AV132</f>
        <v>103075</v>
      </c>
      <c r="AY128" s="401">
        <f>+AW132</f>
        <v>105315</v>
      </c>
      <c r="AZ128" s="401">
        <f>+AX132</f>
        <v>109038</v>
      </c>
      <c r="BA128" s="500">
        <f>+AV132</f>
        <v>103075</v>
      </c>
      <c r="BB128" s="401">
        <f>+AZ132</f>
        <v>121609</v>
      </c>
      <c r="BC128" s="401">
        <f>+BA132</f>
        <v>121609</v>
      </c>
      <c r="BD128" s="401">
        <f>+BB132</f>
        <v>122290</v>
      </c>
      <c r="BE128" s="401">
        <f>+BC132</f>
        <v>123573</v>
      </c>
      <c r="BF128" s="500">
        <f>+BA132</f>
        <v>121609</v>
      </c>
      <c r="BG128" s="401">
        <f>+BE132</f>
        <v>125806</v>
      </c>
      <c r="BH128" s="401">
        <f>+BG132</f>
        <v>120510</v>
      </c>
      <c r="BI128" s="401">
        <f>+BH132</f>
        <v>116006</v>
      </c>
      <c r="BJ128" s="401">
        <f>+BI132</f>
        <v>111666</v>
      </c>
      <c r="BK128" s="500">
        <f>+BF132</f>
        <v>125806</v>
      </c>
      <c r="BL128" s="401">
        <f>+BJ132</f>
        <v>115348</v>
      </c>
      <c r="BM128" s="401">
        <f>+BL132</f>
        <v>116129.32</v>
      </c>
      <c r="BN128" s="401">
        <f>+BM132</f>
        <v>116960.8708</v>
      </c>
      <c r="BO128" s="401">
        <f>+BN132</f>
        <v>117843.891412</v>
      </c>
      <c r="BP128" s="500">
        <f>+BK132</f>
        <v>115348</v>
      </c>
      <c r="BQ128" s="401">
        <f>+BO132</f>
        <v>118779.66069747999</v>
      </c>
      <c r="BR128" s="401">
        <f>+BQ132</f>
        <v>120313.90714749019</v>
      </c>
      <c r="BS128" s="401">
        <f>+BR132</f>
        <v>121941.69285527969</v>
      </c>
      <c r="BT128" s="401">
        <f>+BS132</f>
        <v>123666.43769716188</v>
      </c>
      <c r="BU128" s="500">
        <f>+BP132</f>
        <v>118779.66069747999</v>
      </c>
    </row>
    <row r="129" spans="2:73" ht="12.75">
      <c r="B129" s="155" t="s">
        <v>309</v>
      </c>
      <c r="C129" s="155"/>
      <c r="D129" s="328">
        <f t="shared" ref="D129:AI129" si="253">+D132-D128+D130</f>
        <v>0</v>
      </c>
      <c r="E129" s="328">
        <f t="shared" si="253"/>
        <v>0</v>
      </c>
      <c r="F129" s="328">
        <f t="shared" si="253"/>
        <v>0</v>
      </c>
      <c r="G129" s="328">
        <f t="shared" si="253"/>
        <v>0</v>
      </c>
      <c r="H129" s="328">
        <f t="shared" si="253"/>
        <v>0</v>
      </c>
      <c r="I129" s="328">
        <f t="shared" si="253"/>
        <v>0</v>
      </c>
      <c r="J129" s="328">
        <f t="shared" si="253"/>
        <v>0</v>
      </c>
      <c r="K129" s="328">
        <f t="shared" si="253"/>
        <v>0</v>
      </c>
      <c r="L129" s="328">
        <f t="shared" si="253"/>
        <v>0</v>
      </c>
      <c r="M129" s="488">
        <f t="shared" si="253"/>
        <v>0</v>
      </c>
      <c r="N129" s="328">
        <f t="shared" si="253"/>
        <v>0</v>
      </c>
      <c r="O129" s="328">
        <f t="shared" si="253"/>
        <v>0</v>
      </c>
      <c r="P129" s="328">
        <f t="shared" si="253"/>
        <v>0</v>
      </c>
      <c r="Q129" s="328">
        <f t="shared" si="253"/>
        <v>0</v>
      </c>
      <c r="R129" s="488">
        <f t="shared" si="253"/>
        <v>0</v>
      </c>
      <c r="S129" s="328">
        <f t="shared" si="253"/>
        <v>0</v>
      </c>
      <c r="T129" s="328">
        <f t="shared" si="253"/>
        <v>0</v>
      </c>
      <c r="U129" s="328">
        <f t="shared" si="253"/>
        <v>0</v>
      </c>
      <c r="V129" s="328">
        <f t="shared" si="253"/>
        <v>27165</v>
      </c>
      <c r="W129" s="488">
        <f t="shared" si="253"/>
        <v>27165</v>
      </c>
      <c r="X129" s="328">
        <f t="shared" si="253"/>
        <v>1713</v>
      </c>
      <c r="Y129" s="328">
        <f t="shared" si="253"/>
        <v>2817</v>
      </c>
      <c r="Z129" s="328">
        <f t="shared" si="253"/>
        <v>1855</v>
      </c>
      <c r="AA129" s="328">
        <f t="shared" si="253"/>
        <v>6405</v>
      </c>
      <c r="AB129" s="488">
        <f t="shared" si="253"/>
        <v>12790</v>
      </c>
      <c r="AC129" s="328">
        <f t="shared" si="253"/>
        <v>1093</v>
      </c>
      <c r="AD129" s="328">
        <f t="shared" si="253"/>
        <v>2078</v>
      </c>
      <c r="AE129" s="328">
        <f t="shared" si="253"/>
        <v>2231</v>
      </c>
      <c r="AF129" s="328">
        <f t="shared" si="253"/>
        <v>5903</v>
      </c>
      <c r="AG129" s="488">
        <f t="shared" si="253"/>
        <v>11305</v>
      </c>
      <c r="AH129" s="328">
        <f t="shared" si="253"/>
        <v>515</v>
      </c>
      <c r="AI129" s="328">
        <f t="shared" si="253"/>
        <v>2479</v>
      </c>
      <c r="AJ129" s="328">
        <f t="shared" ref="AJ129:BO129" si="254">+AJ132-AJ128+AJ130</f>
        <v>2284</v>
      </c>
      <c r="AK129" s="167">
        <f t="shared" si="254"/>
        <v>8101</v>
      </c>
      <c r="AL129" s="472">
        <f t="shared" si="254"/>
        <v>13379</v>
      </c>
      <c r="AM129" s="167">
        <f t="shared" si="254"/>
        <v>1956</v>
      </c>
      <c r="AN129" s="167">
        <f t="shared" si="254"/>
        <v>5453</v>
      </c>
      <c r="AO129" s="167">
        <f t="shared" si="254"/>
        <v>7816</v>
      </c>
      <c r="AP129" s="167">
        <f t="shared" si="254"/>
        <v>17073</v>
      </c>
      <c r="AQ129" s="472">
        <f t="shared" si="254"/>
        <v>22526</v>
      </c>
      <c r="AR129" s="167">
        <f t="shared" si="254"/>
        <v>2940</v>
      </c>
      <c r="AS129" s="167">
        <f t="shared" si="254"/>
        <v>5080</v>
      </c>
      <c r="AT129" s="167">
        <f t="shared" si="254"/>
        <v>5059</v>
      </c>
      <c r="AU129" s="167">
        <f t="shared" si="254"/>
        <v>10830</v>
      </c>
      <c r="AV129" s="472">
        <f t="shared" si="254"/>
        <v>15910</v>
      </c>
      <c r="AW129" s="167">
        <f t="shared" si="254"/>
        <v>2240</v>
      </c>
      <c r="AX129" s="167">
        <f t="shared" si="254"/>
        <v>5963</v>
      </c>
      <c r="AY129" s="167">
        <f t="shared" si="254"/>
        <v>7248</v>
      </c>
      <c r="AZ129" s="167">
        <f t="shared" si="254"/>
        <v>12571</v>
      </c>
      <c r="BA129" s="472">
        <f t="shared" si="254"/>
        <v>18534</v>
      </c>
      <c r="BB129" s="167">
        <f t="shared" si="254"/>
        <v>681</v>
      </c>
      <c r="BC129" s="167">
        <f t="shared" si="254"/>
        <v>1964</v>
      </c>
      <c r="BD129" s="167">
        <f t="shared" si="254"/>
        <v>-188</v>
      </c>
      <c r="BE129" s="167">
        <f t="shared" si="254"/>
        <v>2233</v>
      </c>
      <c r="BF129" s="472">
        <f t="shared" si="254"/>
        <v>4197</v>
      </c>
      <c r="BG129" s="167">
        <f t="shared" ref="BG129" si="255">+BG132-BG128+BG130</f>
        <v>-5296</v>
      </c>
      <c r="BH129" s="167">
        <f t="shared" si="254"/>
        <v>-4504</v>
      </c>
      <c r="BI129" s="167">
        <f t="shared" ref="BI129" si="256">+BI132-BI128+BI130</f>
        <v>-4340</v>
      </c>
      <c r="BJ129" s="167">
        <f t="shared" si="254"/>
        <v>3682</v>
      </c>
      <c r="BK129" s="472">
        <f t="shared" si="254"/>
        <v>-10458</v>
      </c>
      <c r="BL129" s="167">
        <f t="shared" si="254"/>
        <v>781.32000000000698</v>
      </c>
      <c r="BM129" s="167">
        <f t="shared" si="254"/>
        <v>831.55079999999725</v>
      </c>
      <c r="BN129" s="167">
        <f t="shared" si="254"/>
        <v>883.02061199999298</v>
      </c>
      <c r="BO129" s="167">
        <f t="shared" si="254"/>
        <v>935.76928547999705</v>
      </c>
      <c r="BP129" s="472">
        <f t="shared" ref="BP129:BT129" si="257">+BP132-BP128+BP130</f>
        <v>3431.6606974799943</v>
      </c>
      <c r="BQ129" s="167">
        <f t="shared" si="257"/>
        <v>1534.2464500101923</v>
      </c>
      <c r="BR129" s="167">
        <f t="shared" si="257"/>
        <v>1627.7857077895023</v>
      </c>
      <c r="BS129" s="167">
        <f t="shared" si="257"/>
        <v>1724.7448418821878</v>
      </c>
      <c r="BT129" s="167">
        <f t="shared" si="257"/>
        <v>1825.2638642807578</v>
      </c>
      <c r="BU129" s="472">
        <f t="shared" ref="BU129" si="258">+BU132-BU128+BU130</f>
        <v>6712.0408639626403</v>
      </c>
    </row>
    <row r="130" spans="2:73" ht="12.75">
      <c r="B130" s="155" t="s">
        <v>310</v>
      </c>
      <c r="C130" s="155"/>
      <c r="D130" s="328"/>
      <c r="E130" s="328"/>
      <c r="F130" s="328"/>
      <c r="G130" s="328"/>
      <c r="H130" s="328"/>
      <c r="I130" s="328"/>
      <c r="J130" s="328"/>
      <c r="K130" s="328"/>
      <c r="L130" s="328"/>
      <c r="M130" s="488"/>
      <c r="N130" s="328"/>
      <c r="O130" s="328"/>
      <c r="P130" s="328"/>
      <c r="Q130" s="328"/>
      <c r="R130" s="488"/>
      <c r="S130" s="328"/>
      <c r="T130" s="328"/>
      <c r="U130" s="328"/>
      <c r="V130" s="328"/>
      <c r="W130" s="488"/>
      <c r="X130" s="328"/>
      <c r="Y130" s="328"/>
      <c r="Z130" s="328"/>
      <c r="AA130" s="328"/>
      <c r="AB130" s="488"/>
      <c r="AC130" s="328"/>
      <c r="AD130" s="328"/>
      <c r="AE130" s="328"/>
      <c r="AF130" s="328"/>
      <c r="AG130" s="488"/>
      <c r="AH130" s="328"/>
      <c r="AI130" s="328"/>
      <c r="AJ130" s="328"/>
      <c r="AK130" s="167"/>
      <c r="AL130" s="472"/>
      <c r="AM130" s="167"/>
      <c r="AN130" s="167"/>
      <c r="AO130" s="167"/>
      <c r="AP130" s="167"/>
      <c r="AQ130" s="472"/>
      <c r="AR130" s="167"/>
      <c r="AS130" s="167"/>
      <c r="AT130" s="167"/>
      <c r="AU130" s="167"/>
      <c r="AV130" s="472"/>
      <c r="AW130" s="167"/>
      <c r="AX130" s="167"/>
      <c r="AY130" s="167"/>
      <c r="AZ130" s="167"/>
      <c r="BA130" s="472"/>
      <c r="BB130" s="167"/>
      <c r="BC130" s="167"/>
      <c r="BD130" s="167"/>
      <c r="BE130" s="167"/>
      <c r="BF130" s="472"/>
      <c r="BG130" s="167"/>
      <c r="BH130" s="167"/>
      <c r="BI130" s="167"/>
      <c r="BJ130" s="167"/>
      <c r="BK130" s="472"/>
      <c r="BL130" s="167"/>
      <c r="BM130" s="167"/>
      <c r="BN130" s="167"/>
      <c r="BO130" s="167"/>
      <c r="BP130" s="472"/>
      <c r="BQ130" s="167"/>
      <c r="BR130" s="167"/>
      <c r="BS130" s="167"/>
      <c r="BT130" s="167"/>
      <c r="BU130" s="472"/>
    </row>
    <row r="131" spans="2:73" ht="12.75">
      <c r="B131" s="173"/>
      <c r="C131" s="155"/>
      <c r="D131" s="335" t="s">
        <v>1</v>
      </c>
      <c r="E131" s="335" t="s">
        <v>1</v>
      </c>
      <c r="F131" s="335" t="s">
        <v>1</v>
      </c>
      <c r="G131" s="335" t="s">
        <v>1</v>
      </c>
      <c r="H131" s="335" t="s">
        <v>1</v>
      </c>
      <c r="I131" s="335" t="s">
        <v>1</v>
      </c>
      <c r="J131" s="335" t="s">
        <v>1</v>
      </c>
      <c r="K131" s="335" t="s">
        <v>1</v>
      </c>
      <c r="L131" s="335" t="s">
        <v>1</v>
      </c>
      <c r="M131" s="493" t="s">
        <v>1</v>
      </c>
      <c r="N131" s="335" t="s">
        <v>1</v>
      </c>
      <c r="O131" s="335" t="s">
        <v>1</v>
      </c>
      <c r="P131" s="335" t="s">
        <v>1</v>
      </c>
      <c r="Q131" s="335" t="s">
        <v>1</v>
      </c>
      <c r="R131" s="493" t="s">
        <v>1</v>
      </c>
      <c r="S131" s="335" t="s">
        <v>1</v>
      </c>
      <c r="T131" s="335" t="s">
        <v>1</v>
      </c>
      <c r="U131" s="335" t="s">
        <v>1</v>
      </c>
      <c r="V131" s="335" t="s">
        <v>1</v>
      </c>
      <c r="W131" s="493" t="s">
        <v>1</v>
      </c>
      <c r="X131" s="335" t="s">
        <v>1</v>
      </c>
      <c r="Y131" s="335" t="s">
        <v>1</v>
      </c>
      <c r="Z131" s="335" t="s">
        <v>1</v>
      </c>
      <c r="AA131" s="335" t="s">
        <v>1</v>
      </c>
      <c r="AB131" s="493" t="s">
        <v>1</v>
      </c>
      <c r="AC131" s="335" t="s">
        <v>1</v>
      </c>
      <c r="AD131" s="335" t="s">
        <v>1</v>
      </c>
      <c r="AE131" s="335" t="s">
        <v>1</v>
      </c>
      <c r="AF131" s="335" t="s">
        <v>1</v>
      </c>
      <c r="AG131" s="493" t="s">
        <v>1</v>
      </c>
      <c r="AH131" s="335" t="s">
        <v>1</v>
      </c>
      <c r="AI131" s="335" t="s">
        <v>1</v>
      </c>
      <c r="AJ131" s="335" t="s">
        <v>1</v>
      </c>
      <c r="AK131" s="173" t="s">
        <v>1</v>
      </c>
      <c r="AL131" s="473" t="s">
        <v>1</v>
      </c>
      <c r="AM131" s="173" t="s">
        <v>1</v>
      </c>
      <c r="AN131" s="173" t="s">
        <v>1</v>
      </c>
      <c r="AO131" s="173" t="s">
        <v>1</v>
      </c>
      <c r="AP131" s="173" t="s">
        <v>1</v>
      </c>
      <c r="AQ131" s="473" t="s">
        <v>1</v>
      </c>
      <c r="AR131" s="173" t="s">
        <v>1</v>
      </c>
      <c r="AS131" s="173" t="s">
        <v>1</v>
      </c>
      <c r="AT131" s="173" t="s">
        <v>1</v>
      </c>
      <c r="AU131" s="173" t="s">
        <v>1</v>
      </c>
      <c r="AV131" s="473" t="s">
        <v>1</v>
      </c>
      <c r="AW131" s="173" t="s">
        <v>1</v>
      </c>
      <c r="AX131" s="173" t="s">
        <v>1</v>
      </c>
      <c r="AY131" s="173" t="s">
        <v>1</v>
      </c>
      <c r="AZ131" s="173" t="s">
        <v>1</v>
      </c>
      <c r="BA131" s="473" t="s">
        <v>1</v>
      </c>
      <c r="BB131" s="173" t="s">
        <v>1</v>
      </c>
      <c r="BC131" s="173" t="s">
        <v>1</v>
      </c>
      <c r="BD131" s="173" t="s">
        <v>1</v>
      </c>
      <c r="BE131" s="173" t="s">
        <v>1</v>
      </c>
      <c r="BF131" s="473" t="s">
        <v>1</v>
      </c>
      <c r="BG131" s="173" t="s">
        <v>1</v>
      </c>
      <c r="BH131" s="173" t="s">
        <v>1</v>
      </c>
      <c r="BI131" s="173" t="s">
        <v>1</v>
      </c>
      <c r="BJ131" s="173" t="s">
        <v>1</v>
      </c>
      <c r="BK131" s="473" t="s">
        <v>1</v>
      </c>
      <c r="BL131" s="173" t="s">
        <v>1</v>
      </c>
      <c r="BM131" s="173" t="s">
        <v>1</v>
      </c>
      <c r="BN131" s="173" t="s">
        <v>1</v>
      </c>
      <c r="BO131" s="173" t="s">
        <v>1</v>
      </c>
      <c r="BP131" s="473" t="s">
        <v>1</v>
      </c>
      <c r="BQ131" s="173" t="s">
        <v>1</v>
      </c>
      <c r="BR131" s="173" t="s">
        <v>1</v>
      </c>
      <c r="BS131" s="173" t="s">
        <v>1</v>
      </c>
      <c r="BT131" s="173" t="s">
        <v>1</v>
      </c>
      <c r="BU131" s="473" t="s">
        <v>1</v>
      </c>
    </row>
    <row r="132" spans="2:73" ht="12.75">
      <c r="B132" s="155" t="s">
        <v>311</v>
      </c>
      <c r="C132" s="155"/>
      <c r="D132" s="328">
        <f t="shared" ref="D132:AI132" si="259">+D10+D18</f>
        <v>0</v>
      </c>
      <c r="E132" s="328">
        <f t="shared" si="259"/>
        <v>0</v>
      </c>
      <c r="F132" s="328">
        <f t="shared" si="259"/>
        <v>0</v>
      </c>
      <c r="G132" s="328">
        <f t="shared" si="259"/>
        <v>0</v>
      </c>
      <c r="H132" s="328">
        <f t="shared" si="259"/>
        <v>0</v>
      </c>
      <c r="I132" s="328">
        <f t="shared" si="259"/>
        <v>0</v>
      </c>
      <c r="J132" s="328">
        <f t="shared" si="259"/>
        <v>0</v>
      </c>
      <c r="K132" s="328">
        <f t="shared" si="259"/>
        <v>0</v>
      </c>
      <c r="L132" s="328">
        <f t="shared" si="259"/>
        <v>0</v>
      </c>
      <c r="M132" s="488">
        <f t="shared" si="259"/>
        <v>0</v>
      </c>
      <c r="N132" s="328">
        <f t="shared" si="259"/>
        <v>0</v>
      </c>
      <c r="O132" s="328">
        <f t="shared" si="259"/>
        <v>0</v>
      </c>
      <c r="P132" s="328">
        <f t="shared" si="259"/>
        <v>0</v>
      </c>
      <c r="Q132" s="328">
        <f t="shared" si="259"/>
        <v>0</v>
      </c>
      <c r="R132" s="488">
        <f t="shared" si="259"/>
        <v>0</v>
      </c>
      <c r="S132" s="328">
        <f t="shared" si="259"/>
        <v>0</v>
      </c>
      <c r="T132" s="328">
        <f t="shared" si="259"/>
        <v>0</v>
      </c>
      <c r="U132" s="328">
        <f t="shared" si="259"/>
        <v>0</v>
      </c>
      <c r="V132" s="328">
        <f t="shared" si="259"/>
        <v>27165</v>
      </c>
      <c r="W132" s="488">
        <f t="shared" si="259"/>
        <v>27165</v>
      </c>
      <c r="X132" s="328">
        <f t="shared" si="259"/>
        <v>28878</v>
      </c>
      <c r="Y132" s="328">
        <f t="shared" si="259"/>
        <v>31695</v>
      </c>
      <c r="Z132" s="328">
        <f t="shared" si="259"/>
        <v>33550</v>
      </c>
      <c r="AA132" s="328">
        <f t="shared" si="259"/>
        <v>39955</v>
      </c>
      <c r="AB132" s="488">
        <f t="shared" si="259"/>
        <v>39955</v>
      </c>
      <c r="AC132" s="328">
        <f t="shared" si="259"/>
        <v>41048</v>
      </c>
      <c r="AD132" s="328">
        <f t="shared" si="259"/>
        <v>43126</v>
      </c>
      <c r="AE132" s="328">
        <f t="shared" si="259"/>
        <v>45357</v>
      </c>
      <c r="AF132" s="328">
        <f t="shared" si="259"/>
        <v>51260</v>
      </c>
      <c r="AG132" s="488">
        <f t="shared" si="259"/>
        <v>51260</v>
      </c>
      <c r="AH132" s="328">
        <f t="shared" si="259"/>
        <v>51775</v>
      </c>
      <c r="AI132" s="328">
        <f t="shared" si="259"/>
        <v>54254</v>
      </c>
      <c r="AJ132" s="328">
        <f t="shared" ref="AJ132:BP132" si="260">+AJ10+AJ18</f>
        <v>56538</v>
      </c>
      <c r="AK132" s="167">
        <f t="shared" si="260"/>
        <v>64639</v>
      </c>
      <c r="AL132" s="472">
        <f t="shared" si="260"/>
        <v>64639</v>
      </c>
      <c r="AM132" s="167">
        <f t="shared" si="260"/>
        <v>66595</v>
      </c>
      <c r="AN132" s="167">
        <f t="shared" si="260"/>
        <v>70092</v>
      </c>
      <c r="AO132" s="167">
        <f t="shared" si="260"/>
        <v>74411</v>
      </c>
      <c r="AP132" s="167">
        <f t="shared" si="260"/>
        <v>87165</v>
      </c>
      <c r="AQ132" s="472">
        <f t="shared" si="260"/>
        <v>87165</v>
      </c>
      <c r="AR132" s="167">
        <f t="shared" si="260"/>
        <v>90105</v>
      </c>
      <c r="AS132" s="167">
        <f t="shared" si="260"/>
        <v>92245</v>
      </c>
      <c r="AT132" s="167">
        <f t="shared" si="260"/>
        <v>95164</v>
      </c>
      <c r="AU132" s="167">
        <f t="shared" si="260"/>
        <v>103075</v>
      </c>
      <c r="AV132" s="472">
        <f t="shared" si="260"/>
        <v>103075</v>
      </c>
      <c r="AW132" s="167">
        <f t="shared" si="260"/>
        <v>105315</v>
      </c>
      <c r="AX132" s="167">
        <f t="shared" si="260"/>
        <v>109038</v>
      </c>
      <c r="AY132" s="167">
        <f t="shared" si="260"/>
        <v>112563</v>
      </c>
      <c r="AZ132" s="167">
        <f t="shared" si="260"/>
        <v>121609</v>
      </c>
      <c r="BA132" s="472">
        <f t="shared" si="260"/>
        <v>121609</v>
      </c>
      <c r="BB132" s="167">
        <f t="shared" si="260"/>
        <v>122290</v>
      </c>
      <c r="BC132" s="167">
        <f t="shared" si="260"/>
        <v>123573</v>
      </c>
      <c r="BD132" s="167">
        <f t="shared" si="260"/>
        <v>122102</v>
      </c>
      <c r="BE132" s="167">
        <f t="shared" si="260"/>
        <v>125806</v>
      </c>
      <c r="BF132" s="472">
        <f t="shared" si="260"/>
        <v>125806</v>
      </c>
      <c r="BG132" s="167">
        <f t="shared" si="260"/>
        <v>120510</v>
      </c>
      <c r="BH132" s="167">
        <f t="shared" si="260"/>
        <v>116006</v>
      </c>
      <c r="BI132" s="167">
        <f t="shared" ref="BI132" si="261">+BI10+BI18</f>
        <v>111666</v>
      </c>
      <c r="BJ132" s="167">
        <f t="shared" si="260"/>
        <v>115348</v>
      </c>
      <c r="BK132" s="472">
        <f t="shared" si="260"/>
        <v>115348</v>
      </c>
      <c r="BL132" s="167">
        <f t="shared" si="260"/>
        <v>116129.32</v>
      </c>
      <c r="BM132" s="167">
        <f t="shared" si="260"/>
        <v>116960.8708</v>
      </c>
      <c r="BN132" s="167">
        <f t="shared" si="260"/>
        <v>117843.891412</v>
      </c>
      <c r="BO132" s="167">
        <f t="shared" si="260"/>
        <v>118779.66069747999</v>
      </c>
      <c r="BP132" s="472">
        <f t="shared" si="260"/>
        <v>118779.66069747999</v>
      </c>
      <c r="BQ132" s="167">
        <f t="shared" ref="BQ132:BU132" si="262">+BQ10+BQ18</f>
        <v>120313.90714749019</v>
      </c>
      <c r="BR132" s="167">
        <f t="shared" si="262"/>
        <v>121941.69285527969</v>
      </c>
      <c r="BS132" s="167">
        <f t="shared" si="262"/>
        <v>123666.43769716188</v>
      </c>
      <c r="BT132" s="167">
        <f t="shared" si="262"/>
        <v>125491.70156144263</v>
      </c>
      <c r="BU132" s="472">
        <f t="shared" si="262"/>
        <v>125491.70156144263</v>
      </c>
    </row>
    <row r="133" spans="2:73" ht="12.75">
      <c r="B133" s="224" t="s">
        <v>126</v>
      </c>
      <c r="C133" s="155"/>
      <c r="D133" s="329"/>
      <c r="E133" s="329"/>
      <c r="F133" s="329"/>
      <c r="G133" s="329"/>
      <c r="H133" s="329"/>
      <c r="I133" s="329" t="e">
        <f t="shared" ref="I133:R133" si="263">+I132/D132-1</f>
        <v>#DIV/0!</v>
      </c>
      <c r="J133" s="329" t="e">
        <f t="shared" si="263"/>
        <v>#DIV/0!</v>
      </c>
      <c r="K133" s="329" t="e">
        <f t="shared" si="263"/>
        <v>#DIV/0!</v>
      </c>
      <c r="L133" s="329" t="e">
        <f t="shared" si="263"/>
        <v>#DIV/0!</v>
      </c>
      <c r="M133" s="489" t="e">
        <f t="shared" si="263"/>
        <v>#DIV/0!</v>
      </c>
      <c r="N133" s="329" t="e">
        <f t="shared" si="263"/>
        <v>#DIV/0!</v>
      </c>
      <c r="O133" s="329" t="e">
        <f t="shared" si="263"/>
        <v>#DIV/0!</v>
      </c>
      <c r="P133" s="329" t="e">
        <f t="shared" si="263"/>
        <v>#DIV/0!</v>
      </c>
      <c r="Q133" s="329" t="e">
        <f t="shared" si="263"/>
        <v>#DIV/0!</v>
      </c>
      <c r="R133" s="489" t="e">
        <f t="shared" si="263"/>
        <v>#DIV/0!</v>
      </c>
      <c r="S133" s="329" t="e">
        <f t="shared" ref="S133:Z133" si="264">+S132/N132-1</f>
        <v>#DIV/0!</v>
      </c>
      <c r="T133" s="329" t="e">
        <f t="shared" si="264"/>
        <v>#DIV/0!</v>
      </c>
      <c r="U133" s="329" t="e">
        <f t="shared" si="264"/>
        <v>#DIV/0!</v>
      </c>
      <c r="V133" s="329" t="e">
        <f t="shared" si="264"/>
        <v>#DIV/0!</v>
      </c>
      <c r="W133" s="489" t="e">
        <f t="shared" si="264"/>
        <v>#DIV/0!</v>
      </c>
      <c r="X133" s="329" t="e">
        <f>+X132/S132-1</f>
        <v>#DIV/0!</v>
      </c>
      <c r="Y133" s="329" t="e">
        <f t="shared" si="264"/>
        <v>#DIV/0!</v>
      </c>
      <c r="Z133" s="329" t="e">
        <f t="shared" si="264"/>
        <v>#DIV/0!</v>
      </c>
      <c r="AA133" s="329">
        <f t="shared" ref="AA133:AP133" si="265">+AA132/V132-1</f>
        <v>0.47082643106939082</v>
      </c>
      <c r="AB133" s="489">
        <f t="shared" si="265"/>
        <v>0.47082643106939082</v>
      </c>
      <c r="AC133" s="329">
        <f t="shared" si="265"/>
        <v>0.42142807673661609</v>
      </c>
      <c r="AD133" s="329">
        <f t="shared" si="265"/>
        <v>0.36065625492979958</v>
      </c>
      <c r="AE133" s="329">
        <f t="shared" si="265"/>
        <v>0.35192250372578249</v>
      </c>
      <c r="AF133" s="329">
        <f t="shared" si="265"/>
        <v>0.28294331122512828</v>
      </c>
      <c r="AG133" s="489">
        <f t="shared" si="265"/>
        <v>0.28294331122512828</v>
      </c>
      <c r="AH133" s="329">
        <f t="shared" si="265"/>
        <v>0.26132820113038391</v>
      </c>
      <c r="AI133" s="329">
        <f t="shared" si="265"/>
        <v>0.25803459629921632</v>
      </c>
      <c r="AJ133" s="329">
        <f t="shared" si="265"/>
        <v>0.2465110126331107</v>
      </c>
      <c r="AK133" s="339">
        <f t="shared" si="265"/>
        <v>0.26100273117440498</v>
      </c>
      <c r="AL133" s="484">
        <f t="shared" si="265"/>
        <v>0.26100273117440498</v>
      </c>
      <c r="AM133" s="339">
        <f t="shared" si="265"/>
        <v>0.28623853211009176</v>
      </c>
      <c r="AN133" s="339">
        <f t="shared" si="265"/>
        <v>0.29192317617134211</v>
      </c>
      <c r="AO133" s="339">
        <f t="shared" si="265"/>
        <v>0.31612366903675415</v>
      </c>
      <c r="AP133" s="339">
        <f t="shared" si="265"/>
        <v>0.34848930212410467</v>
      </c>
      <c r="AQ133" s="484">
        <f t="shared" ref="AQ133:AZ133" si="266">+AQ132/AL132-1</f>
        <v>0.34848930212410467</v>
      </c>
      <c r="AR133" s="339">
        <f t="shared" si="266"/>
        <v>0.35302950671972377</v>
      </c>
      <c r="AS133" s="339">
        <f t="shared" si="266"/>
        <v>0.31605604063231185</v>
      </c>
      <c r="AT133" s="339">
        <f t="shared" si="266"/>
        <v>0.27889693728077836</v>
      </c>
      <c r="AU133" s="339">
        <f t="shared" si="266"/>
        <v>0.18252739058108181</v>
      </c>
      <c r="AV133" s="484">
        <f>+AV132/AQ132-1</f>
        <v>0.18252739058108181</v>
      </c>
      <c r="AW133" s="339">
        <f t="shared" si="266"/>
        <v>0.16880306309305815</v>
      </c>
      <c r="AX133" s="339">
        <f t="shared" si="266"/>
        <v>0.18204780746923954</v>
      </c>
      <c r="AY133" s="339">
        <f t="shared" si="266"/>
        <v>0.18283174309612882</v>
      </c>
      <c r="AZ133" s="339">
        <f t="shared" si="266"/>
        <v>0.17981081736599558</v>
      </c>
      <c r="BA133" s="484">
        <f t="shared" ref="BA133:BP133" si="267">+BA132/AV132-1</f>
        <v>0.17981081736599558</v>
      </c>
      <c r="BB133" s="339">
        <f t="shared" si="267"/>
        <v>0.16118311731472246</v>
      </c>
      <c r="BC133" s="339">
        <f t="shared" si="267"/>
        <v>0.13330215154349867</v>
      </c>
      <c r="BD133" s="339">
        <f t="shared" si="267"/>
        <v>8.4743654664499068E-2</v>
      </c>
      <c r="BE133" s="339">
        <f t="shared" si="267"/>
        <v>3.4512248271098445E-2</v>
      </c>
      <c r="BF133" s="484">
        <f t="shared" si="267"/>
        <v>3.4512248271098445E-2</v>
      </c>
      <c r="BG133" s="339">
        <f t="shared" si="267"/>
        <v>-1.4555564641426155E-2</v>
      </c>
      <c r="BH133" s="339">
        <f t="shared" si="267"/>
        <v>-6.1235059438550454E-2</v>
      </c>
      <c r="BI133" s="339">
        <f t="shared" si="267"/>
        <v>-8.5469525478698127E-2</v>
      </c>
      <c r="BJ133" s="339">
        <f t="shared" si="267"/>
        <v>-8.3127990715864075E-2</v>
      </c>
      <c r="BK133" s="484">
        <f t="shared" si="267"/>
        <v>-8.3127990715864075E-2</v>
      </c>
      <c r="BL133" s="339">
        <f t="shared" si="267"/>
        <v>-3.6351174176416867E-2</v>
      </c>
      <c r="BM133" s="339">
        <f t="shared" si="267"/>
        <v>8.231219074875451E-3</v>
      </c>
      <c r="BN133" s="339">
        <f t="shared" si="267"/>
        <v>5.5324731001379135E-2</v>
      </c>
      <c r="BO133" s="339">
        <f t="shared" si="267"/>
        <v>2.975050020355785E-2</v>
      </c>
      <c r="BP133" s="484">
        <f t="shared" si="267"/>
        <v>2.975050020355785E-2</v>
      </c>
      <c r="BQ133" s="339">
        <f t="shared" ref="BQ133" si="268">+BQ132/BL132-1</f>
        <v>3.6033855597278786E-2</v>
      </c>
      <c r="BR133" s="339">
        <f t="shared" ref="BR133" si="269">+BR132/BM132-1</f>
        <v>4.2585370827109781E-2</v>
      </c>
      <c r="BS133" s="339">
        <f t="shared" ref="BS133" si="270">+BS132/BN132-1</f>
        <v>4.9408978398425285E-2</v>
      </c>
      <c r="BT133" s="339">
        <f t="shared" ref="BT133" si="271">+BT132/BO132-1</f>
        <v>5.6508335051213443E-2</v>
      </c>
      <c r="BU133" s="484">
        <f t="shared" ref="BU133" si="272">+BU132/BP132-1</f>
        <v>5.6508335051213443E-2</v>
      </c>
    </row>
    <row r="134" spans="2:73" ht="12.75">
      <c r="B134" s="224" t="s">
        <v>141</v>
      </c>
      <c r="C134" s="155"/>
      <c r="D134" s="330" t="e">
        <f>+D132/B132-1</f>
        <v>#DIV/0!</v>
      </c>
      <c r="E134" s="330" t="e">
        <f>+E132/D132-1</f>
        <v>#DIV/0!</v>
      </c>
      <c r="F134" s="330" t="e">
        <f>+F132/E132-1</f>
        <v>#DIV/0!</v>
      </c>
      <c r="G134" s="330" t="e">
        <f>+G132/F132-1</f>
        <v>#DIV/0!</v>
      </c>
      <c r="H134" s="332"/>
      <c r="I134" s="330" t="e">
        <f>+I132/G132-1</f>
        <v>#DIV/0!</v>
      </c>
      <c r="J134" s="330" t="e">
        <f>+J132/I132-1</f>
        <v>#DIV/0!</v>
      </c>
      <c r="K134" s="330" t="e">
        <f>+K132/J132-1</f>
        <v>#DIV/0!</v>
      </c>
      <c r="L134" s="330" t="e">
        <f>+L132/K132-1</f>
        <v>#DIV/0!</v>
      </c>
      <c r="M134" s="495"/>
      <c r="N134" s="330" t="e">
        <f>+N132/L132-1</f>
        <v>#DIV/0!</v>
      </c>
      <c r="O134" s="330" t="e">
        <f>+O132/N132-1</f>
        <v>#DIV/0!</v>
      </c>
      <c r="P134" s="330" t="e">
        <f>+P132/O132-1</f>
        <v>#DIV/0!</v>
      </c>
      <c r="Q134" s="330" t="e">
        <f>+Q132/P132-1</f>
        <v>#DIV/0!</v>
      </c>
      <c r="R134" s="495"/>
      <c r="S134" s="330" t="e">
        <f>+S132/Q132-1</f>
        <v>#DIV/0!</v>
      </c>
      <c r="T134" s="330" t="e">
        <f>+T132/S132-1</f>
        <v>#DIV/0!</v>
      </c>
      <c r="U134" s="330" t="e">
        <f>+U132/T132-1</f>
        <v>#DIV/0!</v>
      </c>
      <c r="V134" s="330" t="e">
        <f>+V132/U132-1</f>
        <v>#DIV/0!</v>
      </c>
      <c r="W134" s="495"/>
      <c r="X134" s="330">
        <f>+X132/V132-1</f>
        <v>6.3059083379348513E-2</v>
      </c>
      <c r="Y134" s="330">
        <f>+Y132/X132-1</f>
        <v>9.7548306669436924E-2</v>
      </c>
      <c r="Z134" s="330">
        <f>+Z132/Y132-1</f>
        <v>5.8526581479728668E-2</v>
      </c>
      <c r="AA134" s="330">
        <f>+AA132/Z132-1</f>
        <v>0.19090909090909092</v>
      </c>
      <c r="AB134" s="495"/>
      <c r="AC134" s="330">
        <f>+AC132/AA132-1</f>
        <v>2.7355775247153158E-2</v>
      </c>
      <c r="AD134" s="330">
        <f>+AD132/AC132-1</f>
        <v>5.0623660105242552E-2</v>
      </c>
      <c r="AE134" s="330">
        <f>+AE132/AD132-1</f>
        <v>5.173213374762331E-2</v>
      </c>
      <c r="AF134" s="330">
        <f>+AF132/AE132-1</f>
        <v>0.13014529179619472</v>
      </c>
      <c r="AG134" s="495"/>
      <c r="AH134" s="330">
        <f>+AH132/AF132-1</f>
        <v>1.0046820132657119E-2</v>
      </c>
      <c r="AI134" s="330">
        <f>+AI132/AH132-1</f>
        <v>4.7880251086431569E-2</v>
      </c>
      <c r="AJ134" s="330">
        <f>+AJ132/AI132-1</f>
        <v>4.2098278467947114E-2</v>
      </c>
      <c r="AK134" s="359">
        <f>+AK132/AJ132-1</f>
        <v>0.14328416286391454</v>
      </c>
      <c r="AL134" s="470"/>
      <c r="AM134" s="359">
        <f>+AM132/AK132-1</f>
        <v>3.0260369126997588E-2</v>
      </c>
      <c r="AN134" s="359">
        <f>+AN132/AL132-1</f>
        <v>8.4360834790142114E-2</v>
      </c>
      <c r="AO134" s="359">
        <f>+AO132/AM132-1</f>
        <v>0.11736616863127858</v>
      </c>
      <c r="AP134" s="359">
        <f>+AP132/AN132-1</f>
        <v>0.24357986646122232</v>
      </c>
      <c r="AQ134" s="470"/>
      <c r="AR134" s="359">
        <f>+AR132/AP132-1</f>
        <v>3.3729134400275251E-2</v>
      </c>
      <c r="AS134" s="359">
        <f>+AS132/AQ132-1</f>
        <v>5.8280273045373754E-2</v>
      </c>
      <c r="AT134" s="359">
        <f>+AT132/AR132-1</f>
        <v>5.6145607901892269E-2</v>
      </c>
      <c r="AU134" s="359">
        <f>+AU132/AS132-1</f>
        <v>0.11740473738414003</v>
      </c>
      <c r="AV134" s="470"/>
      <c r="AW134" s="359">
        <f>+AW132/AU132-1</f>
        <v>2.1731748726655287E-2</v>
      </c>
      <c r="AX134" s="359">
        <f>+AX132/AV132-1</f>
        <v>5.7851079311181275E-2</v>
      </c>
      <c r="AY134" s="359">
        <f>+AY132/AW132-1</f>
        <v>6.8822105113231835E-2</v>
      </c>
      <c r="AZ134" s="359">
        <f>+AZ132/AX132-1</f>
        <v>0.11529008235660965</v>
      </c>
      <c r="BA134" s="470"/>
      <c r="BB134" s="359">
        <f>+BB132/AZ132-1</f>
        <v>5.5999144800138456E-3</v>
      </c>
      <c r="BC134" s="359">
        <f>+BC132/BA132-1</f>
        <v>1.6150120468057416E-2</v>
      </c>
      <c r="BD134" s="359">
        <f>+BD132/BB132-1</f>
        <v>-1.5373292992068022E-3</v>
      </c>
      <c r="BE134" s="359">
        <f>+BE132/BC132-1</f>
        <v>1.8070290435612923E-2</v>
      </c>
      <c r="BF134" s="470"/>
      <c r="BG134" s="359">
        <f>+BG132/BE132-1</f>
        <v>-4.2096561372271579E-2</v>
      </c>
      <c r="BH134" s="359">
        <f>+BH132/BG132-1</f>
        <v>-3.7374491743423777E-2</v>
      </c>
      <c r="BI134" s="359">
        <f>+BI132/BH132-1</f>
        <v>-3.7411858007344478E-2</v>
      </c>
      <c r="BJ134" s="359">
        <f>+BJ132/BI132-1</f>
        <v>3.2973331184066756E-2</v>
      </c>
      <c r="BK134" s="470"/>
      <c r="BL134" s="359">
        <f>+BL132/BJ132-1</f>
        <v>6.7735894857301471E-3</v>
      </c>
      <c r="BM134" s="359">
        <f>+BM132/BL132-1</f>
        <v>7.1605585910603509E-3</v>
      </c>
      <c r="BN134" s="359">
        <f>+BN132/BM132-1</f>
        <v>7.5497096247678641E-3</v>
      </c>
      <c r="BO134" s="359">
        <f>+BO132/BN132-1</f>
        <v>7.9407534346298547E-3</v>
      </c>
      <c r="BP134" s="470"/>
      <c r="BQ134" s="359">
        <f>+BQ132/BO132-1</f>
        <v>1.2916743834769484E-2</v>
      </c>
      <c r="BR134" s="359">
        <f>+BR132/BQ132-1</f>
        <v>1.3529489203555123E-2</v>
      </c>
      <c r="BS134" s="359">
        <f>+BS132/BR132-1</f>
        <v>1.4144012613709789E-2</v>
      </c>
      <c r="BT134" s="359">
        <f>+BT132/BS132-1</f>
        <v>1.47595733997814E-2</v>
      </c>
      <c r="BU134" s="470"/>
    </row>
    <row r="135" spans="2:73" ht="12.75">
      <c r="B135" s="224"/>
      <c r="C135" s="155"/>
      <c r="D135" s="330"/>
      <c r="E135" s="330"/>
      <c r="F135" s="330"/>
      <c r="G135" s="330"/>
      <c r="H135" s="332"/>
      <c r="I135" s="330"/>
      <c r="J135" s="330"/>
      <c r="K135" s="330"/>
      <c r="L135" s="330"/>
      <c r="M135" s="495"/>
      <c r="N135" s="330"/>
      <c r="O135" s="330"/>
      <c r="P135" s="330"/>
      <c r="Q135" s="330"/>
      <c r="R135" s="495"/>
      <c r="S135" s="330"/>
      <c r="T135" s="330"/>
      <c r="U135" s="330"/>
      <c r="V135" s="330"/>
      <c r="W135" s="495"/>
      <c r="X135" s="330"/>
      <c r="Y135" s="330"/>
      <c r="Z135" s="330"/>
      <c r="AA135" s="330"/>
      <c r="AB135" s="495"/>
      <c r="AC135" s="330"/>
      <c r="AD135" s="330"/>
      <c r="AE135" s="330"/>
      <c r="AF135" s="330"/>
      <c r="AG135" s="495"/>
      <c r="AH135" s="330"/>
      <c r="AI135" s="330"/>
      <c r="AJ135" s="330"/>
      <c r="AK135" s="359"/>
      <c r="AL135" s="470"/>
      <c r="AM135" s="359"/>
      <c r="AN135" s="359"/>
      <c r="AO135" s="359"/>
      <c r="AP135" s="359"/>
      <c r="AQ135" s="470"/>
      <c r="AR135" s="359"/>
      <c r="AS135" s="359"/>
      <c r="AT135" s="359"/>
      <c r="AU135" s="359"/>
      <c r="AV135" s="470"/>
      <c r="AW135" s="359"/>
      <c r="AX135" s="359"/>
      <c r="AY135" s="359"/>
      <c r="AZ135" s="359"/>
      <c r="BA135" s="470"/>
      <c r="BB135" s="359"/>
      <c r="BC135" s="359"/>
      <c r="BD135" s="359"/>
      <c r="BE135" s="359"/>
      <c r="BF135" s="470"/>
      <c r="BG135" s="359"/>
      <c r="BH135" s="359"/>
      <c r="BI135" s="359"/>
      <c r="BJ135" s="359"/>
      <c r="BK135" s="470"/>
      <c r="BL135" s="359"/>
      <c r="BM135" s="359"/>
      <c r="BN135" s="359"/>
      <c r="BO135" s="359"/>
      <c r="BP135" s="470"/>
      <c r="BQ135" s="359"/>
      <c r="BR135" s="359"/>
      <c r="BS135" s="359"/>
      <c r="BT135" s="359"/>
      <c r="BU135" s="470"/>
    </row>
    <row r="136" spans="2:73" ht="12.75">
      <c r="B136" s="155" t="s">
        <v>312</v>
      </c>
      <c r="C136" s="155"/>
      <c r="D136" s="328">
        <f t="shared" ref="D136:AI136" si="273">+D10</f>
        <v>0</v>
      </c>
      <c r="E136" s="328">
        <f t="shared" si="273"/>
        <v>0</v>
      </c>
      <c r="F136" s="328">
        <f t="shared" si="273"/>
        <v>0</v>
      </c>
      <c r="G136" s="328">
        <f t="shared" si="273"/>
        <v>0</v>
      </c>
      <c r="H136" s="328">
        <f t="shared" si="273"/>
        <v>0</v>
      </c>
      <c r="I136" s="328">
        <f t="shared" si="273"/>
        <v>0</v>
      </c>
      <c r="J136" s="328">
        <f t="shared" si="273"/>
        <v>0</v>
      </c>
      <c r="K136" s="328">
        <f t="shared" si="273"/>
        <v>0</v>
      </c>
      <c r="L136" s="328">
        <f t="shared" si="273"/>
        <v>0</v>
      </c>
      <c r="M136" s="488">
        <f t="shared" si="273"/>
        <v>0</v>
      </c>
      <c r="N136" s="328">
        <f t="shared" si="273"/>
        <v>0</v>
      </c>
      <c r="O136" s="328">
        <f t="shared" si="273"/>
        <v>0</v>
      </c>
      <c r="P136" s="328">
        <f t="shared" si="273"/>
        <v>0</v>
      </c>
      <c r="Q136" s="328">
        <f t="shared" si="273"/>
        <v>0</v>
      </c>
      <c r="R136" s="488">
        <f t="shared" si="273"/>
        <v>0</v>
      </c>
      <c r="S136" s="328">
        <f t="shared" si="273"/>
        <v>0</v>
      </c>
      <c r="T136" s="328">
        <f t="shared" si="273"/>
        <v>0</v>
      </c>
      <c r="U136" s="328">
        <f t="shared" si="273"/>
        <v>0</v>
      </c>
      <c r="V136" s="328">
        <f t="shared" si="273"/>
        <v>7844</v>
      </c>
      <c r="W136" s="488">
        <f t="shared" si="273"/>
        <v>7844</v>
      </c>
      <c r="X136" s="328">
        <f t="shared" si="273"/>
        <v>8583</v>
      </c>
      <c r="Y136" s="328">
        <f t="shared" si="273"/>
        <v>9481</v>
      </c>
      <c r="Z136" s="328">
        <f t="shared" si="273"/>
        <v>10376</v>
      </c>
      <c r="AA136" s="328">
        <f t="shared" si="273"/>
        <v>12321</v>
      </c>
      <c r="AB136" s="488">
        <f t="shared" si="273"/>
        <v>12321</v>
      </c>
      <c r="AC136" s="328">
        <f t="shared" si="273"/>
        <v>12994</v>
      </c>
      <c r="AD136" s="328">
        <f t="shared" si="273"/>
        <v>13851</v>
      </c>
      <c r="AE136" s="328">
        <f t="shared" si="273"/>
        <v>14905</v>
      </c>
      <c r="AF136" s="328">
        <f t="shared" si="273"/>
        <v>17047</v>
      </c>
      <c r="AG136" s="488">
        <f t="shared" si="273"/>
        <v>17047</v>
      </c>
      <c r="AH136" s="328">
        <f t="shared" si="273"/>
        <v>17486</v>
      </c>
      <c r="AI136" s="328">
        <f t="shared" si="273"/>
        <v>18439</v>
      </c>
      <c r="AJ136" s="328">
        <f t="shared" ref="AJ136:BP136" si="274">+AJ10</f>
        <v>19269</v>
      </c>
      <c r="AK136" s="328">
        <f t="shared" si="274"/>
        <v>21536</v>
      </c>
      <c r="AL136" s="472">
        <f t="shared" si="274"/>
        <v>21536</v>
      </c>
      <c r="AM136" s="167">
        <f t="shared" si="274"/>
        <v>22598</v>
      </c>
      <c r="AN136" s="167">
        <f t="shared" si="274"/>
        <v>23960</v>
      </c>
      <c r="AO136" s="167">
        <f t="shared" si="274"/>
        <v>25863</v>
      </c>
      <c r="AP136" s="167">
        <f t="shared" si="274"/>
        <v>29974</v>
      </c>
      <c r="AQ136" s="472">
        <f t="shared" si="274"/>
        <v>29974</v>
      </c>
      <c r="AR136" s="167">
        <f t="shared" si="274"/>
        <v>30984</v>
      </c>
      <c r="AS136" s="167">
        <f t="shared" si="274"/>
        <v>31367</v>
      </c>
      <c r="AT136" s="167">
        <f t="shared" si="274"/>
        <v>33307</v>
      </c>
      <c r="AU136" s="167">
        <f t="shared" si="274"/>
        <v>34906</v>
      </c>
      <c r="AV136" s="472">
        <f t="shared" si="274"/>
        <v>34906</v>
      </c>
      <c r="AW136" s="167">
        <f t="shared" si="274"/>
        <v>36171</v>
      </c>
      <c r="AX136" s="167">
        <f t="shared" si="274"/>
        <v>38661</v>
      </c>
      <c r="AY136" s="167">
        <f t="shared" si="274"/>
        <v>40909</v>
      </c>
      <c r="AZ136" s="167">
        <f t="shared" si="274"/>
        <v>45008</v>
      </c>
      <c r="BA136" s="472">
        <f t="shared" si="274"/>
        <v>45008</v>
      </c>
      <c r="BB136" s="167">
        <f t="shared" si="274"/>
        <v>47003</v>
      </c>
      <c r="BC136" s="167">
        <f t="shared" si="274"/>
        <v>48880</v>
      </c>
      <c r="BD136" s="167">
        <f t="shared" si="274"/>
        <v>49710</v>
      </c>
      <c r="BE136" s="167">
        <f t="shared" si="274"/>
        <v>52134</v>
      </c>
      <c r="BF136" s="472">
        <f t="shared" si="274"/>
        <v>52134</v>
      </c>
      <c r="BG136" s="167">
        <f t="shared" si="274"/>
        <v>50667</v>
      </c>
      <c r="BH136" s="167">
        <f t="shared" si="274"/>
        <v>49292</v>
      </c>
      <c r="BI136" s="167">
        <f t="shared" si="274"/>
        <v>47557</v>
      </c>
      <c r="BJ136" s="167">
        <f t="shared" si="274"/>
        <v>48370</v>
      </c>
      <c r="BK136" s="472">
        <f t="shared" si="274"/>
        <v>48370</v>
      </c>
      <c r="BL136" s="167">
        <f t="shared" si="274"/>
        <v>49821.1</v>
      </c>
      <c r="BM136" s="167">
        <f t="shared" si="274"/>
        <v>51315.733</v>
      </c>
      <c r="BN136" s="167">
        <f t="shared" si="274"/>
        <v>52855.204989999998</v>
      </c>
      <c r="BO136" s="167">
        <f t="shared" si="274"/>
        <v>54440.861139699999</v>
      </c>
      <c r="BP136" s="472">
        <f t="shared" si="274"/>
        <v>54440.861139699999</v>
      </c>
      <c r="BQ136" s="167">
        <f t="shared" ref="BQ136:BU136" si="275">+BQ10</f>
        <v>56618.495585288001</v>
      </c>
      <c r="BR136" s="167">
        <f t="shared" si="275"/>
        <v>58883.235408699526</v>
      </c>
      <c r="BS136" s="167">
        <f t="shared" si="275"/>
        <v>61238.564825047506</v>
      </c>
      <c r="BT136" s="167">
        <f t="shared" si="275"/>
        <v>63688.107418049411</v>
      </c>
      <c r="BU136" s="472">
        <f t="shared" si="275"/>
        <v>63688.107418049411</v>
      </c>
    </row>
    <row r="137" spans="2:73" ht="12.75">
      <c r="B137" s="224" t="s">
        <v>313</v>
      </c>
      <c r="C137" s="155"/>
      <c r="D137" s="330" t="e">
        <f t="shared" ref="D137:AQ137" si="276">+D136/D$132</f>
        <v>#DIV/0!</v>
      </c>
      <c r="E137" s="330" t="e">
        <f t="shared" si="276"/>
        <v>#DIV/0!</v>
      </c>
      <c r="F137" s="330" t="e">
        <f t="shared" si="276"/>
        <v>#DIV/0!</v>
      </c>
      <c r="G137" s="330" t="e">
        <f t="shared" si="276"/>
        <v>#DIV/0!</v>
      </c>
      <c r="H137" s="330" t="e">
        <f t="shared" si="276"/>
        <v>#DIV/0!</v>
      </c>
      <c r="I137" s="330" t="e">
        <f t="shared" si="276"/>
        <v>#DIV/0!</v>
      </c>
      <c r="J137" s="330" t="e">
        <f t="shared" si="276"/>
        <v>#DIV/0!</v>
      </c>
      <c r="K137" s="330" t="e">
        <f t="shared" si="276"/>
        <v>#DIV/0!</v>
      </c>
      <c r="L137" s="330" t="e">
        <f t="shared" si="276"/>
        <v>#DIV/0!</v>
      </c>
      <c r="M137" s="489" t="e">
        <f t="shared" si="276"/>
        <v>#DIV/0!</v>
      </c>
      <c r="N137" s="330" t="e">
        <f t="shared" si="276"/>
        <v>#DIV/0!</v>
      </c>
      <c r="O137" s="330" t="e">
        <f t="shared" si="276"/>
        <v>#DIV/0!</v>
      </c>
      <c r="P137" s="330" t="e">
        <f t="shared" si="276"/>
        <v>#DIV/0!</v>
      </c>
      <c r="Q137" s="330" t="e">
        <f t="shared" si="276"/>
        <v>#DIV/0!</v>
      </c>
      <c r="R137" s="489" t="e">
        <f t="shared" si="276"/>
        <v>#DIV/0!</v>
      </c>
      <c r="S137" s="330" t="e">
        <f t="shared" si="276"/>
        <v>#DIV/0!</v>
      </c>
      <c r="T137" s="330" t="e">
        <f t="shared" si="276"/>
        <v>#DIV/0!</v>
      </c>
      <c r="U137" s="330" t="e">
        <f t="shared" si="276"/>
        <v>#DIV/0!</v>
      </c>
      <c r="V137" s="330">
        <f t="shared" si="276"/>
        <v>0.28875391128290079</v>
      </c>
      <c r="W137" s="489">
        <f t="shared" si="276"/>
        <v>0.28875391128290079</v>
      </c>
      <c r="X137" s="330">
        <f t="shared" si="276"/>
        <v>0.29721587367546232</v>
      </c>
      <c r="Y137" s="330">
        <f t="shared" si="276"/>
        <v>0.29913235526108217</v>
      </c>
      <c r="Z137" s="330">
        <f t="shared" si="276"/>
        <v>0.30926974664679585</v>
      </c>
      <c r="AA137" s="330">
        <f t="shared" si="276"/>
        <v>0.30837191840820921</v>
      </c>
      <c r="AB137" s="489">
        <f t="shared" si="276"/>
        <v>0.30837191840820921</v>
      </c>
      <c r="AC137" s="330">
        <f t="shared" si="276"/>
        <v>0.31655622685636331</v>
      </c>
      <c r="AD137" s="330">
        <f t="shared" si="276"/>
        <v>0.32117516115568334</v>
      </c>
      <c r="AE137" s="330">
        <f t="shared" ref="AE137:AK137" si="277">+AE136/AE$132</f>
        <v>0.32861520823687634</v>
      </c>
      <c r="AF137" s="330">
        <f t="shared" si="277"/>
        <v>0.33255950058525163</v>
      </c>
      <c r="AG137" s="489">
        <f t="shared" si="277"/>
        <v>0.33255950058525163</v>
      </c>
      <c r="AH137" s="330">
        <f t="shared" si="277"/>
        <v>0.33773056494447129</v>
      </c>
      <c r="AI137" s="330">
        <f t="shared" si="277"/>
        <v>0.33986434179968295</v>
      </c>
      <c r="AJ137" s="330">
        <f t="shared" si="277"/>
        <v>0.3408150270614454</v>
      </c>
      <c r="AK137" s="330">
        <f t="shared" si="277"/>
        <v>0.33317347112424389</v>
      </c>
      <c r="AL137" s="484">
        <f t="shared" si="276"/>
        <v>0.33317347112424389</v>
      </c>
      <c r="AM137" s="359">
        <f t="shared" si="276"/>
        <v>0.33933478489376079</v>
      </c>
      <c r="AN137" s="359">
        <f>+AN136/AN$132</f>
        <v>0.34183644353135878</v>
      </c>
      <c r="AO137" s="359">
        <f>+AO136/AO$132</f>
        <v>0.34756957976643238</v>
      </c>
      <c r="AP137" s="359">
        <f>+AP136/AP$132</f>
        <v>0.34387655595709288</v>
      </c>
      <c r="AQ137" s="484">
        <f t="shared" si="276"/>
        <v>0.34387655595709288</v>
      </c>
      <c r="AR137" s="359">
        <f t="shared" ref="AR137:BP137" si="278">+AR136/AR$132</f>
        <v>0.34386549026136176</v>
      </c>
      <c r="AS137" s="359">
        <f t="shared" si="278"/>
        <v>0.34004011057509892</v>
      </c>
      <c r="AT137" s="359">
        <f t="shared" si="278"/>
        <v>0.34999579672985581</v>
      </c>
      <c r="AU137" s="359">
        <f t="shared" si="278"/>
        <v>0.33864661654135336</v>
      </c>
      <c r="AV137" s="484">
        <f t="shared" si="278"/>
        <v>0.33864661654135336</v>
      </c>
      <c r="AW137" s="359">
        <f t="shared" si="278"/>
        <v>0.34345534824099133</v>
      </c>
      <c r="AX137" s="359">
        <f t="shared" si="278"/>
        <v>0.35456446376492601</v>
      </c>
      <c r="AY137" s="359">
        <f t="shared" si="278"/>
        <v>0.36343203361673021</v>
      </c>
      <c r="AZ137" s="359">
        <f t="shared" si="278"/>
        <v>0.3701041863677853</v>
      </c>
      <c r="BA137" s="484">
        <f t="shared" si="278"/>
        <v>0.3701041863677853</v>
      </c>
      <c r="BB137" s="359">
        <f t="shared" si="278"/>
        <v>0.38435685665222014</v>
      </c>
      <c r="BC137" s="359">
        <f t="shared" si="278"/>
        <v>0.39555566345399074</v>
      </c>
      <c r="BD137" s="359">
        <f t="shared" si="278"/>
        <v>0.40711863851533964</v>
      </c>
      <c r="BE137" s="359">
        <f t="shared" si="278"/>
        <v>0.41439994912802253</v>
      </c>
      <c r="BF137" s="484">
        <f t="shared" si="278"/>
        <v>0.41439994912802253</v>
      </c>
      <c r="BG137" s="359">
        <f t="shared" ref="BG137" si="279">+BG136/BG$132</f>
        <v>0.42043813791386608</v>
      </c>
      <c r="BH137" s="359">
        <f t="shared" si="278"/>
        <v>0.42490905642811577</v>
      </c>
      <c r="BI137" s="359">
        <f t="shared" si="278"/>
        <v>0.42588612469328174</v>
      </c>
      <c r="BJ137" s="359">
        <f t="shared" si="278"/>
        <v>0.41933973714325345</v>
      </c>
      <c r="BK137" s="484">
        <f t="shared" si="278"/>
        <v>0.41933973714325345</v>
      </c>
      <c r="BL137" s="359">
        <f t="shared" si="278"/>
        <v>0.42901396477650944</v>
      </c>
      <c r="BM137" s="359">
        <f t="shared" si="278"/>
        <v>0.4387427406191986</v>
      </c>
      <c r="BN137" s="359">
        <f t="shared" si="278"/>
        <v>0.4485188358657492</v>
      </c>
      <c r="BO137" s="359">
        <f t="shared" si="278"/>
        <v>0.45833487669539202</v>
      </c>
      <c r="BP137" s="484">
        <f t="shared" si="278"/>
        <v>0.45833487669539202</v>
      </c>
      <c r="BQ137" s="359">
        <f t="shared" ref="BQ137:BU137" si="280">+BQ136/BQ$132</f>
        <v>0.4705897840711018</v>
      </c>
      <c r="BR137" s="359">
        <f t="shared" si="280"/>
        <v>0.48288025227419229</v>
      </c>
      <c r="BS137" s="359">
        <f t="shared" si="280"/>
        <v>0.49519146799562835</v>
      </c>
      <c r="BT137" s="359">
        <f t="shared" si="280"/>
        <v>0.50750851750039228</v>
      </c>
      <c r="BU137" s="484">
        <f t="shared" si="280"/>
        <v>0.50750851750039228</v>
      </c>
    </row>
    <row r="138" spans="2:73" ht="12.75">
      <c r="B138" s="224" t="s">
        <v>126</v>
      </c>
      <c r="C138" s="155"/>
      <c r="D138" s="329"/>
      <c r="E138" s="329"/>
      <c r="F138" s="329"/>
      <c r="G138" s="329"/>
      <c r="H138" s="329"/>
      <c r="I138" s="329" t="e">
        <f t="shared" ref="I138:AZ138" si="281">+I136/D136-1</f>
        <v>#DIV/0!</v>
      </c>
      <c r="J138" s="329" t="e">
        <f t="shared" si="281"/>
        <v>#DIV/0!</v>
      </c>
      <c r="K138" s="329" t="e">
        <f t="shared" si="281"/>
        <v>#DIV/0!</v>
      </c>
      <c r="L138" s="329" t="e">
        <f t="shared" si="281"/>
        <v>#DIV/0!</v>
      </c>
      <c r="M138" s="489" t="e">
        <f t="shared" si="281"/>
        <v>#DIV/0!</v>
      </c>
      <c r="N138" s="329" t="e">
        <f t="shared" si="281"/>
        <v>#DIV/0!</v>
      </c>
      <c r="O138" s="329" t="e">
        <f t="shared" si="281"/>
        <v>#DIV/0!</v>
      </c>
      <c r="P138" s="329" t="e">
        <f t="shared" si="281"/>
        <v>#DIV/0!</v>
      </c>
      <c r="Q138" s="329" t="e">
        <f t="shared" si="281"/>
        <v>#DIV/0!</v>
      </c>
      <c r="R138" s="489" t="e">
        <f t="shared" si="281"/>
        <v>#DIV/0!</v>
      </c>
      <c r="S138" s="329" t="e">
        <f t="shared" si="281"/>
        <v>#DIV/0!</v>
      </c>
      <c r="T138" s="329" t="e">
        <f t="shared" si="281"/>
        <v>#DIV/0!</v>
      </c>
      <c r="U138" s="329" t="e">
        <f t="shared" si="281"/>
        <v>#DIV/0!</v>
      </c>
      <c r="V138" s="329" t="e">
        <f t="shared" si="281"/>
        <v>#DIV/0!</v>
      </c>
      <c r="W138" s="489" t="e">
        <f t="shared" si="281"/>
        <v>#DIV/0!</v>
      </c>
      <c r="X138" s="329" t="e">
        <f t="shared" si="281"/>
        <v>#DIV/0!</v>
      </c>
      <c r="Y138" s="329" t="e">
        <f t="shared" si="281"/>
        <v>#DIV/0!</v>
      </c>
      <c r="Z138" s="329" t="e">
        <f t="shared" si="281"/>
        <v>#DIV/0!</v>
      </c>
      <c r="AA138" s="329">
        <f t="shared" si="281"/>
        <v>0.570754716981132</v>
      </c>
      <c r="AB138" s="489">
        <f t="shared" si="281"/>
        <v>0.570754716981132</v>
      </c>
      <c r="AC138" s="329">
        <f t="shared" si="281"/>
        <v>0.51392287079109877</v>
      </c>
      <c r="AD138" s="329">
        <f t="shared" si="281"/>
        <v>0.46092184368737477</v>
      </c>
      <c r="AE138" s="329">
        <f t="shared" si="281"/>
        <v>0.43648804934464147</v>
      </c>
      <c r="AF138" s="329">
        <f t="shared" si="281"/>
        <v>0.38357276195114043</v>
      </c>
      <c r="AG138" s="489">
        <f>+AG136/AB136-1</f>
        <v>0.38357276195114043</v>
      </c>
      <c r="AH138" s="329">
        <f>+AH136/AC136-1</f>
        <v>0.34569801446821602</v>
      </c>
      <c r="AI138" s="329">
        <f t="shared" si="281"/>
        <v>0.33123962168796472</v>
      </c>
      <c r="AJ138" s="329">
        <f t="shared" si="281"/>
        <v>0.29278765514927874</v>
      </c>
      <c r="AK138" s="329">
        <f t="shared" si="281"/>
        <v>0.26333079134158499</v>
      </c>
      <c r="AL138" s="484">
        <f t="shared" si="281"/>
        <v>0.26333079134158499</v>
      </c>
      <c r="AM138" s="339">
        <f t="shared" si="281"/>
        <v>0.29234816424568222</v>
      </c>
      <c r="AN138" s="339">
        <f>+AN136/AI136-1</f>
        <v>0.29941970822712727</v>
      </c>
      <c r="AO138" s="339">
        <f>+AO136/AJ136-1</f>
        <v>0.3422076911100731</v>
      </c>
      <c r="AP138" s="339">
        <f>+AP136/AK136-1</f>
        <v>0.39180906389301629</v>
      </c>
      <c r="AQ138" s="484">
        <f t="shared" si="281"/>
        <v>0.39180906389301629</v>
      </c>
      <c r="AR138" s="339">
        <f t="shared" si="281"/>
        <v>0.37109478714930533</v>
      </c>
      <c r="AS138" s="339">
        <f t="shared" si="281"/>
        <v>0.30914023372287147</v>
      </c>
      <c r="AT138" s="339">
        <f t="shared" si="281"/>
        <v>0.28782430499168687</v>
      </c>
      <c r="AU138" s="339">
        <f t="shared" si="281"/>
        <v>0.1645426035897779</v>
      </c>
      <c r="AV138" s="484">
        <f>+AV136/AQ136-1</f>
        <v>0.1645426035897779</v>
      </c>
      <c r="AW138" s="339">
        <f t="shared" si="281"/>
        <v>0.16740898528272652</v>
      </c>
      <c r="AX138" s="339">
        <f t="shared" si="281"/>
        <v>0.23253738004909619</v>
      </c>
      <c r="AY138" s="339">
        <f t="shared" si="281"/>
        <v>0.22824030984477739</v>
      </c>
      <c r="AZ138" s="339">
        <f t="shared" si="281"/>
        <v>0.28940583280811327</v>
      </c>
      <c r="BA138" s="484">
        <f t="shared" ref="BA138:BP138" si="282">+BA136/AV136-1</f>
        <v>0.28940583280811327</v>
      </c>
      <c r="BB138" s="339">
        <f t="shared" si="282"/>
        <v>0.29946642337784413</v>
      </c>
      <c r="BC138" s="339">
        <f t="shared" si="282"/>
        <v>0.26432321978220941</v>
      </c>
      <c r="BD138" s="339">
        <f t="shared" si="282"/>
        <v>0.21513603363563027</v>
      </c>
      <c r="BE138" s="339">
        <f t="shared" si="282"/>
        <v>0.15832740846071802</v>
      </c>
      <c r="BF138" s="484">
        <f t="shared" si="282"/>
        <v>0.15832740846071802</v>
      </c>
      <c r="BG138" s="339">
        <f t="shared" si="282"/>
        <v>7.795247111886483E-2</v>
      </c>
      <c r="BH138" s="339">
        <f t="shared" si="282"/>
        <v>8.4288052373158173E-3</v>
      </c>
      <c r="BI138" s="339">
        <f t="shared" si="282"/>
        <v>-4.3311204988935814E-2</v>
      </c>
      <c r="BJ138" s="339">
        <f t="shared" si="282"/>
        <v>-7.2198565235738643E-2</v>
      </c>
      <c r="BK138" s="484">
        <f t="shared" si="282"/>
        <v>-7.2198565235738643E-2</v>
      </c>
      <c r="BL138" s="339">
        <f t="shared" si="282"/>
        <v>-1.6695284899441498E-2</v>
      </c>
      <c r="BM138" s="339">
        <f t="shared" si="282"/>
        <v>4.1056013146149484E-2</v>
      </c>
      <c r="BN138" s="339">
        <f t="shared" si="282"/>
        <v>0.11140746872174434</v>
      </c>
      <c r="BO138" s="339">
        <f t="shared" si="282"/>
        <v>0.12550880999999992</v>
      </c>
      <c r="BP138" s="484">
        <f t="shared" si="282"/>
        <v>0.12550880999999992</v>
      </c>
      <c r="BQ138" s="339">
        <f t="shared" ref="BQ138" si="283">+BQ136/BL136-1</f>
        <v>0.13643607999999996</v>
      </c>
      <c r="BR138" s="339">
        <f t="shared" ref="BR138" si="284">+BR136/BM136-1</f>
        <v>0.14746944000000006</v>
      </c>
      <c r="BS138" s="339">
        <f t="shared" ref="BS138" si="285">+BS136/BN136-1</f>
        <v>0.15860992000000018</v>
      </c>
      <c r="BT138" s="339">
        <f t="shared" ref="BT138" si="286">+BT136/BO136-1</f>
        <v>0.16985856000000021</v>
      </c>
      <c r="BU138" s="484">
        <f t="shared" ref="BU138" si="287">+BU136/BP136-1</f>
        <v>0.16985856000000021</v>
      </c>
    </row>
    <row r="139" spans="2:73" ht="12.75">
      <c r="B139" s="224" t="s">
        <v>141</v>
      </c>
      <c r="C139" s="155"/>
      <c r="D139" s="330" t="e">
        <f>+D136/B136-1</f>
        <v>#DIV/0!</v>
      </c>
      <c r="E139" s="330" t="e">
        <f>+E136/D136-1</f>
        <v>#DIV/0!</v>
      </c>
      <c r="F139" s="330" t="e">
        <f>+F136/E136-1</f>
        <v>#DIV/0!</v>
      </c>
      <c r="G139" s="330" t="e">
        <f>+G136/F136-1</f>
        <v>#DIV/0!</v>
      </c>
      <c r="H139" s="332"/>
      <c r="I139" s="330" t="e">
        <f>+I136/G136-1</f>
        <v>#DIV/0!</v>
      </c>
      <c r="J139" s="330" t="e">
        <f>+J136/I136-1</f>
        <v>#DIV/0!</v>
      </c>
      <c r="K139" s="330" t="e">
        <f>+K136/J136-1</f>
        <v>#DIV/0!</v>
      </c>
      <c r="L139" s="330" t="e">
        <f>+L136/K136-1</f>
        <v>#DIV/0!</v>
      </c>
      <c r="M139" s="495"/>
      <c r="N139" s="330" t="e">
        <f>+N136/L136-1</f>
        <v>#DIV/0!</v>
      </c>
      <c r="O139" s="330" t="e">
        <f>+O136/N136-1</f>
        <v>#DIV/0!</v>
      </c>
      <c r="P139" s="330" t="e">
        <f>+P136/O136-1</f>
        <v>#DIV/0!</v>
      </c>
      <c r="Q139" s="330" t="e">
        <f>+Q136/P136-1</f>
        <v>#DIV/0!</v>
      </c>
      <c r="R139" s="495"/>
      <c r="S139" s="330" t="e">
        <f>+S136/Q136-1</f>
        <v>#DIV/0!</v>
      </c>
      <c r="T139" s="330" t="e">
        <f>+T136/S136-1</f>
        <v>#DIV/0!</v>
      </c>
      <c r="U139" s="330" t="e">
        <f>+U136/T136-1</f>
        <v>#DIV/0!</v>
      </c>
      <c r="V139" s="330" t="e">
        <f>+V136/U136-1</f>
        <v>#DIV/0!</v>
      </c>
      <c r="W139" s="495"/>
      <c r="X139" s="330">
        <f>+X136/V136-1</f>
        <v>9.4212136664966861E-2</v>
      </c>
      <c r="Y139" s="330">
        <f>+Y136/X136-1</f>
        <v>0.10462542234649885</v>
      </c>
      <c r="Z139" s="330">
        <f>+Z136/Y136-1</f>
        <v>9.4399324965720899E-2</v>
      </c>
      <c r="AA139" s="330">
        <f>+AA136/Z136-1</f>
        <v>0.18745181187355442</v>
      </c>
      <c r="AB139" s="495"/>
      <c r="AC139" s="330">
        <f>+AC136/AA136-1</f>
        <v>5.4622189757324913E-2</v>
      </c>
      <c r="AD139" s="330">
        <f>+AD136/AC136-1</f>
        <v>6.5953517007849793E-2</v>
      </c>
      <c r="AE139" s="330">
        <f>+AE136/AD136-1</f>
        <v>7.6095588766154076E-2</v>
      </c>
      <c r="AF139" s="330">
        <f>+AF136/AE136-1</f>
        <v>0.14371016437437101</v>
      </c>
      <c r="AG139" s="495"/>
      <c r="AH139" s="330">
        <f>+AH136/AF136-1</f>
        <v>2.5752331788584604E-2</v>
      </c>
      <c r="AI139" s="330">
        <f>+AI136/AH136-1</f>
        <v>5.4500743451904476E-2</v>
      </c>
      <c r="AJ139" s="330">
        <f>+AJ136/AI136-1</f>
        <v>4.5013287054612494E-2</v>
      </c>
      <c r="AK139" s="330">
        <f>+AK136/AJ136-1</f>
        <v>0.1176501115781825</v>
      </c>
      <c r="AL139" s="470"/>
      <c r="AM139" s="359">
        <f>+AM137/AK137-1</f>
        <v>1.8492810213029509E-2</v>
      </c>
      <c r="AN139" s="359">
        <f>+AN137/AL137-1</f>
        <v>2.6001387138906873E-2</v>
      </c>
      <c r="AO139" s="359">
        <f>+AO137/AM137-1</f>
        <v>2.4267464578527465E-2</v>
      </c>
      <c r="AP139" s="359">
        <f>+AP137/AN137-1</f>
        <v>5.9680951646308156E-3</v>
      </c>
      <c r="AQ139" s="470"/>
      <c r="AR139" s="359">
        <f>+AR137/AP137-1</f>
        <v>-3.217926764542689E-5</v>
      </c>
      <c r="AS139" s="359">
        <f>+AS137/AQ137-1</f>
        <v>-1.1156460990241701E-2</v>
      </c>
      <c r="AT139" s="359">
        <f>+AT137/AR137-1</f>
        <v>1.782762923907999E-2</v>
      </c>
      <c r="AU139" s="359">
        <f>+AU137/AS137-1</f>
        <v>-4.0980284102036801E-3</v>
      </c>
      <c r="AV139" s="470"/>
      <c r="AW139" s="359">
        <f>+AW137/AU137-1</f>
        <v>1.419985159973014E-2</v>
      </c>
      <c r="AX139" s="359">
        <f t="shared" ref="AX139:BH139" si="288">+AX137/AV137-1</f>
        <v>4.7004300193942417E-2</v>
      </c>
      <c r="AY139" s="359">
        <f t="shared" si="288"/>
        <v>5.8163850055180655E-2</v>
      </c>
      <c r="AZ139" s="359">
        <f t="shared" si="288"/>
        <v>4.3827636977071815E-2</v>
      </c>
      <c r="BA139" s="470"/>
      <c r="BB139" s="359">
        <f t="shared" si="288"/>
        <v>3.8509886700582863E-2</v>
      </c>
      <c r="BC139" s="359">
        <f t="shared" si="288"/>
        <v>6.8768411770715243E-2</v>
      </c>
      <c r="BD139" s="359">
        <f t="shared" si="288"/>
        <v>5.9220439206878028E-2</v>
      </c>
      <c r="BE139" s="359">
        <f t="shared" si="288"/>
        <v>4.7640035057224361E-2</v>
      </c>
      <c r="BF139" s="470"/>
      <c r="BG139" s="359">
        <f t="shared" si="288"/>
        <v>1.4570920673492083E-2</v>
      </c>
      <c r="BH139" s="359">
        <f t="shared" si="288"/>
        <v>2.5359818026537972E-2</v>
      </c>
      <c r="BI139" s="359">
        <f t="shared" ref="BI139" si="289">+BI137/BG137-1</f>
        <v>1.2957879621595447E-2</v>
      </c>
      <c r="BJ139" s="359">
        <f t="shared" ref="BJ139" si="290">+BJ137/BH137-1</f>
        <v>-1.3107085388292972E-2</v>
      </c>
      <c r="BK139" s="470"/>
      <c r="BL139" s="338">
        <v>0.03</v>
      </c>
      <c r="BM139" s="338">
        <v>0.03</v>
      </c>
      <c r="BN139" s="338">
        <v>0.03</v>
      </c>
      <c r="BO139" s="338">
        <v>0.03</v>
      </c>
      <c r="BP139" s="470"/>
      <c r="BQ139" s="338">
        <v>0.04</v>
      </c>
      <c r="BR139" s="338">
        <v>0.04</v>
      </c>
      <c r="BS139" s="338">
        <v>0.04</v>
      </c>
      <c r="BT139" s="338">
        <v>0.04</v>
      </c>
      <c r="BU139" s="470"/>
    </row>
    <row r="140" spans="2:73" ht="12.75">
      <c r="B140" s="155"/>
      <c r="C140" s="155"/>
      <c r="D140" s="332"/>
      <c r="E140" s="332"/>
      <c r="F140" s="332"/>
      <c r="G140" s="332"/>
      <c r="H140" s="332"/>
      <c r="I140" s="332"/>
      <c r="J140" s="332"/>
      <c r="K140" s="332"/>
      <c r="L140" s="332"/>
      <c r="M140" s="495"/>
      <c r="N140" s="332"/>
      <c r="O140" s="332"/>
      <c r="P140" s="332"/>
      <c r="Q140" s="332"/>
      <c r="R140" s="495"/>
      <c r="S140" s="332"/>
      <c r="T140" s="332"/>
      <c r="U140" s="332"/>
      <c r="V140" s="332"/>
      <c r="W140" s="495"/>
      <c r="X140" s="332"/>
      <c r="Y140" s="332"/>
      <c r="Z140" s="332"/>
      <c r="AA140" s="332"/>
      <c r="AB140" s="495"/>
      <c r="AC140" s="332"/>
      <c r="AD140" s="332"/>
      <c r="AE140" s="332"/>
      <c r="AF140" s="332"/>
      <c r="AG140" s="495"/>
      <c r="AH140" s="332"/>
      <c r="AI140" s="332"/>
      <c r="AJ140" s="332"/>
      <c r="AK140" s="332"/>
      <c r="AL140" s="470"/>
      <c r="AM140" s="155"/>
      <c r="AN140" s="155"/>
      <c r="AO140" s="155"/>
      <c r="AP140" s="155"/>
      <c r="AQ140" s="470"/>
      <c r="AR140" s="155"/>
      <c r="AS140" s="155"/>
      <c r="AT140" s="155"/>
      <c r="AU140" s="155"/>
      <c r="AV140" s="470"/>
      <c r="AW140" s="155"/>
      <c r="AX140" s="155"/>
      <c r="AY140" s="155"/>
      <c r="AZ140" s="155"/>
      <c r="BA140" s="470"/>
      <c r="BB140" s="155"/>
      <c r="BC140" s="155"/>
      <c r="BD140" s="155"/>
      <c r="BE140" s="155"/>
      <c r="BF140" s="470"/>
      <c r="BG140" s="155"/>
      <c r="BH140" s="155"/>
      <c r="BI140" s="155"/>
      <c r="BJ140" s="155"/>
      <c r="BK140" s="470"/>
      <c r="BL140" s="155"/>
      <c r="BM140" s="155"/>
      <c r="BN140" s="155"/>
      <c r="BO140" s="155"/>
      <c r="BP140" s="470"/>
      <c r="BQ140" s="155"/>
      <c r="BR140" s="155"/>
      <c r="BS140" s="155"/>
      <c r="BT140" s="155"/>
      <c r="BU140" s="470"/>
    </row>
    <row r="141" spans="2:73" ht="12.75">
      <c r="B141" s="155" t="s">
        <v>314</v>
      </c>
      <c r="C141" s="155"/>
      <c r="D141" s="328">
        <f t="shared" ref="D141:AI141" si="291">+D18</f>
        <v>0</v>
      </c>
      <c r="E141" s="328">
        <f t="shared" si="291"/>
        <v>0</v>
      </c>
      <c r="F141" s="328">
        <f t="shared" si="291"/>
        <v>0</v>
      </c>
      <c r="G141" s="328">
        <f t="shared" si="291"/>
        <v>0</v>
      </c>
      <c r="H141" s="328">
        <f t="shared" si="291"/>
        <v>0</v>
      </c>
      <c r="I141" s="328">
        <f t="shared" si="291"/>
        <v>0</v>
      </c>
      <c r="J141" s="328">
        <f t="shared" si="291"/>
        <v>0</v>
      </c>
      <c r="K141" s="328">
        <f t="shared" si="291"/>
        <v>0</v>
      </c>
      <c r="L141" s="328">
        <f t="shared" si="291"/>
        <v>0</v>
      </c>
      <c r="M141" s="488">
        <f t="shared" si="291"/>
        <v>0</v>
      </c>
      <c r="N141" s="328">
        <f t="shared" si="291"/>
        <v>0</v>
      </c>
      <c r="O141" s="328">
        <f t="shared" si="291"/>
        <v>0</v>
      </c>
      <c r="P141" s="328">
        <f t="shared" si="291"/>
        <v>0</v>
      </c>
      <c r="Q141" s="328">
        <f t="shared" si="291"/>
        <v>0</v>
      </c>
      <c r="R141" s="488">
        <f t="shared" si="291"/>
        <v>0</v>
      </c>
      <c r="S141" s="328">
        <f t="shared" si="291"/>
        <v>0</v>
      </c>
      <c r="T141" s="328">
        <f t="shared" si="291"/>
        <v>0</v>
      </c>
      <c r="U141" s="328">
        <f t="shared" si="291"/>
        <v>0</v>
      </c>
      <c r="V141" s="328">
        <f t="shared" si="291"/>
        <v>19321</v>
      </c>
      <c r="W141" s="488">
        <f t="shared" si="291"/>
        <v>19321</v>
      </c>
      <c r="X141" s="328">
        <f t="shared" si="291"/>
        <v>20295</v>
      </c>
      <c r="Y141" s="328">
        <f t="shared" si="291"/>
        <v>22214</v>
      </c>
      <c r="Z141" s="328">
        <f t="shared" si="291"/>
        <v>23174</v>
      </c>
      <c r="AA141" s="328">
        <f t="shared" si="291"/>
        <v>27634</v>
      </c>
      <c r="AB141" s="488">
        <f t="shared" si="291"/>
        <v>27634</v>
      </c>
      <c r="AC141" s="328">
        <f t="shared" si="291"/>
        <v>28054</v>
      </c>
      <c r="AD141" s="328">
        <f t="shared" si="291"/>
        <v>29275</v>
      </c>
      <c r="AE141" s="328">
        <f t="shared" si="291"/>
        <v>30452</v>
      </c>
      <c r="AF141" s="328">
        <f t="shared" si="291"/>
        <v>34213</v>
      </c>
      <c r="AG141" s="488">
        <f t="shared" si="291"/>
        <v>34213</v>
      </c>
      <c r="AH141" s="328">
        <f t="shared" si="291"/>
        <v>34289</v>
      </c>
      <c r="AI141" s="328">
        <f t="shared" si="291"/>
        <v>35815</v>
      </c>
      <c r="AJ141" s="328">
        <f t="shared" ref="AJ141:BP141" si="292">+AJ18</f>
        <v>37269</v>
      </c>
      <c r="AK141" s="328">
        <f t="shared" si="292"/>
        <v>43103</v>
      </c>
      <c r="AL141" s="472">
        <f t="shared" si="292"/>
        <v>43103</v>
      </c>
      <c r="AM141" s="167">
        <f t="shared" si="292"/>
        <v>43997</v>
      </c>
      <c r="AN141" s="167">
        <f t="shared" si="292"/>
        <v>46132</v>
      </c>
      <c r="AO141" s="167">
        <f t="shared" si="292"/>
        <v>48548</v>
      </c>
      <c r="AP141" s="167">
        <f t="shared" si="292"/>
        <v>57191</v>
      </c>
      <c r="AQ141" s="472">
        <f t="shared" si="292"/>
        <v>57191</v>
      </c>
      <c r="AR141" s="167">
        <f t="shared" si="292"/>
        <v>59121</v>
      </c>
      <c r="AS141" s="167">
        <f t="shared" si="292"/>
        <v>60878</v>
      </c>
      <c r="AT141" s="167">
        <f t="shared" si="292"/>
        <v>61857</v>
      </c>
      <c r="AU141" s="167">
        <f t="shared" si="292"/>
        <v>68169</v>
      </c>
      <c r="AV141" s="472">
        <f t="shared" si="292"/>
        <v>68169</v>
      </c>
      <c r="AW141" s="167">
        <f t="shared" si="292"/>
        <v>69144</v>
      </c>
      <c r="AX141" s="167">
        <f t="shared" si="292"/>
        <v>70377</v>
      </c>
      <c r="AY141" s="167">
        <f t="shared" si="292"/>
        <v>71654</v>
      </c>
      <c r="AZ141" s="167">
        <f t="shared" si="292"/>
        <v>76601</v>
      </c>
      <c r="BA141" s="472">
        <f t="shared" si="292"/>
        <v>76601</v>
      </c>
      <c r="BB141" s="167">
        <f t="shared" si="292"/>
        <v>75287</v>
      </c>
      <c r="BC141" s="167">
        <f t="shared" si="292"/>
        <v>74693</v>
      </c>
      <c r="BD141" s="167">
        <f t="shared" si="292"/>
        <v>72392</v>
      </c>
      <c r="BE141" s="167">
        <f t="shared" si="292"/>
        <v>73672</v>
      </c>
      <c r="BF141" s="472">
        <f t="shared" si="292"/>
        <v>73672</v>
      </c>
      <c r="BG141" s="167">
        <f t="shared" si="292"/>
        <v>69843</v>
      </c>
      <c r="BH141" s="167">
        <f t="shared" si="292"/>
        <v>66714</v>
      </c>
      <c r="BI141" s="167">
        <f t="shared" si="292"/>
        <v>64109</v>
      </c>
      <c r="BJ141" s="167">
        <f t="shared" si="292"/>
        <v>66978</v>
      </c>
      <c r="BK141" s="472">
        <f t="shared" si="292"/>
        <v>66978</v>
      </c>
      <c r="BL141" s="167">
        <f t="shared" si="292"/>
        <v>66308.22</v>
      </c>
      <c r="BM141" s="167">
        <f t="shared" si="292"/>
        <v>65645.137799999997</v>
      </c>
      <c r="BN141" s="167">
        <f t="shared" si="292"/>
        <v>64988.686421999999</v>
      </c>
      <c r="BO141" s="167">
        <f t="shared" si="292"/>
        <v>64338.799557779996</v>
      </c>
      <c r="BP141" s="472">
        <f t="shared" si="292"/>
        <v>64338.799557779996</v>
      </c>
      <c r="BQ141" s="167">
        <f t="shared" ref="BQ141:BU141" si="293">+BQ18</f>
        <v>63695.411562202193</v>
      </c>
      <c r="BR141" s="167">
        <f t="shared" si="293"/>
        <v>63058.457446580171</v>
      </c>
      <c r="BS141" s="167">
        <f t="shared" si="293"/>
        <v>62427.872872114371</v>
      </c>
      <c r="BT141" s="167">
        <f t="shared" si="293"/>
        <v>61803.594143393224</v>
      </c>
      <c r="BU141" s="472">
        <f t="shared" si="293"/>
        <v>61803.594143393224</v>
      </c>
    </row>
    <row r="142" spans="2:73" ht="12.75">
      <c r="B142" s="224" t="s">
        <v>313</v>
      </c>
      <c r="C142" s="155"/>
      <c r="D142" s="330" t="e">
        <f t="shared" ref="D142:W142" si="294">+D141/D$132</f>
        <v>#DIV/0!</v>
      </c>
      <c r="E142" s="330" t="e">
        <f t="shared" si="294"/>
        <v>#DIV/0!</v>
      </c>
      <c r="F142" s="330" t="e">
        <f t="shared" si="294"/>
        <v>#DIV/0!</v>
      </c>
      <c r="G142" s="330" t="e">
        <f t="shared" si="294"/>
        <v>#DIV/0!</v>
      </c>
      <c r="H142" s="330" t="e">
        <f t="shared" si="294"/>
        <v>#DIV/0!</v>
      </c>
      <c r="I142" s="330" t="e">
        <f t="shared" si="294"/>
        <v>#DIV/0!</v>
      </c>
      <c r="J142" s="330" t="e">
        <f t="shared" si="294"/>
        <v>#DIV/0!</v>
      </c>
      <c r="K142" s="330" t="e">
        <f t="shared" si="294"/>
        <v>#DIV/0!</v>
      </c>
      <c r="L142" s="330" t="e">
        <f t="shared" si="294"/>
        <v>#DIV/0!</v>
      </c>
      <c r="M142" s="489" t="e">
        <f t="shared" si="294"/>
        <v>#DIV/0!</v>
      </c>
      <c r="N142" s="330" t="e">
        <f t="shared" si="294"/>
        <v>#DIV/0!</v>
      </c>
      <c r="O142" s="330" t="e">
        <f t="shared" si="294"/>
        <v>#DIV/0!</v>
      </c>
      <c r="P142" s="330" t="e">
        <f t="shared" si="294"/>
        <v>#DIV/0!</v>
      </c>
      <c r="Q142" s="330" t="e">
        <f t="shared" si="294"/>
        <v>#DIV/0!</v>
      </c>
      <c r="R142" s="489" t="e">
        <f t="shared" si="294"/>
        <v>#DIV/0!</v>
      </c>
      <c r="S142" s="330" t="e">
        <f t="shared" si="294"/>
        <v>#DIV/0!</v>
      </c>
      <c r="T142" s="330" t="e">
        <f t="shared" si="294"/>
        <v>#DIV/0!</v>
      </c>
      <c r="U142" s="330" t="e">
        <f t="shared" si="294"/>
        <v>#DIV/0!</v>
      </c>
      <c r="V142" s="330">
        <f t="shared" si="294"/>
        <v>0.71124608871709916</v>
      </c>
      <c r="W142" s="489">
        <f t="shared" si="294"/>
        <v>0.71124608871709916</v>
      </c>
      <c r="X142" s="330">
        <f t="shared" ref="X142:BP142" si="295">+X141/X$132</f>
        <v>0.70278412632453768</v>
      </c>
      <c r="Y142" s="330">
        <f t="shared" si="295"/>
        <v>0.70086764473891783</v>
      </c>
      <c r="Z142" s="330">
        <f t="shared" si="295"/>
        <v>0.69073025335320415</v>
      </c>
      <c r="AA142" s="330">
        <f t="shared" si="295"/>
        <v>0.69162808159179079</v>
      </c>
      <c r="AB142" s="489">
        <f t="shared" si="295"/>
        <v>0.69162808159179079</v>
      </c>
      <c r="AC142" s="330">
        <f t="shared" si="295"/>
        <v>0.68344377314363669</v>
      </c>
      <c r="AD142" s="330">
        <f t="shared" si="295"/>
        <v>0.67882483884431666</v>
      </c>
      <c r="AE142" s="330">
        <f t="shared" si="295"/>
        <v>0.67138479176312371</v>
      </c>
      <c r="AF142" s="330">
        <f t="shared" si="295"/>
        <v>0.66744049941474837</v>
      </c>
      <c r="AG142" s="489">
        <f t="shared" si="295"/>
        <v>0.66744049941474837</v>
      </c>
      <c r="AH142" s="330">
        <f t="shared" si="295"/>
        <v>0.66226943505552871</v>
      </c>
      <c r="AI142" s="330">
        <f t="shared" si="295"/>
        <v>0.66013565820031705</v>
      </c>
      <c r="AJ142" s="330">
        <f t="shared" si="295"/>
        <v>0.6591849729385546</v>
      </c>
      <c r="AK142" s="330">
        <f t="shared" si="295"/>
        <v>0.66682652887575611</v>
      </c>
      <c r="AL142" s="484">
        <f t="shared" si="295"/>
        <v>0.66682652887575611</v>
      </c>
      <c r="AM142" s="359">
        <f t="shared" si="295"/>
        <v>0.66066521510623921</v>
      </c>
      <c r="AN142" s="359">
        <f t="shared" si="295"/>
        <v>0.65816355646864122</v>
      </c>
      <c r="AO142" s="359">
        <f t="shared" si="295"/>
        <v>0.65243042023356757</v>
      </c>
      <c r="AP142" s="359">
        <f t="shared" si="295"/>
        <v>0.65612344404290712</v>
      </c>
      <c r="AQ142" s="484">
        <f t="shared" si="295"/>
        <v>0.65612344404290712</v>
      </c>
      <c r="AR142" s="359">
        <f t="shared" si="295"/>
        <v>0.65613450973863829</v>
      </c>
      <c r="AS142" s="359">
        <f t="shared" si="295"/>
        <v>0.65995988942490103</v>
      </c>
      <c r="AT142" s="359">
        <f t="shared" si="295"/>
        <v>0.65000420327014419</v>
      </c>
      <c r="AU142" s="359">
        <f t="shared" si="295"/>
        <v>0.66135338345864658</v>
      </c>
      <c r="AV142" s="484">
        <f t="shared" si="295"/>
        <v>0.66135338345864658</v>
      </c>
      <c r="AW142" s="359">
        <f t="shared" si="295"/>
        <v>0.65654465175900867</v>
      </c>
      <c r="AX142" s="359">
        <f t="shared" si="295"/>
        <v>0.64543553623507399</v>
      </c>
      <c r="AY142" s="359">
        <f t="shared" si="295"/>
        <v>0.63656796638326985</v>
      </c>
      <c r="AZ142" s="359">
        <f t="shared" si="295"/>
        <v>0.6298958136322147</v>
      </c>
      <c r="BA142" s="484">
        <f t="shared" si="295"/>
        <v>0.6298958136322147</v>
      </c>
      <c r="BB142" s="359">
        <f t="shared" si="295"/>
        <v>0.61564314334777992</v>
      </c>
      <c r="BC142" s="359">
        <f t="shared" si="295"/>
        <v>0.60444433654600926</v>
      </c>
      <c r="BD142" s="359">
        <f t="shared" si="295"/>
        <v>0.59288136148466042</v>
      </c>
      <c r="BE142" s="359">
        <f t="shared" si="295"/>
        <v>0.58560005087197753</v>
      </c>
      <c r="BF142" s="484">
        <f t="shared" si="295"/>
        <v>0.58560005087197753</v>
      </c>
      <c r="BG142" s="359">
        <f t="shared" ref="BG142" si="296">+BG141/BG$132</f>
        <v>0.57956186208613392</v>
      </c>
      <c r="BH142" s="359">
        <f t="shared" si="295"/>
        <v>0.57509094357188417</v>
      </c>
      <c r="BI142" s="359">
        <f t="shared" si="295"/>
        <v>0.5741138753067182</v>
      </c>
      <c r="BJ142" s="359">
        <f t="shared" si="295"/>
        <v>0.58066026285674655</v>
      </c>
      <c r="BK142" s="484">
        <f t="shared" si="295"/>
        <v>0.58066026285674655</v>
      </c>
      <c r="BL142" s="359">
        <f t="shared" si="295"/>
        <v>0.57098603522349045</v>
      </c>
      <c r="BM142" s="359">
        <f t="shared" si="295"/>
        <v>0.5612572593808014</v>
      </c>
      <c r="BN142" s="359">
        <f t="shared" si="295"/>
        <v>0.55148116413425086</v>
      </c>
      <c r="BO142" s="359">
        <f t="shared" si="295"/>
        <v>0.54166512330460792</v>
      </c>
      <c r="BP142" s="484">
        <f t="shared" si="295"/>
        <v>0.54166512330460792</v>
      </c>
      <c r="BQ142" s="359">
        <f t="shared" ref="BQ142:BU142" si="297">+BQ141/BQ$132</f>
        <v>0.52941021592889825</v>
      </c>
      <c r="BR142" s="359">
        <f t="shared" si="297"/>
        <v>0.51711974772580782</v>
      </c>
      <c r="BS142" s="359">
        <f t="shared" si="297"/>
        <v>0.50480853200437159</v>
      </c>
      <c r="BT142" s="359">
        <f t="shared" si="297"/>
        <v>0.49249148249960772</v>
      </c>
      <c r="BU142" s="484">
        <f t="shared" si="297"/>
        <v>0.49249148249960772</v>
      </c>
    </row>
    <row r="143" spans="2:73" ht="12.75">
      <c r="B143" s="224" t="s">
        <v>126</v>
      </c>
      <c r="C143" s="155"/>
      <c r="D143" s="329"/>
      <c r="E143" s="329"/>
      <c r="F143" s="329"/>
      <c r="G143" s="329"/>
      <c r="H143" s="329"/>
      <c r="I143" s="329" t="e">
        <f t="shared" ref="I143:R143" si="298">+I141/D141-1</f>
        <v>#DIV/0!</v>
      </c>
      <c r="J143" s="329" t="e">
        <f t="shared" si="298"/>
        <v>#DIV/0!</v>
      </c>
      <c r="K143" s="329" t="e">
        <f t="shared" si="298"/>
        <v>#DIV/0!</v>
      </c>
      <c r="L143" s="329" t="e">
        <f t="shared" si="298"/>
        <v>#DIV/0!</v>
      </c>
      <c r="M143" s="489" t="e">
        <f t="shared" si="298"/>
        <v>#DIV/0!</v>
      </c>
      <c r="N143" s="329" t="e">
        <f t="shared" si="298"/>
        <v>#DIV/0!</v>
      </c>
      <c r="O143" s="329" t="e">
        <f t="shared" si="298"/>
        <v>#DIV/0!</v>
      </c>
      <c r="P143" s="329" t="e">
        <f t="shared" si="298"/>
        <v>#DIV/0!</v>
      </c>
      <c r="Q143" s="329" t="e">
        <f t="shared" si="298"/>
        <v>#DIV/0!</v>
      </c>
      <c r="R143" s="489" t="e">
        <f t="shared" si="298"/>
        <v>#DIV/0!</v>
      </c>
      <c r="S143" s="329" t="e">
        <f t="shared" ref="S143:Z143" si="299">+S141/N141-1</f>
        <v>#DIV/0!</v>
      </c>
      <c r="T143" s="329" t="e">
        <f t="shared" si="299"/>
        <v>#DIV/0!</v>
      </c>
      <c r="U143" s="329" t="e">
        <f t="shared" si="299"/>
        <v>#DIV/0!</v>
      </c>
      <c r="V143" s="329" t="e">
        <f t="shared" si="299"/>
        <v>#DIV/0!</v>
      </c>
      <c r="W143" s="489" t="e">
        <f t="shared" si="299"/>
        <v>#DIV/0!</v>
      </c>
      <c r="X143" s="329" t="e">
        <f>+X141/S141-1</f>
        <v>#DIV/0!</v>
      </c>
      <c r="Y143" s="329" t="e">
        <f t="shared" si="299"/>
        <v>#DIV/0!</v>
      </c>
      <c r="Z143" s="329" t="e">
        <f t="shared" si="299"/>
        <v>#DIV/0!</v>
      </c>
      <c r="AA143" s="329">
        <f t="shared" ref="AA143:AP143" si="300">+AA141/V141-1</f>
        <v>0.43025723306247099</v>
      </c>
      <c r="AB143" s="489">
        <f t="shared" si="300"/>
        <v>0.43025723306247099</v>
      </c>
      <c r="AC143" s="329">
        <f t="shared" si="300"/>
        <v>0.38231091401823103</v>
      </c>
      <c r="AD143" s="329">
        <f t="shared" si="300"/>
        <v>0.31786260916539111</v>
      </c>
      <c r="AE143" s="329">
        <f t="shared" si="300"/>
        <v>0.3140588590661948</v>
      </c>
      <c r="AF143" s="329">
        <f t="shared" si="300"/>
        <v>0.23807628283997984</v>
      </c>
      <c r="AG143" s="489">
        <f t="shared" si="300"/>
        <v>0.23807628283997984</v>
      </c>
      <c r="AH143" s="329">
        <f t="shared" si="300"/>
        <v>0.22224994653168895</v>
      </c>
      <c r="AI143" s="329">
        <f t="shared" si="300"/>
        <v>0.22339880444064897</v>
      </c>
      <c r="AJ143" s="329">
        <f t="shared" si="300"/>
        <v>0.22386050177328265</v>
      </c>
      <c r="AK143" s="329">
        <f t="shared" si="300"/>
        <v>0.25984274983193534</v>
      </c>
      <c r="AL143" s="484">
        <f t="shared" si="300"/>
        <v>0.25984274983193534</v>
      </c>
      <c r="AM143" s="339">
        <f t="shared" si="300"/>
        <v>0.28312286739187487</v>
      </c>
      <c r="AN143" s="339">
        <f t="shared" si="300"/>
        <v>0.28806366047745358</v>
      </c>
      <c r="AO143" s="339">
        <f t="shared" si="300"/>
        <v>0.30263758083125381</v>
      </c>
      <c r="AP143" s="339">
        <f t="shared" si="300"/>
        <v>0.32684499918799159</v>
      </c>
      <c r="AQ143" s="484">
        <f t="shared" ref="AQ143:AZ143" si="301">+AQ141/AL141-1</f>
        <v>0.32684499918799159</v>
      </c>
      <c r="AR143" s="339">
        <f t="shared" si="301"/>
        <v>0.3437507102757007</v>
      </c>
      <c r="AS143" s="339">
        <f t="shared" si="301"/>
        <v>0.31964796670424001</v>
      </c>
      <c r="AT143" s="339">
        <f t="shared" si="301"/>
        <v>0.27414105627420282</v>
      </c>
      <c r="AU143" s="339">
        <f t="shared" si="301"/>
        <v>0.19195327936213746</v>
      </c>
      <c r="AV143" s="484">
        <f>+AV141/AQ141-1</f>
        <v>0.19195327936213746</v>
      </c>
      <c r="AW143" s="339">
        <f t="shared" si="301"/>
        <v>0.16953366823971172</v>
      </c>
      <c r="AX143" s="339">
        <f t="shared" si="301"/>
        <v>0.15603337823187369</v>
      </c>
      <c r="AY143" s="339">
        <f t="shared" si="301"/>
        <v>0.15838142813262857</v>
      </c>
      <c r="AZ143" s="339">
        <f t="shared" si="301"/>
        <v>0.12369258753979073</v>
      </c>
      <c r="BA143" s="484">
        <f t="shared" ref="BA143:BP143" si="302">+BA141/AV141-1</f>
        <v>0.12369258753979073</v>
      </c>
      <c r="BB143" s="339">
        <f t="shared" si="302"/>
        <v>8.8843572833506856E-2</v>
      </c>
      <c r="BC143" s="339">
        <f t="shared" si="302"/>
        <v>6.132685394376014E-2</v>
      </c>
      <c r="BD143" s="339">
        <f t="shared" si="302"/>
        <v>1.0299494794428821E-2</v>
      </c>
      <c r="BE143" s="339">
        <f t="shared" si="302"/>
        <v>-3.823709873239256E-2</v>
      </c>
      <c r="BF143" s="484">
        <f t="shared" si="302"/>
        <v>-3.823709873239256E-2</v>
      </c>
      <c r="BG143" s="339">
        <f t="shared" si="302"/>
        <v>-7.2309960550958285E-2</v>
      </c>
      <c r="BH143" s="339">
        <f t="shared" si="302"/>
        <v>-0.10682393263090251</v>
      </c>
      <c r="BI143" s="339">
        <f t="shared" si="302"/>
        <v>-0.11441872030058575</v>
      </c>
      <c r="BJ143" s="339">
        <f t="shared" si="302"/>
        <v>-9.0862200021717854E-2</v>
      </c>
      <c r="BK143" s="484">
        <f t="shared" si="302"/>
        <v>-9.0862200021717854E-2</v>
      </c>
      <c r="BL143" s="339">
        <f t="shared" si="302"/>
        <v>-5.0610368970405051E-2</v>
      </c>
      <c r="BM143" s="339">
        <f t="shared" si="302"/>
        <v>-1.6021557694037236E-2</v>
      </c>
      <c r="BN143" s="339">
        <f t="shared" si="302"/>
        <v>1.3721730521455644E-2</v>
      </c>
      <c r="BO143" s="339">
        <f t="shared" si="302"/>
        <v>-3.9403990000000055E-2</v>
      </c>
      <c r="BP143" s="484">
        <f t="shared" si="302"/>
        <v>-3.9403990000000055E-2</v>
      </c>
      <c r="BQ143" s="339">
        <f t="shared" ref="BQ143" si="303">+BQ141/BL141-1</f>
        <v>-3.9403990000000166E-2</v>
      </c>
      <c r="BR143" s="339">
        <f t="shared" ref="BR143" si="304">+BR141/BM141-1</f>
        <v>-3.9403990000000055E-2</v>
      </c>
      <c r="BS143" s="339">
        <f t="shared" ref="BS143" si="305">+BS141/BN141-1</f>
        <v>-3.9403990000000055E-2</v>
      </c>
      <c r="BT143" s="339">
        <f t="shared" ref="BT143" si="306">+BT141/BO141-1</f>
        <v>-3.9403990000000055E-2</v>
      </c>
      <c r="BU143" s="484">
        <f t="shared" ref="BU143" si="307">+BU141/BP141-1</f>
        <v>-3.9403990000000055E-2</v>
      </c>
    </row>
    <row r="144" spans="2:73" ht="13.15" thickBot="1">
      <c r="B144" s="311" t="s">
        <v>141</v>
      </c>
      <c r="C144" s="368"/>
      <c r="D144" s="340" t="e">
        <f>+D141/B141-1</f>
        <v>#DIV/0!</v>
      </c>
      <c r="E144" s="340" t="e">
        <f>+E141/D141-1</f>
        <v>#DIV/0!</v>
      </c>
      <c r="F144" s="340" t="e">
        <f>+F141/E141-1</f>
        <v>#DIV/0!</v>
      </c>
      <c r="G144" s="340" t="e">
        <f>+G141/F141-1</f>
        <v>#DIV/0!</v>
      </c>
      <c r="H144" s="369"/>
      <c r="I144" s="340" t="e">
        <f>+I141/G141-1</f>
        <v>#DIV/0!</v>
      </c>
      <c r="J144" s="340" t="e">
        <f>+J141/I141-1</f>
        <v>#DIV/0!</v>
      </c>
      <c r="K144" s="340" t="e">
        <f>+K141/J141-1</f>
        <v>#DIV/0!</v>
      </c>
      <c r="L144" s="340" t="e">
        <f>+L141/K141-1</f>
        <v>#DIV/0!</v>
      </c>
      <c r="M144" s="498"/>
      <c r="N144" s="340" t="e">
        <f>+N141/L141-1</f>
        <v>#DIV/0!</v>
      </c>
      <c r="O144" s="340" t="e">
        <f>+O141/N141-1</f>
        <v>#DIV/0!</v>
      </c>
      <c r="P144" s="340" t="e">
        <f>+P141/O141-1</f>
        <v>#DIV/0!</v>
      </c>
      <c r="Q144" s="340" t="e">
        <f>+Q141/P141-1</f>
        <v>#DIV/0!</v>
      </c>
      <c r="R144" s="498"/>
      <c r="S144" s="340" t="e">
        <f>+S141/Q141-1</f>
        <v>#DIV/0!</v>
      </c>
      <c r="T144" s="340" t="e">
        <f>+T141/S141-1</f>
        <v>#DIV/0!</v>
      </c>
      <c r="U144" s="340" t="e">
        <f>+U141/T141-1</f>
        <v>#DIV/0!</v>
      </c>
      <c r="V144" s="340" t="e">
        <f>+V141/U141-1</f>
        <v>#DIV/0!</v>
      </c>
      <c r="W144" s="498"/>
      <c r="X144" s="340">
        <f>+X141/V141-1</f>
        <v>5.041146938564256E-2</v>
      </c>
      <c r="Y144" s="340">
        <f>+Y141/X141-1</f>
        <v>9.4555309189455539E-2</v>
      </c>
      <c r="Z144" s="340">
        <f>+Z141/Y141-1</f>
        <v>4.321598991626896E-2</v>
      </c>
      <c r="AA144" s="340">
        <f>+AA141/Z141-1</f>
        <v>0.1924570639509795</v>
      </c>
      <c r="AB144" s="498"/>
      <c r="AC144" s="340">
        <f>+AC141/AA141-1</f>
        <v>1.5198668307157881E-2</v>
      </c>
      <c r="AD144" s="340">
        <f>+AD141/AC141-1</f>
        <v>4.3523205247023578E-2</v>
      </c>
      <c r="AE144" s="340">
        <f>+AE141/AD141-1</f>
        <v>4.0204953031596879E-2</v>
      </c>
      <c r="AF144" s="340">
        <f>+AF141/AE141-1</f>
        <v>0.12350584526467889</v>
      </c>
      <c r="AG144" s="498"/>
      <c r="AH144" s="340">
        <f>+AH141/AF141-1</f>
        <v>2.2213778388331384E-3</v>
      </c>
      <c r="AI144" s="340">
        <f>+AI141/AH141-1</f>
        <v>4.4504068360115445E-2</v>
      </c>
      <c r="AJ144" s="340">
        <f>+AJ141/AI141-1</f>
        <v>4.0597515007678275E-2</v>
      </c>
      <c r="AK144" s="340">
        <f>+AK141/AJ141-1</f>
        <v>0.15653760498001024</v>
      </c>
      <c r="AL144" s="487"/>
      <c r="AM144" s="340">
        <f>+AM141/AK141-1</f>
        <v>2.0741015706563282E-2</v>
      </c>
      <c r="AN144" s="340">
        <f>+AN141/AM141-1</f>
        <v>4.8526035866081729E-2</v>
      </c>
      <c r="AO144" s="340">
        <f>+AO141/AN141-1</f>
        <v>5.2371455822422641E-2</v>
      </c>
      <c r="AP144" s="340">
        <f>+AP141/AO141-1</f>
        <v>0.17802999093680483</v>
      </c>
      <c r="AQ144" s="487"/>
      <c r="AR144" s="340">
        <f>+AR141/AP141-1</f>
        <v>3.3746568516025199E-2</v>
      </c>
      <c r="AS144" s="340">
        <f>+AS141/AR141-1</f>
        <v>2.9718712471034081E-2</v>
      </c>
      <c r="AT144" s="340">
        <f>+AT141/AS141-1</f>
        <v>1.6081343013896632E-2</v>
      </c>
      <c r="AU144" s="340">
        <f>+AU141/AT141-1</f>
        <v>0.10204180610116875</v>
      </c>
      <c r="AV144" s="487"/>
      <c r="AW144" s="340">
        <f>+AW141/AU141-1</f>
        <v>1.4302688905514227E-2</v>
      </c>
      <c r="AX144" s="340">
        <f>+AX141/AW141-1</f>
        <v>1.7832349878514453E-2</v>
      </c>
      <c r="AY144" s="340">
        <f>+AY141/AX141-1</f>
        <v>1.8145132642766848E-2</v>
      </c>
      <c r="AZ144" s="340">
        <f>+AZ141/AY141-1</f>
        <v>6.9040109414687301E-2</v>
      </c>
      <c r="BA144" s="487"/>
      <c r="BB144" s="696">
        <f>+BB141/AZ141-1</f>
        <v>-1.7153823057140194E-2</v>
      </c>
      <c r="BC144" s="340">
        <f>+BC141/BB141-1</f>
        <v>-7.8898083334439928E-3</v>
      </c>
      <c r="BD144" s="340">
        <f>+BD141/BC141-1</f>
        <v>-3.080609963450387E-2</v>
      </c>
      <c r="BE144" s="340">
        <f>+BE141/BD141-1</f>
        <v>1.7681511769256364E-2</v>
      </c>
      <c r="BF144" s="487"/>
      <c r="BG144" s="696">
        <f>+BG141/BE141-1</f>
        <v>-5.197361277011614E-2</v>
      </c>
      <c r="BH144" s="696">
        <f>+BH141/BF141-1</f>
        <v>-9.4445650993593255E-2</v>
      </c>
      <c r="BI144" s="696">
        <f t="shared" ref="BI144:BJ144" si="308">+BI141/BG141-1</f>
        <v>-8.209842074366791E-2</v>
      </c>
      <c r="BJ144" s="696">
        <f t="shared" si="308"/>
        <v>3.9571903948196763E-3</v>
      </c>
      <c r="BK144" s="487"/>
      <c r="BL144" s="402">
        <v>-0.01</v>
      </c>
      <c r="BM144" s="402">
        <v>-0.01</v>
      </c>
      <c r="BN144" s="402">
        <v>-0.01</v>
      </c>
      <c r="BO144" s="402">
        <v>-0.01</v>
      </c>
      <c r="BP144" s="487"/>
      <c r="BQ144" s="402">
        <v>-0.01</v>
      </c>
      <c r="BR144" s="402">
        <v>-0.01</v>
      </c>
      <c r="BS144" s="402">
        <v>-0.01</v>
      </c>
      <c r="BT144" s="402">
        <v>-0.01</v>
      </c>
      <c r="BU144" s="487"/>
    </row>
  </sheetData>
  <printOptions horizontalCentered="1" verticalCentered="1"/>
  <pageMargins left="0.25" right="0.25" top="0.75" bottom="0.75" header="0.3" footer="0.3"/>
  <pageSetup scale="67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>
    <tabColor theme="0" tint="-0.499984740745262"/>
    <pageSetUpPr fitToPage="1"/>
  </sheetPr>
  <dimension ref="A2:BU94"/>
  <sheetViews>
    <sheetView showGridLines="0" defaultGridColor="0" view="pageBreakPreview" colorId="22" zoomScale="80" zoomScaleNormal="85" zoomScaleSheetLayoutView="80" workbookViewId="0">
      <pane xSplit="7" ySplit="5" topLeftCell="BA53" activePane="bottomRight" state="frozen"/>
      <selection activeCell="BA6" sqref="BA6"/>
      <selection pane="topRight" activeCell="BA6" sqref="BA6"/>
      <selection pane="bottomLeft" activeCell="BA6" sqref="BA6"/>
      <selection pane="bottomRight" activeCell="B2" sqref="B2:BU81"/>
    </sheetView>
  </sheetViews>
  <sheetFormatPr defaultColWidth="12.3984375" defaultRowHeight="11.65" outlineLevelRow="1" outlineLevelCol="2"/>
  <cols>
    <col min="1" max="1" width="3.265625" style="3" customWidth="1"/>
    <col min="2" max="2" width="52.73046875" style="100" customWidth="1"/>
    <col min="3" max="3" width="1.73046875" style="3" customWidth="1"/>
    <col min="4" max="4" width="9" style="3" hidden="1" customWidth="1" outlineLevel="2"/>
    <col min="5" max="7" width="8.59765625" style="3" hidden="1" customWidth="1" outlineLevel="2"/>
    <col min="8" max="8" width="11.73046875" style="3" hidden="1" customWidth="1" collapsed="1"/>
    <col min="9" max="10" width="10.73046875" style="3" hidden="1" customWidth="1" outlineLevel="1"/>
    <col min="11" max="12" width="11.73046875" style="3" hidden="1" customWidth="1" outlineLevel="1"/>
    <col min="13" max="13" width="11.73046875" style="3" hidden="1" customWidth="1" collapsed="1"/>
    <col min="14" max="16" width="11.73046875" style="3" hidden="1" customWidth="1" outlineLevel="1"/>
    <col min="17" max="17" width="10.73046875" style="3" hidden="1" customWidth="1" outlineLevel="1"/>
    <col min="18" max="18" width="13.265625" style="3" hidden="1" customWidth="1" collapsed="1"/>
    <col min="19" max="22" width="12.265625" style="3" hidden="1" customWidth="1" outlineLevel="1"/>
    <col min="23" max="23" width="13.265625" style="3" hidden="1" customWidth="1" collapsed="1"/>
    <col min="24" max="27" width="11.73046875" style="3" hidden="1" customWidth="1" outlineLevel="1"/>
    <col min="28" max="28" width="12.59765625" style="3" hidden="1" customWidth="1" collapsed="1"/>
    <col min="29" max="32" width="12.59765625" style="3" hidden="1" customWidth="1" outlineLevel="1"/>
    <col min="33" max="33" width="12.59765625" style="3" hidden="1" customWidth="1" collapsed="1"/>
    <col min="34" max="37" width="12.59765625" style="3" hidden="1" customWidth="1" outlineLevel="1"/>
    <col min="38" max="38" width="12.59765625" style="3" hidden="1" customWidth="1" collapsed="1"/>
    <col min="39" max="42" width="12.59765625" style="3" hidden="1" customWidth="1" outlineLevel="1"/>
    <col min="43" max="43" width="12.59765625" style="3" hidden="1" customWidth="1" collapsed="1"/>
    <col min="44" max="47" width="12.59765625" style="3" hidden="1" customWidth="1" outlineLevel="1"/>
    <col min="48" max="48" width="12.59765625" style="3" hidden="1" customWidth="1" collapsed="1"/>
    <col min="49" max="49" width="12.59765625" style="3" hidden="1" customWidth="1" outlineLevel="1"/>
    <col min="50" max="52" width="10.3984375" style="3" hidden="1" customWidth="1" outlineLevel="1"/>
    <col min="53" max="53" width="12.59765625" style="3" customWidth="1" collapsed="1"/>
    <col min="54" max="57" width="12.3984375" style="3" hidden="1" customWidth="1" outlineLevel="1"/>
    <col min="58" max="58" width="12.3984375" style="3" collapsed="1"/>
    <col min="59" max="62" width="12.3984375" style="3" customWidth="1" outlineLevel="1"/>
    <col min="63" max="63" width="12.3984375" style="3"/>
    <col min="64" max="67" width="12.3984375" style="3" customWidth="1" outlineLevel="1"/>
    <col min="68" max="68" width="12.3984375" style="3"/>
    <col min="69" max="72" width="12.3984375" style="3" hidden="1" customWidth="1" outlineLevel="1"/>
    <col min="73" max="73" width="12.3984375" style="3" collapsed="1"/>
    <col min="74" max="16384" width="12.3984375" style="3"/>
  </cols>
  <sheetData>
    <row r="2" spans="1:73" ht="12" thickBot="1">
      <c r="B2" s="582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583"/>
      <c r="AF2" s="583"/>
      <c r="AG2" s="583"/>
      <c r="AH2" s="583"/>
      <c r="AI2" s="583"/>
      <c r="AJ2" s="583"/>
      <c r="AK2" s="583"/>
      <c r="AL2" s="583"/>
      <c r="AM2" s="583"/>
      <c r="AN2" s="583"/>
      <c r="AO2" s="583"/>
      <c r="AP2" s="583"/>
      <c r="AQ2" s="583"/>
      <c r="AR2" s="583"/>
      <c r="AS2" s="583"/>
      <c r="AT2" s="583"/>
      <c r="AU2" s="583"/>
      <c r="AV2" s="583"/>
      <c r="AW2" s="583"/>
      <c r="AX2" s="583"/>
      <c r="AY2" s="583"/>
      <c r="AZ2" s="583"/>
      <c r="BA2" s="583"/>
      <c r="BB2" s="583"/>
      <c r="BC2" s="583"/>
      <c r="BD2" s="583"/>
      <c r="BE2" s="583"/>
      <c r="BF2" s="583"/>
      <c r="BG2" s="583"/>
      <c r="BH2" s="583"/>
      <c r="BI2" s="583"/>
      <c r="BJ2" s="583"/>
      <c r="BK2" s="583"/>
      <c r="BL2" s="583"/>
      <c r="BM2" s="583"/>
      <c r="BN2" s="583"/>
      <c r="BO2" s="583"/>
      <c r="BP2" s="583"/>
      <c r="BQ2" s="583"/>
      <c r="BR2" s="583"/>
      <c r="BS2" s="583"/>
      <c r="BT2" s="583"/>
      <c r="BU2" s="583"/>
    </row>
    <row r="3" spans="1:73" ht="17.649999999999999">
      <c r="B3" s="259" t="s">
        <v>366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9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431"/>
      <c r="AE3" s="98"/>
      <c r="AF3" s="431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</row>
    <row r="4" spans="1:73" ht="13.15">
      <c r="B4" s="260" t="s">
        <v>317</v>
      </c>
      <c r="C4" s="155"/>
      <c r="D4" s="156" t="s">
        <v>94</v>
      </c>
      <c r="E4" s="156" t="s">
        <v>95</v>
      </c>
      <c r="F4" s="156" t="s">
        <v>92</v>
      </c>
      <c r="G4" s="156" t="s">
        <v>93</v>
      </c>
      <c r="H4" s="469" t="s">
        <v>93</v>
      </c>
      <c r="I4" s="156" t="s">
        <v>94</v>
      </c>
      <c r="J4" s="156" t="s">
        <v>95</v>
      </c>
      <c r="K4" s="156" t="s">
        <v>92</v>
      </c>
      <c r="L4" s="156" t="s">
        <v>93</v>
      </c>
      <c r="M4" s="469" t="s">
        <v>93</v>
      </c>
      <c r="N4" s="156" t="s">
        <v>94</v>
      </c>
      <c r="O4" s="156" t="s">
        <v>95</v>
      </c>
      <c r="P4" s="156" t="s">
        <v>92</v>
      </c>
      <c r="Q4" s="156" t="s">
        <v>93</v>
      </c>
      <c r="R4" s="469" t="s">
        <v>93</v>
      </c>
      <c r="S4" s="156" t="s">
        <v>94</v>
      </c>
      <c r="T4" s="156" t="s">
        <v>95</v>
      </c>
      <c r="U4" s="156" t="s">
        <v>92</v>
      </c>
      <c r="V4" s="156" t="s">
        <v>93</v>
      </c>
      <c r="W4" s="469" t="s">
        <v>93</v>
      </c>
      <c r="X4" s="156" t="s">
        <v>94</v>
      </c>
      <c r="Y4" s="156" t="s">
        <v>95</v>
      </c>
      <c r="Z4" s="156" t="s">
        <v>92</v>
      </c>
      <c r="AA4" s="156" t="s">
        <v>93</v>
      </c>
      <c r="AB4" s="469" t="s">
        <v>93</v>
      </c>
      <c r="AC4" s="156" t="s">
        <v>94</v>
      </c>
      <c r="AD4" s="428" t="s">
        <v>95</v>
      </c>
      <c r="AE4" s="156" t="s">
        <v>92</v>
      </c>
      <c r="AF4" s="428" t="s">
        <v>93</v>
      </c>
      <c r="AG4" s="469" t="s">
        <v>93</v>
      </c>
      <c r="AH4" s="428" t="s">
        <v>94</v>
      </c>
      <c r="AI4" s="428" t="s">
        <v>95</v>
      </c>
      <c r="AJ4" s="428" t="s">
        <v>92</v>
      </c>
      <c r="AK4" s="156" t="s">
        <v>93</v>
      </c>
      <c r="AL4" s="469" t="s">
        <v>93</v>
      </c>
      <c r="AM4" s="156" t="s">
        <v>94</v>
      </c>
      <c r="AN4" s="156" t="s">
        <v>95</v>
      </c>
      <c r="AO4" s="156" t="s">
        <v>92</v>
      </c>
      <c r="AP4" s="156" t="s">
        <v>93</v>
      </c>
      <c r="AQ4" s="469" t="s">
        <v>93</v>
      </c>
      <c r="AR4" s="156" t="s">
        <v>94</v>
      </c>
      <c r="AS4" s="156" t="s">
        <v>95</v>
      </c>
      <c r="AT4" s="156" t="s">
        <v>92</v>
      </c>
      <c r="AU4" s="156" t="s">
        <v>93</v>
      </c>
      <c r="AV4" s="469" t="s">
        <v>93</v>
      </c>
      <c r="AW4" s="156" t="s">
        <v>94</v>
      </c>
      <c r="AX4" s="156" t="s">
        <v>95</v>
      </c>
      <c r="AY4" s="156" t="s">
        <v>92</v>
      </c>
      <c r="AZ4" s="156" t="s">
        <v>93</v>
      </c>
      <c r="BA4" s="469" t="s">
        <v>93</v>
      </c>
      <c r="BB4" s="156" t="s">
        <v>94</v>
      </c>
      <c r="BC4" s="156" t="s">
        <v>95</v>
      </c>
      <c r="BD4" s="156" t="s">
        <v>92</v>
      </c>
      <c r="BE4" s="156" t="s">
        <v>93</v>
      </c>
      <c r="BF4" s="469" t="s">
        <v>93</v>
      </c>
      <c r="BG4" s="156" t="s">
        <v>94</v>
      </c>
      <c r="BH4" s="156" t="s">
        <v>95</v>
      </c>
      <c r="BI4" s="156" t="s">
        <v>92</v>
      </c>
      <c r="BJ4" s="156" t="s">
        <v>93</v>
      </c>
      <c r="BK4" s="469" t="s">
        <v>93</v>
      </c>
      <c r="BL4" s="156" t="s">
        <v>94</v>
      </c>
      <c r="BM4" s="156" t="s">
        <v>95</v>
      </c>
      <c r="BN4" s="156" t="s">
        <v>92</v>
      </c>
      <c r="BO4" s="156" t="s">
        <v>93</v>
      </c>
      <c r="BP4" s="469" t="s">
        <v>93</v>
      </c>
      <c r="BQ4" s="156" t="s">
        <v>94</v>
      </c>
      <c r="BR4" s="156" t="s">
        <v>95</v>
      </c>
      <c r="BS4" s="156" t="s">
        <v>92</v>
      </c>
      <c r="BT4" s="156" t="s">
        <v>93</v>
      </c>
      <c r="BU4" s="469" t="s">
        <v>93</v>
      </c>
    </row>
    <row r="5" spans="1:73" ht="13.15">
      <c r="B5" s="260"/>
      <c r="C5" s="156"/>
      <c r="D5" s="156" t="str">
        <f>+BS!D5</f>
        <v>2014A</v>
      </c>
      <c r="E5" s="156" t="str">
        <f>+BS!E5</f>
        <v>2014A</v>
      </c>
      <c r="F5" s="156" t="str">
        <f>+BS!F5</f>
        <v>2014A</v>
      </c>
      <c r="G5" s="156" t="str">
        <f>+BS!G5</f>
        <v>2014A</v>
      </c>
      <c r="H5" s="469" t="str">
        <f>+BS!H5</f>
        <v>2014A</v>
      </c>
      <c r="I5" s="156" t="str">
        <f>+BS!I5</f>
        <v>2015A</v>
      </c>
      <c r="J5" s="156" t="str">
        <f>+BS!J5</f>
        <v>2015A</v>
      </c>
      <c r="K5" s="156" t="str">
        <f>+BS!K5</f>
        <v>2015A</v>
      </c>
      <c r="L5" s="156" t="str">
        <f>+BS!L5</f>
        <v>2015A</v>
      </c>
      <c r="M5" s="469" t="str">
        <f>+BS!M5</f>
        <v>2015A</v>
      </c>
      <c r="N5" s="156" t="str">
        <f>+BS!N5</f>
        <v>2016A</v>
      </c>
      <c r="O5" s="156" t="str">
        <f>+BS!O5</f>
        <v>2016A</v>
      </c>
      <c r="P5" s="156" t="str">
        <f>+BS!P5</f>
        <v>2016A</v>
      </c>
      <c r="Q5" s="156" t="str">
        <f>+BS!Q5</f>
        <v>2016A</v>
      </c>
      <c r="R5" s="469" t="str">
        <f>+BS!R5</f>
        <v>2016A</v>
      </c>
      <c r="S5" s="156" t="str">
        <f>+BS!S5</f>
        <v>2017A</v>
      </c>
      <c r="T5" s="156" t="str">
        <f>+BS!T5</f>
        <v>2017A</v>
      </c>
      <c r="U5" s="156" t="str">
        <f>+BS!U5</f>
        <v>2017A</v>
      </c>
      <c r="V5" s="156" t="str">
        <f>+BS!V5</f>
        <v>2017A</v>
      </c>
      <c r="W5" s="469" t="str">
        <f>+BS!W5</f>
        <v>2017A</v>
      </c>
      <c r="X5" s="156" t="str">
        <f>+BS!X5</f>
        <v>2018A</v>
      </c>
      <c r="Y5" s="156" t="str">
        <f>+BS!Y5</f>
        <v>2018A</v>
      </c>
      <c r="Z5" s="156" t="str">
        <f>+BS!Z5</f>
        <v>2018A</v>
      </c>
      <c r="AA5" s="156" t="str">
        <f>+BS!AA5</f>
        <v>2018A</v>
      </c>
      <c r="AB5" s="469" t="str">
        <f>+BS!AB5</f>
        <v>2018A</v>
      </c>
      <c r="AC5" s="156" t="str">
        <f>+BS!AC5</f>
        <v>2019A</v>
      </c>
      <c r="AD5" s="428" t="str">
        <f>+BS!AD5</f>
        <v>2019A</v>
      </c>
      <c r="AE5" s="428" t="str">
        <f>+BS!AE5</f>
        <v>2019A</v>
      </c>
      <c r="AF5" s="428" t="str">
        <f>+BS!AF5</f>
        <v>2019A</v>
      </c>
      <c r="AG5" s="469" t="str">
        <f>+BS!AG5</f>
        <v>2019A</v>
      </c>
      <c r="AH5" s="428" t="str">
        <f>+BS!AH5</f>
        <v>2020A</v>
      </c>
      <c r="AI5" s="428" t="str">
        <f>+BS!AI5</f>
        <v>2020A</v>
      </c>
      <c r="AJ5" s="428" t="str">
        <f>+BS!AJ5</f>
        <v>2020A</v>
      </c>
      <c r="AK5" s="156" t="str">
        <f>+BS!AK5</f>
        <v>2020A</v>
      </c>
      <c r="AL5" s="469" t="str">
        <f>+BS!AL5</f>
        <v>2020A</v>
      </c>
      <c r="AM5" s="156" t="str">
        <f>+BS!AM5</f>
        <v>2021A</v>
      </c>
      <c r="AN5" s="156" t="str">
        <f>+BS!AN5</f>
        <v>2021A</v>
      </c>
      <c r="AO5" s="156" t="s">
        <v>362</v>
      </c>
      <c r="AP5" s="156" t="str">
        <f>+BS!AP5</f>
        <v>2021A</v>
      </c>
      <c r="AQ5" s="469" t="str">
        <f>+BS!AQ5</f>
        <v>2021A</v>
      </c>
      <c r="AR5" s="156" t="str">
        <f>+BS!AR5</f>
        <v>2022A</v>
      </c>
      <c r="AS5" s="156" t="str">
        <f>+BS!AS5</f>
        <v>2022A</v>
      </c>
      <c r="AT5" s="156" t="str">
        <f>+BS!AT5</f>
        <v>2022A</v>
      </c>
      <c r="AU5" s="156" t="str">
        <f>+BS!AU5</f>
        <v>2022A</v>
      </c>
      <c r="AV5" s="469" t="str">
        <f>+BS!AV5</f>
        <v>2022A</v>
      </c>
      <c r="AW5" s="156" t="str">
        <f>+BS!AW5</f>
        <v>2023A</v>
      </c>
      <c r="AX5" s="156" t="str">
        <f>+BS!AX5</f>
        <v>2023A</v>
      </c>
      <c r="AY5" s="156" t="str">
        <f>+BS!AY5</f>
        <v>2023A</v>
      </c>
      <c r="AZ5" s="156" t="str">
        <f>+BS!AZ5</f>
        <v>2023A</v>
      </c>
      <c r="BA5" s="469" t="str">
        <f>+BS!BA5</f>
        <v>2023A</v>
      </c>
      <c r="BB5" s="156" t="str">
        <f>+BS!BB5</f>
        <v>2024A</v>
      </c>
      <c r="BC5" s="156" t="str">
        <f>+BS!BC5</f>
        <v>2024A</v>
      </c>
      <c r="BD5" s="156" t="str">
        <f>+BS!BD5</f>
        <v>2024A</v>
      </c>
      <c r="BE5" s="156" t="str">
        <f>+BS!BE5</f>
        <v>2024A</v>
      </c>
      <c r="BF5" s="469" t="str">
        <f>+BS!BF5</f>
        <v>2024A</v>
      </c>
      <c r="BG5" s="156" t="str">
        <f>+BS!BG5</f>
        <v>2025A</v>
      </c>
      <c r="BH5" s="156" t="str">
        <f>+BS!BH5</f>
        <v>2025A</v>
      </c>
      <c r="BI5" s="156" t="str">
        <f>+BS!BI5</f>
        <v>2025A</v>
      </c>
      <c r="BJ5" s="156" t="str">
        <f>+BS!BJ5</f>
        <v>2025A</v>
      </c>
      <c r="BK5" s="469" t="str">
        <f>+BS!BK5</f>
        <v>2025A</v>
      </c>
      <c r="BL5" s="156" t="str">
        <f>+BS!BL5</f>
        <v>2026E</v>
      </c>
      <c r="BM5" s="156" t="str">
        <f>+BS!BM5</f>
        <v>2026E</v>
      </c>
      <c r="BN5" s="156" t="str">
        <f>+BS!BN5</f>
        <v>2026E</v>
      </c>
      <c r="BO5" s="156" t="str">
        <f>+BS!BO5</f>
        <v>2026E</v>
      </c>
      <c r="BP5" s="469" t="str">
        <f>+BS!BP5</f>
        <v>2026E</v>
      </c>
      <c r="BQ5" s="156" t="str">
        <f>+BS!BQ5</f>
        <v>2027E</v>
      </c>
      <c r="BR5" s="156" t="str">
        <f>+BS!BR5</f>
        <v>2027E</v>
      </c>
      <c r="BS5" s="156" t="str">
        <f>+BS!BS5</f>
        <v>2027E</v>
      </c>
      <c r="BT5" s="156" t="str">
        <f>+BS!BT5</f>
        <v>2027E</v>
      </c>
      <c r="BU5" s="469" t="str">
        <f>+BS!BU5</f>
        <v>2027E</v>
      </c>
    </row>
    <row r="6" spans="1:73" ht="13.15">
      <c r="B6" s="261" t="s">
        <v>201</v>
      </c>
      <c r="C6" s="158"/>
      <c r="D6" s="155"/>
      <c r="E6" s="155"/>
      <c r="F6" s="155"/>
      <c r="G6" s="155"/>
      <c r="H6" s="470"/>
      <c r="I6" s="155"/>
      <c r="J6" s="155"/>
      <c r="K6" s="155"/>
      <c r="L6" s="155"/>
      <c r="M6" s="470"/>
      <c r="N6" s="155"/>
      <c r="O6" s="155"/>
      <c r="P6" s="155"/>
      <c r="Q6" s="155"/>
      <c r="R6" s="470"/>
      <c r="S6" s="155"/>
      <c r="T6" s="155"/>
      <c r="U6" s="155"/>
      <c r="V6" s="155"/>
      <c r="W6" s="470"/>
      <c r="X6" s="155"/>
      <c r="Y6" s="155"/>
      <c r="Z6" s="155"/>
      <c r="AA6" s="155"/>
      <c r="AB6" s="470"/>
      <c r="AC6" s="155"/>
      <c r="AD6" s="429"/>
      <c r="AE6" s="429"/>
      <c r="AF6" s="429"/>
      <c r="AG6" s="470"/>
      <c r="AH6" s="429"/>
      <c r="AI6" s="429"/>
      <c r="AJ6" s="429"/>
      <c r="AK6" s="155"/>
      <c r="AL6" s="470"/>
      <c r="AM6" s="155"/>
      <c r="AN6" s="155"/>
      <c r="AO6" s="155"/>
      <c r="AP6" s="155"/>
      <c r="AQ6" s="470"/>
      <c r="AR6" s="155"/>
      <c r="AS6" s="155"/>
      <c r="AT6" s="155"/>
      <c r="AU6" s="155"/>
      <c r="AV6" s="470"/>
      <c r="AW6" s="155"/>
      <c r="AX6" s="155"/>
      <c r="AY6" s="155"/>
      <c r="AZ6" s="155"/>
      <c r="BA6" s="470"/>
      <c r="BB6" s="155"/>
      <c r="BC6" s="155"/>
      <c r="BD6" s="155"/>
      <c r="BE6" s="155"/>
      <c r="BF6" s="470"/>
      <c r="BG6" s="155"/>
      <c r="BH6" s="155"/>
      <c r="BI6" s="155"/>
      <c r="BJ6" s="155"/>
      <c r="BK6" s="470"/>
      <c r="BL6" s="155"/>
      <c r="BM6" s="155"/>
      <c r="BN6" s="155"/>
      <c r="BO6" s="155"/>
      <c r="BP6" s="470"/>
      <c r="BQ6" s="155"/>
      <c r="BR6" s="155"/>
      <c r="BS6" s="155"/>
      <c r="BT6" s="155"/>
      <c r="BU6" s="470"/>
    </row>
    <row r="7" spans="1:73" ht="12.75">
      <c r="A7" s="3" t="s">
        <v>292</v>
      </c>
      <c r="B7" s="262" t="s">
        <v>143</v>
      </c>
      <c r="C7" s="155"/>
      <c r="D7" s="355"/>
      <c r="E7" s="355"/>
      <c r="F7" s="355"/>
      <c r="G7" s="355"/>
      <c r="H7" s="479">
        <v>-32627</v>
      </c>
      <c r="I7" s="355">
        <v>-7682</v>
      </c>
      <c r="J7" s="355">
        <v>-9244</v>
      </c>
      <c r="K7" s="355">
        <v>-11825</v>
      </c>
      <c r="L7" s="355">
        <v>-21106</v>
      </c>
      <c r="M7" s="479">
        <v>-49857</v>
      </c>
      <c r="N7" s="355">
        <v>-15580</v>
      </c>
      <c r="O7" s="355">
        <v>-13452</v>
      </c>
      <c r="P7" s="355">
        <v>-10194</v>
      </c>
      <c r="Q7" s="355">
        <v>-9774</v>
      </c>
      <c r="R7" s="479">
        <v>-49000</v>
      </c>
      <c r="S7" s="355">
        <v>-10545</v>
      </c>
      <c r="T7" s="355">
        <v>-11637</v>
      </c>
      <c r="U7" s="355">
        <v>-10284</v>
      </c>
      <c r="V7" s="355">
        <v>-13004</v>
      </c>
      <c r="W7" s="479">
        <f>+SUM(S7:V7)</f>
        <v>-45470</v>
      </c>
      <c r="X7" s="355">
        <v>-16361</v>
      </c>
      <c r="Y7" s="355">
        <v>-14333</v>
      </c>
      <c r="Z7" s="355">
        <v>-11831</v>
      </c>
      <c r="AA7" s="355">
        <v>-13020</v>
      </c>
      <c r="AB7" s="472">
        <f>+SUM(X7:AA7)</f>
        <v>-55545</v>
      </c>
      <c r="AC7" s="355">
        <v>-11673</v>
      </c>
      <c r="AD7" s="355">
        <v>-13420</v>
      </c>
      <c r="AE7" s="557">
        <v>-14406</v>
      </c>
      <c r="AF7" s="557">
        <v>-14346</v>
      </c>
      <c r="AG7" s="472">
        <f>+SUM(AC7:AF7)</f>
        <v>-53845</v>
      </c>
      <c r="AH7" s="557">
        <v>-22924</v>
      </c>
      <c r="AI7" s="557">
        <v>-21466</v>
      </c>
      <c r="AJ7" s="557">
        <f>-25541</f>
        <v>-25541</v>
      </c>
      <c r="AK7" s="355">
        <f>-28918</f>
        <v>-28918</v>
      </c>
      <c r="AL7" s="479">
        <f>+SUM(AH7:AK7)</f>
        <v>-98849</v>
      </c>
      <c r="AM7" s="355">
        <f>-29845</f>
        <v>-29845</v>
      </c>
      <c r="AN7" s="355">
        <f>-34164</f>
        <v>-34164</v>
      </c>
      <c r="AO7" s="355">
        <f>-37700</f>
        <v>-37700</v>
      </c>
      <c r="AP7" s="355">
        <f>-44625</f>
        <v>-44625</v>
      </c>
      <c r="AQ7" s="479">
        <f>+SUM(AM7:AP7)</f>
        <v>-146334</v>
      </c>
      <c r="AR7" s="355">
        <f>-44999</f>
        <v>-44999</v>
      </c>
      <c r="AS7" s="355">
        <f>-39606</f>
        <v>-39606</v>
      </c>
      <c r="AT7" s="355">
        <f>-28727</f>
        <v>-28727</v>
      </c>
      <c r="AU7" s="355">
        <f>-11385</f>
        <v>-11385</v>
      </c>
      <c r="AV7" s="479">
        <f>SUM(AR7:AU7)</f>
        <v>-124717</v>
      </c>
      <c r="AW7" s="355">
        <f>-25915</f>
        <v>-25915</v>
      </c>
      <c r="AX7" s="355">
        <f>-66782</f>
        <v>-66782</v>
      </c>
      <c r="AY7" s="355">
        <f>-76611</f>
        <v>-76611</v>
      </c>
      <c r="AZ7" s="355">
        <f>20048</f>
        <v>20048</v>
      </c>
      <c r="BA7" s="479">
        <f>SUM(AW7:AZ7)</f>
        <v>-149260</v>
      </c>
      <c r="BB7" s="355">
        <f>2258</f>
        <v>2258</v>
      </c>
      <c r="BC7" s="355">
        <f>8195</f>
        <v>8195</v>
      </c>
      <c r="BD7" s="355">
        <f>16554</f>
        <v>16554</v>
      </c>
      <c r="BE7" s="355">
        <f>2172</f>
        <v>2172</v>
      </c>
      <c r="BF7" s="479">
        <f>SUM(BB7:BE7)</f>
        <v>29179</v>
      </c>
      <c r="BG7" s="355">
        <f>2105</f>
        <v>2105</v>
      </c>
      <c r="BH7" s="355">
        <f>8338</f>
        <v>8338</v>
      </c>
      <c r="BI7" s="355">
        <f>9809</f>
        <v>9809</v>
      </c>
      <c r="BJ7" s="355">
        <f>3129</f>
        <v>3129</v>
      </c>
      <c r="BK7" s="479">
        <f>SUM(BG7:BJ7)</f>
        <v>23381</v>
      </c>
      <c r="BL7" s="355">
        <f>+'Billings &amp; Recs'!BL74</f>
        <v>-12667.007943749992</v>
      </c>
      <c r="BM7" s="355">
        <f>+'Billings &amp; Recs'!BM74</f>
        <v>-3083.4565939999957</v>
      </c>
      <c r="BN7" s="355">
        <f>+'Billings &amp; Recs'!BN74</f>
        <v>-2278.0267104499871</v>
      </c>
      <c r="BO7" s="355">
        <f>+'Billings &amp; Recs'!BO74</f>
        <v>-1923.9632628295039</v>
      </c>
      <c r="BP7" s="479">
        <f>SUM(BL7:BO7)</f>
        <v>-19952.454511029478</v>
      </c>
      <c r="BQ7" s="355">
        <f>+'Billings &amp; Recs'!BQ74</f>
        <v>-3373.3507661255171</v>
      </c>
      <c r="BR7" s="355">
        <f>+'Billings &amp; Recs'!BR74</f>
        <v>-1284.8494893143834</v>
      </c>
      <c r="BS7" s="355">
        <f>+'Billings &amp; Recs'!BS74</f>
        <v>-2646.4394670351103</v>
      </c>
      <c r="BT7" s="355">
        <f>+'Billings &amp; Recs'!BT74</f>
        <v>-2649.9538947492001</v>
      </c>
      <c r="BU7" s="479">
        <f>SUM(BQ7:BT7)</f>
        <v>-9954.5936172242109</v>
      </c>
    </row>
    <row r="8" spans="1:73" ht="12.75">
      <c r="A8" s="3" t="s">
        <v>292</v>
      </c>
      <c r="B8" s="262" t="s">
        <v>263</v>
      </c>
      <c r="C8" s="155"/>
      <c r="D8" s="168"/>
      <c r="E8" s="168"/>
      <c r="F8" s="168"/>
      <c r="G8" s="168"/>
      <c r="H8" s="472">
        <v>4140</v>
      </c>
      <c r="I8" s="167">
        <v>1134</v>
      </c>
      <c r="J8" s="167">
        <v>1227</v>
      </c>
      <c r="K8" s="167">
        <v>1339</v>
      </c>
      <c r="L8" s="167">
        <v>1652</v>
      </c>
      <c r="M8" s="472">
        <v>5352</v>
      </c>
      <c r="N8" s="167">
        <v>1711</v>
      </c>
      <c r="O8" s="167">
        <v>1708</v>
      </c>
      <c r="P8" s="167">
        <v>1911</v>
      </c>
      <c r="Q8" s="167">
        <v>1395</v>
      </c>
      <c r="R8" s="472">
        <v>6725</v>
      </c>
      <c r="S8" s="167">
        <v>1624</v>
      </c>
      <c r="T8" s="167">
        <v>1613</v>
      </c>
      <c r="U8" s="167">
        <v>2067</v>
      </c>
      <c r="V8" s="167">
        <v>2324</v>
      </c>
      <c r="W8" s="472">
        <f>+SUM(S8:V8)</f>
        <v>7628</v>
      </c>
      <c r="X8" s="167">
        <v>2399</v>
      </c>
      <c r="Y8" s="167">
        <v>2678</v>
      </c>
      <c r="Z8" s="167">
        <v>2660</v>
      </c>
      <c r="AA8" s="167">
        <v>3360</v>
      </c>
      <c r="AB8" s="472">
        <f>+SUM(X8:AA8)</f>
        <v>11097</v>
      </c>
      <c r="AC8" s="167">
        <v>3427</v>
      </c>
      <c r="AD8" s="167">
        <v>3944</v>
      </c>
      <c r="AE8" s="167">
        <v>4598</v>
      </c>
      <c r="AF8" s="430">
        <v>4559</v>
      </c>
      <c r="AG8" s="472">
        <f t="shared" ref="AG8:AG20" si="0">+SUM(AC8:AF8)</f>
        <v>16528</v>
      </c>
      <c r="AH8" s="430">
        <v>4843</v>
      </c>
      <c r="AI8" s="430">
        <v>5576</v>
      </c>
      <c r="AJ8" s="430">
        <f>5928</f>
        <v>5928</v>
      </c>
      <c r="AK8" s="430">
        <f>6284</f>
        <v>6284</v>
      </c>
      <c r="AL8" s="472">
        <f>+SUM(AH8:AK8)</f>
        <v>22631</v>
      </c>
      <c r="AM8" s="167">
        <f>6740</f>
        <v>6740</v>
      </c>
      <c r="AN8" s="167">
        <f>7028</f>
        <v>7028</v>
      </c>
      <c r="AO8" s="167">
        <f>9745</f>
        <v>9745</v>
      </c>
      <c r="AP8" s="167">
        <f>9988</f>
        <v>9988</v>
      </c>
      <c r="AQ8" s="472">
        <f>+SUM(AM8:AP8)</f>
        <v>33501</v>
      </c>
      <c r="AR8" s="167">
        <f>10169</f>
        <v>10169</v>
      </c>
      <c r="AS8" s="167">
        <f>10223</f>
        <v>10223</v>
      </c>
      <c r="AT8" s="167">
        <f>10195</f>
        <v>10195</v>
      </c>
      <c r="AU8" s="167">
        <f>10451</f>
        <v>10451</v>
      </c>
      <c r="AV8" s="472">
        <f>+SUM(AR8:AU8)</f>
        <v>41038</v>
      </c>
      <c r="AW8" s="167">
        <f>11050</f>
        <v>11050</v>
      </c>
      <c r="AX8" s="167">
        <f>11829</f>
        <v>11829</v>
      </c>
      <c r="AY8" s="167">
        <f>11649</f>
        <v>11649</v>
      </c>
      <c r="AZ8" s="167">
        <f>11411</f>
        <v>11411</v>
      </c>
      <c r="BA8" s="472">
        <f>+SUM(AW8:AZ8)</f>
        <v>45939</v>
      </c>
      <c r="BB8" s="167">
        <f>11348</f>
        <v>11348</v>
      </c>
      <c r="BC8" s="167">
        <f>10871</f>
        <v>10871</v>
      </c>
      <c r="BD8" s="167">
        <f>11238</f>
        <v>11238</v>
      </c>
      <c r="BE8" s="167">
        <f>11436</f>
        <v>11436</v>
      </c>
      <c r="BF8" s="472">
        <f>+SUM(BB8:BE8)</f>
        <v>44893</v>
      </c>
      <c r="BG8" s="167">
        <f>11665</f>
        <v>11665</v>
      </c>
      <c r="BH8" s="167">
        <f>11390</f>
        <v>11390</v>
      </c>
      <c r="BI8" s="167">
        <f>11200</f>
        <v>11200</v>
      </c>
      <c r="BJ8" s="167">
        <f>11181</f>
        <v>11181</v>
      </c>
      <c r="BK8" s="472">
        <f>+SUM(BG8:BJ8)</f>
        <v>45436</v>
      </c>
      <c r="BL8" s="167">
        <f>+BS!BL85+BS!BL94</f>
        <v>10371.799999999999</v>
      </c>
      <c r="BM8" s="167">
        <f>+BS!BM85+BS!BM94</f>
        <v>9395.92778</v>
      </c>
      <c r="BN8" s="167">
        <f>+BS!BN85+BS!BN94</f>
        <v>8536.3970616000006</v>
      </c>
      <c r="BO8" s="167">
        <f>+BS!BO85+BS!BO94</f>
        <v>7779.681479072</v>
      </c>
      <c r="BP8" s="472">
        <f>+SUM(BL8:BO8)</f>
        <v>36083.806320672003</v>
      </c>
      <c r="BQ8" s="167">
        <f>+BS!BQ85+BS!BQ94</f>
        <v>7113.7215788582398</v>
      </c>
      <c r="BR8" s="167">
        <f>+BS!BR85+BS!BR94</f>
        <v>6526.4347269681402</v>
      </c>
      <c r="BS8" s="167">
        <f>+BS!BS85+BS!BS94</f>
        <v>6009.4117012430224</v>
      </c>
      <c r="BT8" s="167">
        <f>+BS!BT85+BS!BT94</f>
        <v>5554.4787779272338</v>
      </c>
      <c r="BU8" s="472">
        <f>+SUM(BQ8:BT8)</f>
        <v>25204.046784996637</v>
      </c>
    </row>
    <row r="9" spans="1:73" ht="12.75">
      <c r="B9" s="262" t="s">
        <v>264</v>
      </c>
      <c r="C9" s="155"/>
      <c r="D9" s="168"/>
      <c r="E9" s="168"/>
      <c r="F9" s="168"/>
      <c r="G9" s="168"/>
      <c r="H9" s="472">
        <v>553</v>
      </c>
      <c r="I9" s="167">
        <v>138</v>
      </c>
      <c r="J9" s="167">
        <v>138</v>
      </c>
      <c r="K9" s="167">
        <v>853</v>
      </c>
      <c r="L9" s="167">
        <v>0</v>
      </c>
      <c r="M9" s="472">
        <v>1129</v>
      </c>
      <c r="N9" s="167">
        <v>0</v>
      </c>
      <c r="O9" s="167">
        <v>0</v>
      </c>
      <c r="P9" s="167">
        <v>0</v>
      </c>
      <c r="Q9" s="167">
        <v>0</v>
      </c>
      <c r="R9" s="472">
        <v>0</v>
      </c>
      <c r="S9" s="167">
        <v>0</v>
      </c>
      <c r="T9" s="167">
        <v>0</v>
      </c>
      <c r="U9" s="167">
        <v>0</v>
      </c>
      <c r="V9" s="167">
        <v>0</v>
      </c>
      <c r="W9" s="472">
        <f>+SUM(S9:V9)</f>
        <v>0</v>
      </c>
      <c r="X9" s="167">
        <v>0</v>
      </c>
      <c r="Y9" s="167">
        <v>0</v>
      </c>
      <c r="Z9" s="167">
        <v>1296</v>
      </c>
      <c r="AA9" s="167">
        <v>2535</v>
      </c>
      <c r="AB9" s="472">
        <f>+SUM(X9:AA9)</f>
        <v>3831</v>
      </c>
      <c r="AC9" s="167">
        <v>2510</v>
      </c>
      <c r="AD9" s="167">
        <v>2594</v>
      </c>
      <c r="AE9" s="167">
        <v>2679</v>
      </c>
      <c r="AF9" s="430">
        <v>2730</v>
      </c>
      <c r="AG9" s="472">
        <f t="shared" si="0"/>
        <v>10513</v>
      </c>
      <c r="AH9" s="430">
        <v>2743</v>
      </c>
      <c r="AI9" s="430">
        <v>4264</v>
      </c>
      <c r="AJ9" s="430">
        <f>5206</f>
        <v>5206</v>
      </c>
      <c r="AK9" s="430">
        <f>5305</f>
        <v>5305</v>
      </c>
      <c r="AL9" s="472">
        <f>+SUM(AH9:AK9)</f>
        <v>17518</v>
      </c>
      <c r="AM9" s="167">
        <f>658</f>
        <v>658</v>
      </c>
      <c r="AN9" s="167">
        <f>1133</f>
        <v>1133</v>
      </c>
      <c r="AO9" s="167">
        <f>1095</f>
        <v>1095</v>
      </c>
      <c r="AP9" s="167">
        <f>1096</f>
        <v>1096</v>
      </c>
      <c r="AQ9" s="472">
        <f>+SUM(AM9:AP9)</f>
        <v>3982</v>
      </c>
      <c r="AR9" s="167">
        <f>979</f>
        <v>979</v>
      </c>
      <c r="AS9" s="167">
        <f>1011</f>
        <v>1011</v>
      </c>
      <c r="AT9" s="167">
        <f>1046</f>
        <v>1046</v>
      </c>
      <c r="AU9" s="167">
        <f>1049</f>
        <v>1049</v>
      </c>
      <c r="AV9" s="472">
        <f>+SUM(AR9:AU9)</f>
        <v>4085</v>
      </c>
      <c r="AW9" s="167">
        <f>994</f>
        <v>994</v>
      </c>
      <c r="AX9" s="167">
        <f>1026</f>
        <v>1026</v>
      </c>
      <c r="AY9" s="167">
        <f>1041</f>
        <v>1041</v>
      </c>
      <c r="AZ9" s="167">
        <f>1077</f>
        <v>1077</v>
      </c>
      <c r="BA9" s="472">
        <f>+SUM(AW9:AZ9)</f>
        <v>4138</v>
      </c>
      <c r="BB9" s="167">
        <f>1053</f>
        <v>1053</v>
      </c>
      <c r="BC9" s="167">
        <f>1055</f>
        <v>1055</v>
      </c>
      <c r="BD9" s="167">
        <f>1217</f>
        <v>1217</v>
      </c>
      <c r="BE9" s="167">
        <f>1122</f>
        <v>1122</v>
      </c>
      <c r="BF9" s="472">
        <f>+SUM(BB9:BE9)</f>
        <v>4447</v>
      </c>
      <c r="BG9" s="167">
        <f>1019</f>
        <v>1019</v>
      </c>
      <c r="BH9" s="167">
        <f>999</f>
        <v>999</v>
      </c>
      <c r="BI9" s="167">
        <f>1098</f>
        <v>1098</v>
      </c>
      <c r="BJ9" s="167">
        <f>1095</f>
        <v>1095</v>
      </c>
      <c r="BK9" s="472">
        <f>+SUM(BG9:BJ9)</f>
        <v>4211</v>
      </c>
      <c r="BL9" s="167">
        <f>BJ9</f>
        <v>1095</v>
      </c>
      <c r="BM9" s="167">
        <f>BL9</f>
        <v>1095</v>
      </c>
      <c r="BN9" s="167">
        <f>BM9</f>
        <v>1095</v>
      </c>
      <c r="BO9" s="167">
        <f>BN9</f>
        <v>1095</v>
      </c>
      <c r="BP9" s="472">
        <f>+SUM(BL9:BO9)</f>
        <v>4380</v>
      </c>
      <c r="BQ9" s="167">
        <f>BO9</f>
        <v>1095</v>
      </c>
      <c r="BR9" s="167">
        <f>BQ9</f>
        <v>1095</v>
      </c>
      <c r="BS9" s="167">
        <f>BR9</f>
        <v>1095</v>
      </c>
      <c r="BT9" s="167">
        <f>BS9</f>
        <v>1095</v>
      </c>
      <c r="BU9" s="472">
        <f>+SUM(BQ9:BT9)</f>
        <v>4380</v>
      </c>
    </row>
    <row r="10" spans="1:73" ht="12.75">
      <c r="A10" s="3" t="s">
        <v>292</v>
      </c>
      <c r="B10" s="262" t="s">
        <v>265</v>
      </c>
      <c r="C10" s="155"/>
      <c r="D10" s="168"/>
      <c r="E10" s="168"/>
      <c r="F10" s="168"/>
      <c r="G10" s="168"/>
      <c r="H10" s="472">
        <v>2159</v>
      </c>
      <c r="I10" s="167">
        <v>575</v>
      </c>
      <c r="J10" s="167">
        <v>831</v>
      </c>
      <c r="K10" s="167">
        <v>1427</v>
      </c>
      <c r="L10" s="167">
        <v>7852</v>
      </c>
      <c r="M10" s="472">
        <v>10685</v>
      </c>
      <c r="N10" s="167">
        <v>5519</v>
      </c>
      <c r="O10" s="167">
        <v>3641</v>
      </c>
      <c r="P10" s="167">
        <v>4177</v>
      </c>
      <c r="Q10" s="167">
        <v>3979</v>
      </c>
      <c r="R10" s="472">
        <v>17316</v>
      </c>
      <c r="S10" s="167">
        <v>4279</v>
      </c>
      <c r="T10" s="167">
        <v>5171</v>
      </c>
      <c r="U10" s="167">
        <v>5288</v>
      </c>
      <c r="V10" s="167">
        <v>4803</v>
      </c>
      <c r="W10" s="472">
        <f t="shared" ref="W10:W24" si="1">+SUM(S10:V10)</f>
        <v>19541</v>
      </c>
      <c r="X10" s="167">
        <v>6225</v>
      </c>
      <c r="Y10" s="167">
        <v>7350</v>
      </c>
      <c r="Z10" s="167">
        <v>7424</v>
      </c>
      <c r="AA10" s="167">
        <v>6594</v>
      </c>
      <c r="AB10" s="472">
        <f>+SUM(X10:AA10)</f>
        <v>27593</v>
      </c>
      <c r="AC10" s="167">
        <v>8634</v>
      </c>
      <c r="AD10" s="167">
        <v>10430</v>
      </c>
      <c r="AE10" s="167">
        <v>10426</v>
      </c>
      <c r="AF10" s="430">
        <v>11174</v>
      </c>
      <c r="AG10" s="472">
        <f t="shared" si="0"/>
        <v>40664</v>
      </c>
      <c r="AH10" s="167">
        <v>13347</v>
      </c>
      <c r="AI10" s="430">
        <v>16446</v>
      </c>
      <c r="AJ10" s="167">
        <f>17128</f>
        <v>17128</v>
      </c>
      <c r="AK10" s="167">
        <f>16967</f>
        <v>16967</v>
      </c>
      <c r="AL10" s="472">
        <f>+SUM(AH10:AK10)</f>
        <v>63888</v>
      </c>
      <c r="AM10" s="167">
        <f>20862</f>
        <v>20862</v>
      </c>
      <c r="AN10" s="167">
        <f>23814</f>
        <v>23814</v>
      </c>
      <c r="AO10" s="167">
        <f>29196</f>
        <v>29196</v>
      </c>
      <c r="AP10" s="167">
        <f>28707</f>
        <v>28707</v>
      </c>
      <c r="AQ10" s="472">
        <f>+SUM(AM10:AP10)</f>
        <v>102579</v>
      </c>
      <c r="AR10" s="167">
        <f>28922</f>
        <v>28922</v>
      </c>
      <c r="AS10" s="167">
        <f>32411</f>
        <v>32411</v>
      </c>
      <c r="AT10" s="167">
        <f>30971</f>
        <v>30971</v>
      </c>
      <c r="AU10" s="167">
        <f>27598</f>
        <v>27598</v>
      </c>
      <c r="AV10" s="472">
        <f>+'Billings &amp; Recs'!AV111</f>
        <v>119902</v>
      </c>
      <c r="AW10" s="167">
        <f>29373</f>
        <v>29373</v>
      </c>
      <c r="AX10" s="167">
        <f>31695</f>
        <v>31695</v>
      </c>
      <c r="AY10" s="167">
        <f>23768</f>
        <v>23768</v>
      </c>
      <c r="AZ10" s="167">
        <f>23245</f>
        <v>23245</v>
      </c>
      <c r="BA10" s="472">
        <f>+'Billings &amp; Recs'!BA111</f>
        <v>108081</v>
      </c>
      <c r="BB10" s="167">
        <f>24893</f>
        <v>24893</v>
      </c>
      <c r="BC10" s="167">
        <f>27409</f>
        <v>27409</v>
      </c>
      <c r="BD10" s="167">
        <f>24594</f>
        <v>24594</v>
      </c>
      <c r="BE10" s="167">
        <f>27412</f>
        <v>27412</v>
      </c>
      <c r="BF10" s="472">
        <f>+'Billings &amp; Recs'!BF111</f>
        <v>104308</v>
      </c>
      <c r="BG10" s="167">
        <f>27151</f>
        <v>27151</v>
      </c>
      <c r="BH10" s="167">
        <f>27581</f>
        <v>27581</v>
      </c>
      <c r="BI10" s="167">
        <f>26327</f>
        <v>26327</v>
      </c>
      <c r="BJ10" s="167">
        <f>23276</f>
        <v>23276</v>
      </c>
      <c r="BK10" s="472">
        <f>+'Billings &amp; Recs'!BK111</f>
        <v>104335</v>
      </c>
      <c r="BL10" s="167">
        <f>+'Billings &amp; Recs'!BL111</f>
        <v>29115.761500000004</v>
      </c>
      <c r="BM10" s="167">
        <f>+'Billings &amp; Recs'!BM111</f>
        <v>27161.3914</v>
      </c>
      <c r="BN10" s="167">
        <f>+'Billings &amp; Recs'!BN111</f>
        <v>29434.874000000003</v>
      </c>
      <c r="BO10" s="167">
        <f>+'Billings &amp; Recs'!BO111</f>
        <v>29641.035200000002</v>
      </c>
      <c r="BP10" s="472">
        <f>+'Billings &amp; Recs'!BP111</f>
        <v>115353.0621</v>
      </c>
      <c r="BQ10" s="167">
        <f>+'Billings &amp; Recs'!BQ111</f>
        <v>29613.162810000005</v>
      </c>
      <c r="BR10" s="167">
        <f>+'Billings &amp; Recs'!BR111</f>
        <v>27626.639196</v>
      </c>
      <c r="BS10" s="167">
        <f>+'Billings &amp; Recs'!BS111</f>
        <v>29915.925816000003</v>
      </c>
      <c r="BT10" s="167">
        <f>+'Billings &amp; Recs'!BT111</f>
        <v>30120.327888000003</v>
      </c>
      <c r="BU10" s="472">
        <f>+'Billings &amp; Recs'!BU111</f>
        <v>117276.05571000002</v>
      </c>
    </row>
    <row r="11" spans="1:73" ht="12.75" hidden="1" outlineLevel="1">
      <c r="B11" s="262" t="s">
        <v>266</v>
      </c>
      <c r="C11" s="155"/>
      <c r="D11" s="168"/>
      <c r="E11" s="168"/>
      <c r="F11" s="168"/>
      <c r="G11" s="168"/>
      <c r="H11" s="472">
        <v>581</v>
      </c>
      <c r="I11" s="167">
        <v>165</v>
      </c>
      <c r="J11" s="167">
        <v>211</v>
      </c>
      <c r="K11" s="167">
        <v>200</v>
      </c>
      <c r="L11" s="167">
        <v>252</v>
      </c>
      <c r="M11" s="472">
        <v>828</v>
      </c>
      <c r="N11" s="167">
        <v>124</v>
      </c>
      <c r="O11" s="167">
        <v>270</v>
      </c>
      <c r="P11" s="167">
        <v>110</v>
      </c>
      <c r="Q11" s="167">
        <v>427</v>
      </c>
      <c r="R11" s="472">
        <v>931</v>
      </c>
      <c r="S11" s="167">
        <v>316</v>
      </c>
      <c r="T11" s="167">
        <v>162</v>
      </c>
      <c r="U11" s="167">
        <v>31</v>
      </c>
      <c r="V11" s="167">
        <v>396</v>
      </c>
      <c r="W11" s="472">
        <f t="shared" si="1"/>
        <v>905</v>
      </c>
      <c r="X11" s="167">
        <v>156</v>
      </c>
      <c r="Y11" s="167">
        <v>300</v>
      </c>
      <c r="Z11" s="167">
        <v>24</v>
      </c>
      <c r="AA11" s="167">
        <v>260</v>
      </c>
      <c r="AB11" s="472">
        <f t="shared" ref="AB11:AB20" si="2">+SUM(X11:AA11)</f>
        <v>740</v>
      </c>
      <c r="AC11" s="167">
        <v>437</v>
      </c>
      <c r="AD11" s="167">
        <v>916</v>
      </c>
      <c r="AE11" s="167">
        <v>429</v>
      </c>
      <c r="AF11" s="430">
        <v>459</v>
      </c>
      <c r="AG11" s="472">
        <f t="shared" si="0"/>
        <v>2241</v>
      </c>
      <c r="AH11" s="167">
        <v>527</v>
      </c>
      <c r="AI11" s="430">
        <v>481</v>
      </c>
      <c r="AJ11" s="167">
        <f>752</f>
        <v>752</v>
      </c>
      <c r="AK11" s="167">
        <f>237</f>
        <v>237</v>
      </c>
      <c r="AL11" s="472">
        <f t="shared" ref="AL11:AL18" si="3">+SUM(AH11:AK11)</f>
        <v>1997</v>
      </c>
      <c r="AM11" s="167">
        <f>0</f>
        <v>0</v>
      </c>
      <c r="AN11" s="167">
        <v>0</v>
      </c>
      <c r="AO11" s="167">
        <v>0</v>
      </c>
      <c r="AP11" s="167">
        <v>0</v>
      </c>
      <c r="AQ11" s="472">
        <f t="shared" ref="AQ11:AQ18" si="4">+SUM(AM11:AP11)</f>
        <v>0</v>
      </c>
      <c r="AR11" s="167">
        <v>0</v>
      </c>
      <c r="AS11" s="167">
        <v>0</v>
      </c>
      <c r="AT11" s="167">
        <v>0</v>
      </c>
      <c r="AU11" s="167">
        <v>0</v>
      </c>
      <c r="AV11" s="472">
        <f t="shared" ref="AV11:AV16" si="5">+SUM(AR11:AU11)</f>
        <v>0</v>
      </c>
      <c r="AW11" s="167"/>
      <c r="AX11" s="167"/>
      <c r="AY11" s="167"/>
      <c r="AZ11" s="167"/>
      <c r="BA11" s="472">
        <f t="shared" ref="BA11:BA16" si="6">+SUM(AW11:AZ11)</f>
        <v>0</v>
      </c>
      <c r="BB11" s="167"/>
      <c r="BC11" s="167"/>
      <c r="BD11" s="167"/>
      <c r="BE11" s="167"/>
      <c r="BF11" s="472">
        <f t="shared" ref="BF11:BF16" si="7">+SUM(BB11:BE11)</f>
        <v>0</v>
      </c>
      <c r="BG11" s="167"/>
      <c r="BH11" s="167"/>
      <c r="BI11" s="167"/>
      <c r="BJ11" s="167"/>
      <c r="BK11" s="472">
        <f t="shared" ref="BK11:BK16" si="8">+SUM(BG11:BJ11)</f>
        <v>0</v>
      </c>
      <c r="BL11" s="167"/>
      <c r="BM11" s="167"/>
      <c r="BN11" s="167"/>
      <c r="BO11" s="167"/>
      <c r="BP11" s="472">
        <f t="shared" ref="BP11:BP16" si="9">+SUM(BL11:BO11)</f>
        <v>0</v>
      </c>
      <c r="BQ11" s="167"/>
      <c r="BR11" s="167"/>
      <c r="BS11" s="167"/>
      <c r="BT11" s="167"/>
      <c r="BU11" s="472">
        <f t="shared" ref="BU11:BU16" si="10">+SUM(BQ11:BT11)</f>
        <v>0</v>
      </c>
    </row>
    <row r="12" spans="1:73" ht="12.75" hidden="1" outlineLevel="1">
      <c r="B12" s="262" t="s">
        <v>267</v>
      </c>
      <c r="C12" s="155"/>
      <c r="D12" s="168"/>
      <c r="E12" s="168"/>
      <c r="F12" s="168"/>
      <c r="G12" s="168"/>
      <c r="H12" s="472">
        <v>0</v>
      </c>
      <c r="I12" s="167">
        <v>0</v>
      </c>
      <c r="J12" s="167">
        <v>0</v>
      </c>
      <c r="K12" s="167">
        <v>483</v>
      </c>
      <c r="L12" s="167">
        <v>0</v>
      </c>
      <c r="M12" s="472">
        <v>483</v>
      </c>
      <c r="N12" s="167">
        <v>0</v>
      </c>
      <c r="O12" s="167">
        <v>0</v>
      </c>
      <c r="P12" s="167">
        <v>0</v>
      </c>
      <c r="Q12" s="167">
        <v>0</v>
      </c>
      <c r="R12" s="472">
        <v>0</v>
      </c>
      <c r="S12" s="167">
        <v>0</v>
      </c>
      <c r="T12" s="167">
        <v>0</v>
      </c>
      <c r="U12" s="167">
        <v>0</v>
      </c>
      <c r="V12" s="167">
        <v>0</v>
      </c>
      <c r="W12" s="472">
        <f t="shared" si="1"/>
        <v>0</v>
      </c>
      <c r="X12" s="167">
        <v>0</v>
      </c>
      <c r="Y12" s="167">
        <v>0</v>
      </c>
      <c r="Z12" s="167">
        <v>0</v>
      </c>
      <c r="AA12" s="167">
        <v>0</v>
      </c>
      <c r="AB12" s="472">
        <f t="shared" si="2"/>
        <v>0</v>
      </c>
      <c r="AC12" s="167">
        <v>0</v>
      </c>
      <c r="AD12" s="167"/>
      <c r="AE12" s="167"/>
      <c r="AF12" s="430"/>
      <c r="AG12" s="472">
        <f t="shared" si="0"/>
        <v>0</v>
      </c>
      <c r="AH12" s="167"/>
      <c r="AI12" s="430"/>
      <c r="AJ12" s="167"/>
      <c r="AK12" s="167"/>
      <c r="AL12" s="472">
        <f t="shared" si="3"/>
        <v>0</v>
      </c>
      <c r="AM12" s="167"/>
      <c r="AN12" s="167"/>
      <c r="AO12" s="167"/>
      <c r="AP12" s="167"/>
      <c r="AQ12" s="472">
        <f t="shared" si="4"/>
        <v>0</v>
      </c>
      <c r="AR12" s="167"/>
      <c r="AS12" s="167"/>
      <c r="AT12" s="167"/>
      <c r="AU12" s="167"/>
      <c r="AV12" s="472">
        <f t="shared" si="5"/>
        <v>0</v>
      </c>
      <c r="AW12" s="167"/>
      <c r="AX12" s="167"/>
      <c r="AY12" s="167"/>
      <c r="AZ12" s="167"/>
      <c r="BA12" s="472">
        <f t="shared" si="6"/>
        <v>0</v>
      </c>
      <c r="BB12" s="167"/>
      <c r="BC12" s="167"/>
      <c r="BD12" s="167"/>
      <c r="BE12" s="167"/>
      <c r="BF12" s="472">
        <f t="shared" si="7"/>
        <v>0</v>
      </c>
      <c r="BG12" s="167"/>
      <c r="BH12" s="167"/>
      <c r="BI12" s="167"/>
      <c r="BJ12" s="167"/>
      <c r="BK12" s="472">
        <f t="shared" si="8"/>
        <v>0</v>
      </c>
      <c r="BL12" s="167"/>
      <c r="BM12" s="167"/>
      <c r="BN12" s="167"/>
      <c r="BO12" s="167"/>
      <c r="BP12" s="472">
        <f t="shared" si="9"/>
        <v>0</v>
      </c>
      <c r="BQ12" s="167"/>
      <c r="BR12" s="167"/>
      <c r="BS12" s="167"/>
      <c r="BT12" s="167"/>
      <c r="BU12" s="472">
        <f t="shared" si="10"/>
        <v>0</v>
      </c>
    </row>
    <row r="13" spans="1:73" ht="12.75" collapsed="1">
      <c r="B13" s="262" t="s">
        <v>268</v>
      </c>
      <c r="C13" s="155"/>
      <c r="D13" s="168"/>
      <c r="E13" s="168"/>
      <c r="F13" s="168"/>
      <c r="G13" s="168"/>
      <c r="H13" s="472">
        <v>196</v>
      </c>
      <c r="I13" s="167">
        <v>0</v>
      </c>
      <c r="J13" s="167">
        <v>0</v>
      </c>
      <c r="K13" s="167">
        <v>0</v>
      </c>
      <c r="L13" s="167">
        <v>119</v>
      </c>
      <c r="M13" s="472">
        <v>119</v>
      </c>
      <c r="N13" s="167">
        <v>0</v>
      </c>
      <c r="O13" s="167">
        <v>0</v>
      </c>
      <c r="P13" s="167">
        <v>0</v>
      </c>
      <c r="Q13" s="167">
        <v>75</v>
      </c>
      <c r="R13" s="472">
        <v>75</v>
      </c>
      <c r="S13" s="167">
        <v>0</v>
      </c>
      <c r="T13" s="167">
        <v>0</v>
      </c>
      <c r="U13" s="167">
        <v>-2632</v>
      </c>
      <c r="V13" s="167">
        <v>-228</v>
      </c>
      <c r="W13" s="472">
        <f t="shared" si="1"/>
        <v>-2860</v>
      </c>
      <c r="X13" s="167">
        <v>0</v>
      </c>
      <c r="Y13" s="167">
        <v>0</v>
      </c>
      <c r="Z13" s="167">
        <v>0</v>
      </c>
      <c r="AA13" s="167">
        <v>-69</v>
      </c>
      <c r="AB13" s="472">
        <f t="shared" si="2"/>
        <v>-69</v>
      </c>
      <c r="AC13" s="167">
        <v>0</v>
      </c>
      <c r="AD13" s="167">
        <v>-761</v>
      </c>
      <c r="AE13" s="167">
        <v>0</v>
      </c>
      <c r="AF13" s="167">
        <v>116</v>
      </c>
      <c r="AG13" s="472">
        <f t="shared" si="0"/>
        <v>-645</v>
      </c>
      <c r="AH13" s="167">
        <f>0</f>
        <v>0</v>
      </c>
      <c r="AI13" s="430">
        <f>0</f>
        <v>0</v>
      </c>
      <c r="AJ13" s="167">
        <f>0</f>
        <v>0</v>
      </c>
      <c r="AK13" s="167">
        <f>737</f>
        <v>737</v>
      </c>
      <c r="AL13" s="472">
        <f t="shared" si="3"/>
        <v>737</v>
      </c>
      <c r="AM13" s="167">
        <f>0</f>
        <v>0</v>
      </c>
      <c r="AN13" s="167">
        <f>3924</f>
        <v>3924</v>
      </c>
      <c r="AO13" s="167">
        <v>0</v>
      </c>
      <c r="AP13" s="167">
        <f>-3458</f>
        <v>-3458</v>
      </c>
      <c r="AQ13" s="472">
        <f t="shared" si="4"/>
        <v>466</v>
      </c>
      <c r="AR13" s="167">
        <v>0</v>
      </c>
      <c r="AS13" s="167">
        <v>0</v>
      </c>
      <c r="AT13" s="167">
        <v>0</v>
      </c>
      <c r="AU13" s="167">
        <f>332</f>
        <v>332</v>
      </c>
      <c r="AV13" s="472">
        <f t="shared" si="5"/>
        <v>332</v>
      </c>
      <c r="AW13" s="167"/>
      <c r="AX13" s="167"/>
      <c r="AY13" s="167"/>
      <c r="AZ13" s="167">
        <f>-5624</f>
        <v>-5624</v>
      </c>
      <c r="BA13" s="472">
        <f t="shared" si="6"/>
        <v>-5624</v>
      </c>
      <c r="BB13" s="167">
        <f>1840</f>
        <v>1840</v>
      </c>
      <c r="BC13" s="167">
        <f>0</f>
        <v>0</v>
      </c>
      <c r="BD13" s="167">
        <f>0</f>
        <v>0</v>
      </c>
      <c r="BE13" s="167">
        <f>-1049</f>
        <v>-1049</v>
      </c>
      <c r="BF13" s="472">
        <f t="shared" si="7"/>
        <v>791</v>
      </c>
      <c r="BG13" s="167">
        <v>0</v>
      </c>
      <c r="BH13" s="167">
        <v>0</v>
      </c>
      <c r="BI13" s="167">
        <f>-1300</f>
        <v>-1300</v>
      </c>
      <c r="BJ13" s="167">
        <f>-390</f>
        <v>-390</v>
      </c>
      <c r="BK13" s="472">
        <f t="shared" si="8"/>
        <v>-1690</v>
      </c>
      <c r="BL13" s="167">
        <f>0</f>
        <v>0</v>
      </c>
      <c r="BM13" s="167">
        <f>0</f>
        <v>0</v>
      </c>
      <c r="BN13" s="167">
        <f>0</f>
        <v>0</v>
      </c>
      <c r="BO13" s="167">
        <f>0</f>
        <v>0</v>
      </c>
      <c r="BP13" s="472">
        <f t="shared" si="9"/>
        <v>0</v>
      </c>
      <c r="BQ13" s="167">
        <f>0</f>
        <v>0</v>
      </c>
      <c r="BR13" s="167">
        <f>0</f>
        <v>0</v>
      </c>
      <c r="BS13" s="167">
        <f>0</f>
        <v>0</v>
      </c>
      <c r="BT13" s="167">
        <f>0</f>
        <v>0</v>
      </c>
      <c r="BU13" s="472">
        <f t="shared" si="10"/>
        <v>0</v>
      </c>
    </row>
    <row r="14" spans="1:73" ht="12.75" hidden="1" outlineLevel="1">
      <c r="B14" s="262" t="s">
        <v>269</v>
      </c>
      <c r="C14" s="155"/>
      <c r="D14" s="168"/>
      <c r="E14" s="168"/>
      <c r="F14" s="168"/>
      <c r="G14" s="168"/>
      <c r="H14" s="472">
        <v>0</v>
      </c>
      <c r="I14" s="167">
        <v>0</v>
      </c>
      <c r="J14" s="167">
        <v>0</v>
      </c>
      <c r="K14" s="167">
        <v>0</v>
      </c>
      <c r="L14" s="167">
        <v>0</v>
      </c>
      <c r="M14" s="472">
        <v>0</v>
      </c>
      <c r="N14" s="167">
        <v>0</v>
      </c>
      <c r="O14" s="167">
        <v>0</v>
      </c>
      <c r="P14" s="167">
        <v>0</v>
      </c>
      <c r="Q14" s="167">
        <v>0</v>
      </c>
      <c r="R14" s="472">
        <v>0</v>
      </c>
      <c r="S14" s="167">
        <v>0</v>
      </c>
      <c r="T14" s="167">
        <v>0</v>
      </c>
      <c r="U14" s="167">
        <v>0</v>
      </c>
      <c r="V14" s="167">
        <v>0</v>
      </c>
      <c r="W14" s="472">
        <f t="shared" si="1"/>
        <v>0</v>
      </c>
      <c r="X14" s="167">
        <v>0</v>
      </c>
      <c r="Y14" s="167">
        <v>0</v>
      </c>
      <c r="Z14" s="167">
        <v>0</v>
      </c>
      <c r="AA14" s="167">
        <v>0</v>
      </c>
      <c r="AB14" s="472">
        <f t="shared" si="2"/>
        <v>0</v>
      </c>
      <c r="AC14" s="167">
        <v>0</v>
      </c>
      <c r="AD14" s="167"/>
      <c r="AE14" s="167"/>
      <c r="AF14" s="167"/>
      <c r="AG14" s="472">
        <f t="shared" si="0"/>
        <v>0</v>
      </c>
      <c r="AH14" s="167"/>
      <c r="AI14" s="430"/>
      <c r="AJ14" s="167"/>
      <c r="AK14" s="167"/>
      <c r="AL14" s="472">
        <f t="shared" si="3"/>
        <v>0</v>
      </c>
      <c r="AM14" s="167"/>
      <c r="AN14" s="167"/>
      <c r="AO14" s="167"/>
      <c r="AP14" s="167"/>
      <c r="AQ14" s="472">
        <f t="shared" si="4"/>
        <v>0</v>
      </c>
      <c r="AR14" s="167"/>
      <c r="AS14" s="167"/>
      <c r="AT14" s="167"/>
      <c r="AU14" s="167"/>
      <c r="AV14" s="472">
        <f t="shared" si="5"/>
        <v>0</v>
      </c>
      <c r="AW14" s="167"/>
      <c r="AX14" s="167"/>
      <c r="AY14" s="167"/>
      <c r="AZ14" s="167"/>
      <c r="BA14" s="472">
        <f t="shared" si="6"/>
        <v>0</v>
      </c>
      <c r="BB14" s="167"/>
      <c r="BC14" s="167"/>
      <c r="BD14" s="167"/>
      <c r="BE14" s="167"/>
      <c r="BF14" s="472">
        <f t="shared" si="7"/>
        <v>0</v>
      </c>
      <c r="BG14" s="167"/>
      <c r="BH14" s="167"/>
      <c r="BI14" s="167"/>
      <c r="BJ14" s="167"/>
      <c r="BK14" s="472">
        <f t="shared" si="8"/>
        <v>0</v>
      </c>
      <c r="BL14" s="167"/>
      <c r="BM14" s="167"/>
      <c r="BN14" s="167"/>
      <c r="BO14" s="167"/>
      <c r="BP14" s="472">
        <f t="shared" si="9"/>
        <v>0</v>
      </c>
      <c r="BQ14" s="167"/>
      <c r="BR14" s="167"/>
      <c r="BS14" s="167"/>
      <c r="BT14" s="167"/>
      <c r="BU14" s="472">
        <f t="shared" si="10"/>
        <v>0</v>
      </c>
    </row>
    <row r="15" spans="1:73" ht="12.75" hidden="1" outlineLevel="1" collapsed="1">
      <c r="B15" s="262" t="s">
        <v>270</v>
      </c>
      <c r="C15" s="155"/>
      <c r="D15" s="168"/>
      <c r="E15" s="168"/>
      <c r="F15" s="168"/>
      <c r="G15" s="168"/>
      <c r="H15" s="472">
        <v>0</v>
      </c>
      <c r="I15" s="167">
        <v>241</v>
      </c>
      <c r="J15" s="167">
        <v>-188</v>
      </c>
      <c r="K15" s="167">
        <v>37</v>
      </c>
      <c r="L15" s="167">
        <v>63</v>
      </c>
      <c r="M15" s="472">
        <v>153</v>
      </c>
      <c r="N15" s="167">
        <v>-223</v>
      </c>
      <c r="O15" s="167">
        <v>104</v>
      </c>
      <c r="P15" s="167">
        <v>-47</v>
      </c>
      <c r="Q15" s="167">
        <v>224</v>
      </c>
      <c r="R15" s="472">
        <v>58</v>
      </c>
      <c r="S15" s="167">
        <v>44</v>
      </c>
      <c r="T15" s="167">
        <v>-282</v>
      </c>
      <c r="U15" s="167">
        <v>-172</v>
      </c>
      <c r="V15" s="167">
        <v>46</v>
      </c>
      <c r="W15" s="472">
        <f t="shared" si="1"/>
        <v>-364</v>
      </c>
      <c r="X15" s="167">
        <v>147</v>
      </c>
      <c r="Y15" s="167">
        <v>324</v>
      </c>
      <c r="Z15" s="167">
        <v>95</v>
      </c>
      <c r="AA15" s="167">
        <v>191</v>
      </c>
      <c r="AB15" s="472">
        <f t="shared" si="2"/>
        <v>757</v>
      </c>
      <c r="AC15" s="167">
        <v>249</v>
      </c>
      <c r="AD15" s="167">
        <v>-58</v>
      </c>
      <c r="AE15" s="167">
        <v>379</v>
      </c>
      <c r="AF15" s="167">
        <v>-315</v>
      </c>
      <c r="AG15" s="472">
        <f t="shared" si="0"/>
        <v>255</v>
      </c>
      <c r="AH15" s="167">
        <v>447</v>
      </c>
      <c r="AI15" s="430">
        <v>-248</v>
      </c>
      <c r="AJ15" s="167">
        <f>109</f>
        <v>109</v>
      </c>
      <c r="AK15" s="167">
        <f>-45</f>
        <v>-45</v>
      </c>
      <c r="AL15" s="472">
        <f t="shared" si="3"/>
        <v>263</v>
      </c>
      <c r="AM15" s="167">
        <f>0</f>
        <v>0</v>
      </c>
      <c r="AN15" s="167">
        <v>0</v>
      </c>
      <c r="AO15" s="167">
        <v>0</v>
      </c>
      <c r="AP15" s="167">
        <v>0</v>
      </c>
      <c r="AQ15" s="472">
        <f t="shared" si="4"/>
        <v>0</v>
      </c>
      <c r="AR15" s="167">
        <v>0</v>
      </c>
      <c r="AS15" s="167">
        <v>0</v>
      </c>
      <c r="AT15" s="167">
        <v>0</v>
      </c>
      <c r="AU15" s="167">
        <v>0</v>
      </c>
      <c r="AV15" s="472">
        <f t="shared" si="5"/>
        <v>0</v>
      </c>
      <c r="AW15" s="167"/>
      <c r="AX15" s="167"/>
      <c r="AY15" s="167"/>
      <c r="AZ15" s="167"/>
      <c r="BA15" s="472">
        <f t="shared" si="6"/>
        <v>0</v>
      </c>
      <c r="BB15" s="167"/>
      <c r="BC15" s="167"/>
      <c r="BD15" s="167"/>
      <c r="BE15" s="167"/>
      <c r="BF15" s="472">
        <f t="shared" si="7"/>
        <v>0</v>
      </c>
      <c r="BG15" s="167"/>
      <c r="BH15" s="167"/>
      <c r="BI15" s="167"/>
      <c r="BJ15" s="167"/>
      <c r="BK15" s="472">
        <f t="shared" si="8"/>
        <v>0</v>
      </c>
      <c r="BL15" s="167"/>
      <c r="BM15" s="167"/>
      <c r="BN15" s="167"/>
      <c r="BO15" s="167"/>
      <c r="BP15" s="472">
        <f t="shared" si="9"/>
        <v>0</v>
      </c>
      <c r="BQ15" s="167"/>
      <c r="BR15" s="167"/>
      <c r="BS15" s="167"/>
      <c r="BT15" s="167"/>
      <c r="BU15" s="472">
        <f t="shared" si="10"/>
        <v>0</v>
      </c>
    </row>
    <row r="16" spans="1:73" ht="12.75" collapsed="1">
      <c r="B16" s="262" t="s">
        <v>369</v>
      </c>
      <c r="C16" s="155"/>
      <c r="D16" s="168"/>
      <c r="E16" s="168"/>
      <c r="F16" s="168"/>
      <c r="G16" s="168"/>
      <c r="H16" s="472">
        <v>0</v>
      </c>
      <c r="I16" s="167">
        <v>0</v>
      </c>
      <c r="J16" s="167">
        <v>51</v>
      </c>
      <c r="K16" s="167">
        <v>79</v>
      </c>
      <c r="L16" s="167">
        <v>79</v>
      </c>
      <c r="M16" s="472">
        <v>209</v>
      </c>
      <c r="N16" s="167">
        <v>78</v>
      </c>
      <c r="O16" s="167">
        <v>52</v>
      </c>
      <c r="P16" s="167">
        <v>38</v>
      </c>
      <c r="Q16" s="167">
        <v>54</v>
      </c>
      <c r="R16" s="472">
        <v>222</v>
      </c>
      <c r="S16" s="167">
        <v>97</v>
      </c>
      <c r="T16" s="167">
        <v>78</v>
      </c>
      <c r="U16" s="167">
        <v>39</v>
      </c>
      <c r="V16" s="167">
        <v>-5</v>
      </c>
      <c r="W16" s="472">
        <f t="shared" si="1"/>
        <v>209</v>
      </c>
      <c r="X16" s="167">
        <v>-52</v>
      </c>
      <c r="Y16" s="167">
        <v>-19</v>
      </c>
      <c r="Z16" s="167">
        <v>-274</v>
      </c>
      <c r="AA16" s="167">
        <v>-161</v>
      </c>
      <c r="AB16" s="472">
        <f t="shared" si="2"/>
        <v>-506</v>
      </c>
      <c r="AC16" s="167">
        <v>-722</v>
      </c>
      <c r="AD16" s="167">
        <v>-568</v>
      </c>
      <c r="AE16" s="167">
        <v>-345</v>
      </c>
      <c r="AF16" s="167">
        <v>-254</v>
      </c>
      <c r="AG16" s="472">
        <f t="shared" si="0"/>
        <v>-1889</v>
      </c>
      <c r="AH16" s="167">
        <v>-138</v>
      </c>
      <c r="AI16" s="430">
        <v>-9</v>
      </c>
      <c r="AJ16" s="167">
        <f>60</f>
        <v>60</v>
      </c>
      <c r="AK16" s="167">
        <v>255</v>
      </c>
      <c r="AL16" s="472">
        <f t="shared" si="3"/>
        <v>168</v>
      </c>
      <c r="AM16" s="167">
        <f>2740+1404</f>
        <v>4144</v>
      </c>
      <c r="AN16" s="167">
        <f>42</f>
        <v>42</v>
      </c>
      <c r="AO16" s="167">
        <f>209</f>
        <v>209</v>
      </c>
      <c r="AP16" s="167">
        <f>265</f>
        <v>265</v>
      </c>
      <c r="AQ16" s="472">
        <f t="shared" si="4"/>
        <v>4660</v>
      </c>
      <c r="AR16" s="167">
        <f>526</f>
        <v>526</v>
      </c>
      <c r="AS16" s="167">
        <f>1755</f>
        <v>1755</v>
      </c>
      <c r="AT16" s="167">
        <f>1547</f>
        <v>1547</v>
      </c>
      <c r="AU16" s="167">
        <f>-4028</f>
        <v>-4028</v>
      </c>
      <c r="AV16" s="472">
        <f t="shared" si="5"/>
        <v>-200</v>
      </c>
      <c r="AW16" s="167">
        <f>995</f>
        <v>995</v>
      </c>
      <c r="AX16" s="167">
        <f>27231+12660+3428</f>
        <v>43319</v>
      </c>
      <c r="AY16" s="167">
        <f>1203+53889+2851+3553</f>
        <v>61496</v>
      </c>
      <c r="AZ16" s="167">
        <f>-5157</f>
        <v>-5157</v>
      </c>
      <c r="BA16" s="472">
        <f t="shared" si="6"/>
        <v>100653</v>
      </c>
      <c r="BB16" s="167">
        <f>-203</f>
        <v>-203</v>
      </c>
      <c r="BC16" s="167">
        <f>-1149</f>
        <v>-1149</v>
      </c>
      <c r="BD16" s="167">
        <f>-3182</f>
        <v>-3182</v>
      </c>
      <c r="BE16" s="167">
        <f>3031</f>
        <v>3031</v>
      </c>
      <c r="BF16" s="472">
        <f t="shared" si="7"/>
        <v>-1503</v>
      </c>
      <c r="BG16" s="167">
        <f>-1153</f>
        <v>-1153</v>
      </c>
      <c r="BH16" s="167">
        <f>-3541</f>
        <v>-3541</v>
      </c>
      <c r="BI16" s="167">
        <f>-36</f>
        <v>-36</v>
      </c>
      <c r="BJ16" s="167">
        <f>-1624</f>
        <v>-1624</v>
      </c>
      <c r="BK16" s="472">
        <f t="shared" si="8"/>
        <v>-6354</v>
      </c>
      <c r="BL16" s="167">
        <f>0</f>
        <v>0</v>
      </c>
      <c r="BM16" s="167">
        <f>0</f>
        <v>0</v>
      </c>
      <c r="BN16" s="167">
        <f>0</f>
        <v>0</v>
      </c>
      <c r="BO16" s="167">
        <f>0</f>
        <v>0</v>
      </c>
      <c r="BP16" s="472">
        <f t="shared" si="9"/>
        <v>0</v>
      </c>
      <c r="BQ16" s="167">
        <f>0</f>
        <v>0</v>
      </c>
      <c r="BR16" s="167">
        <f>0</f>
        <v>0</v>
      </c>
      <c r="BS16" s="167">
        <f>0</f>
        <v>0</v>
      </c>
      <c r="BT16" s="167">
        <f>0</f>
        <v>0</v>
      </c>
      <c r="BU16" s="472">
        <f t="shared" si="10"/>
        <v>0</v>
      </c>
    </row>
    <row r="17" spans="1:73" ht="12.75">
      <c r="B17" s="262" t="s">
        <v>271</v>
      </c>
      <c r="C17" s="155"/>
      <c r="D17" s="168"/>
      <c r="E17" s="168"/>
      <c r="F17" s="168"/>
      <c r="G17" s="168"/>
      <c r="H17" s="472">
        <v>-7127</v>
      </c>
      <c r="I17" s="167">
        <v>4179</v>
      </c>
      <c r="J17" s="167">
        <v>-5019</v>
      </c>
      <c r="K17" s="167">
        <v>-5809</v>
      </c>
      <c r="L17" s="167">
        <v>-11721</v>
      </c>
      <c r="M17" s="472">
        <v>-18370</v>
      </c>
      <c r="N17" s="167">
        <v>14048</v>
      </c>
      <c r="O17" s="167">
        <v>-9103</v>
      </c>
      <c r="P17" s="167">
        <v>189</v>
      </c>
      <c r="Q17" s="167">
        <v>-11329</v>
      </c>
      <c r="R17" s="472">
        <v>-6195</v>
      </c>
      <c r="S17" s="167">
        <v>15182</v>
      </c>
      <c r="T17" s="167">
        <v>-13942</v>
      </c>
      <c r="U17" s="167">
        <v>-1110</v>
      </c>
      <c r="V17" s="167">
        <v>-25347</v>
      </c>
      <c r="W17" s="472">
        <f t="shared" si="1"/>
        <v>-25217</v>
      </c>
      <c r="X17" s="167">
        <v>34722</v>
      </c>
      <c r="Y17" s="167">
        <v>-10136</v>
      </c>
      <c r="Z17" s="167">
        <v>-5299</v>
      </c>
      <c r="AA17" s="167">
        <v>-20972</v>
      </c>
      <c r="AB17" s="472">
        <f t="shared" si="2"/>
        <v>-1685</v>
      </c>
      <c r="AC17" s="167">
        <v>14729</v>
      </c>
      <c r="AD17" s="167">
        <v>-10180</v>
      </c>
      <c r="AE17" s="167">
        <v>6311</v>
      </c>
      <c r="AF17" s="167">
        <v>-25660</v>
      </c>
      <c r="AG17" s="472">
        <f t="shared" si="0"/>
        <v>-14800</v>
      </c>
      <c r="AH17" s="167">
        <v>22608</v>
      </c>
      <c r="AI17" s="430">
        <v>-11773</v>
      </c>
      <c r="AJ17" s="167">
        <f>2393</f>
        <v>2393</v>
      </c>
      <c r="AK17" s="167">
        <f>-37608</f>
        <v>-37608</v>
      </c>
      <c r="AL17" s="472">
        <f t="shared" si="3"/>
        <v>-24380</v>
      </c>
      <c r="AM17" s="167">
        <f>34414</f>
        <v>34414</v>
      </c>
      <c r="AN17" s="167">
        <f>-21598</f>
        <v>-21598</v>
      </c>
      <c r="AO17" s="167">
        <f>10706</f>
        <v>10706</v>
      </c>
      <c r="AP17" s="167">
        <f>-48997</f>
        <v>-48997</v>
      </c>
      <c r="AQ17" s="472">
        <f t="shared" si="4"/>
        <v>-25475</v>
      </c>
      <c r="AR17" s="167">
        <f>36327</f>
        <v>36327</v>
      </c>
      <c r="AS17" s="167">
        <f>-18180</f>
        <v>-18180</v>
      </c>
      <c r="AT17" s="167">
        <f>3278</f>
        <v>3278</v>
      </c>
      <c r="AU17" s="167">
        <f>-30475</f>
        <v>-30475</v>
      </c>
      <c r="AV17" s="472">
        <f>+SUM(AR17:AU17)</f>
        <v>-9050</v>
      </c>
      <c r="AW17" s="167">
        <f>35805</f>
        <v>35805</v>
      </c>
      <c r="AX17" s="167">
        <f>-20695</f>
        <v>-20695</v>
      </c>
      <c r="AY17" s="167">
        <f>-2682</f>
        <v>-2682</v>
      </c>
      <c r="AZ17" s="167">
        <f>-26449</f>
        <v>-26449</v>
      </c>
      <c r="BA17" s="472">
        <f t="shared" ref="BA17:BA24" si="11">+SUM(AW17:AZ17)</f>
        <v>-14021</v>
      </c>
      <c r="BB17" s="167">
        <f>39529</f>
        <v>39529</v>
      </c>
      <c r="BC17" s="167">
        <f>-19539</f>
        <v>-19539</v>
      </c>
      <c r="BD17" s="167">
        <f>2442</f>
        <v>2442</v>
      </c>
      <c r="BE17" s="167">
        <f>-27912</f>
        <v>-27912</v>
      </c>
      <c r="BF17" s="472">
        <f t="shared" ref="BF17:BF24" si="12">+SUM(BB17:BE17)</f>
        <v>-5480</v>
      </c>
      <c r="BG17" s="167">
        <f>27668</f>
        <v>27668</v>
      </c>
      <c r="BH17" s="167">
        <f>-10176</f>
        <v>-10176</v>
      </c>
      <c r="BI17" s="167">
        <f>8419</f>
        <v>8419</v>
      </c>
      <c r="BJ17" s="167">
        <f>-24244</f>
        <v>-24244</v>
      </c>
      <c r="BK17" s="472">
        <f t="shared" ref="BK17:BK24" si="13">+SUM(BG17:BJ17)</f>
        <v>1667</v>
      </c>
      <c r="BL17" s="167">
        <f>+-(BS!BL9-BS!BJ9)</f>
        <v>26059.741944444453</v>
      </c>
      <c r="BM17" s="167">
        <f>+-(BS!BM9-BS!BL9)</f>
        <v>-7617.8743888888857</v>
      </c>
      <c r="BN17" s="167">
        <f>+-(BS!BN9-BS!BM9)</f>
        <v>13081.267999999982</v>
      </c>
      <c r="BO17" s="167">
        <f>+-(BS!BO9-BS!BN9)</f>
        <v>-24473.627111111098</v>
      </c>
      <c r="BP17" s="472">
        <f t="shared" ref="BP17:BP24" si="14">+SUM(BL17:BO17)</f>
        <v>7049.508444444451</v>
      </c>
      <c r="BQ17" s="167">
        <f>+-(BS!BQ9-BS!BO9)</f>
        <v>18952.430555555533</v>
      </c>
      <c r="BR17" s="167">
        <f>+-(BS!BR9-BS!BQ9)</f>
        <v>-10105.016653333325</v>
      </c>
      <c r="BS17" s="167">
        <f>+-(BS!BS9-BS!BR9)</f>
        <v>6289.0082266666868</v>
      </c>
      <c r="BT17" s="167">
        <f>+-(BS!BT9-BS!BS9)</f>
        <v>-27285.089933333336</v>
      </c>
      <c r="BU17" s="472">
        <f t="shared" ref="BU17:BU24" si="15">+SUM(BQ17:BT17)</f>
        <v>-12148.667804444442</v>
      </c>
    </row>
    <row r="18" spans="1:73" ht="12.75">
      <c r="B18" s="262" t="s">
        <v>295</v>
      </c>
      <c r="C18" s="155"/>
      <c r="D18" s="168"/>
      <c r="E18" s="168"/>
      <c r="F18" s="168"/>
      <c r="G18" s="168"/>
      <c r="H18" s="472">
        <v>0</v>
      </c>
      <c r="I18" s="167">
        <v>0</v>
      </c>
      <c r="J18" s="167">
        <v>0</v>
      </c>
      <c r="K18" s="167">
        <v>0</v>
      </c>
      <c r="L18" s="167">
        <v>0</v>
      </c>
      <c r="M18" s="472">
        <v>0</v>
      </c>
      <c r="N18" s="167">
        <v>0</v>
      </c>
      <c r="O18" s="167">
        <v>0</v>
      </c>
      <c r="P18" s="167">
        <v>0</v>
      </c>
      <c r="Q18" s="167">
        <v>0</v>
      </c>
      <c r="R18" s="472">
        <v>0</v>
      </c>
      <c r="S18" s="167">
        <v>0</v>
      </c>
      <c r="T18" s="167">
        <v>0</v>
      </c>
      <c r="U18" s="167">
        <v>0</v>
      </c>
      <c r="V18" s="167">
        <v>0</v>
      </c>
      <c r="W18" s="472">
        <f>+SUM(S18:V18)</f>
        <v>0</v>
      </c>
      <c r="X18" s="167">
        <v>-1713</v>
      </c>
      <c r="Y18" s="167">
        <v>-2818</v>
      </c>
      <c r="Z18" s="167">
        <v>-1854</v>
      </c>
      <c r="AA18" s="167">
        <v>-6405</v>
      </c>
      <c r="AB18" s="472">
        <f t="shared" si="2"/>
        <v>-12790</v>
      </c>
      <c r="AC18" s="167">
        <v>-1094</v>
      </c>
      <c r="AD18" s="167">
        <v>-2078</v>
      </c>
      <c r="AE18" s="167">
        <v>-2231</v>
      </c>
      <c r="AF18" s="167">
        <v>-5903</v>
      </c>
      <c r="AG18" s="472">
        <f t="shared" si="0"/>
        <v>-11306</v>
      </c>
      <c r="AH18" s="167">
        <v>-516</v>
      </c>
      <c r="AI18" s="430">
        <v>-2478</v>
      </c>
      <c r="AJ18" s="167">
        <f>-2284</f>
        <v>-2284</v>
      </c>
      <c r="AK18" s="167">
        <f>-8101</f>
        <v>-8101</v>
      </c>
      <c r="AL18" s="472">
        <f t="shared" si="3"/>
        <v>-13379</v>
      </c>
      <c r="AM18" s="167">
        <f>-1956</f>
        <v>-1956</v>
      </c>
      <c r="AN18" s="167">
        <f>-3497</f>
        <v>-3497</v>
      </c>
      <c r="AO18" s="167">
        <f>-4319</f>
        <v>-4319</v>
      </c>
      <c r="AP18" s="167">
        <f>-12754</f>
        <v>-12754</v>
      </c>
      <c r="AQ18" s="472">
        <f t="shared" si="4"/>
        <v>-22526</v>
      </c>
      <c r="AR18" s="167">
        <f>-2939</f>
        <v>-2939</v>
      </c>
      <c r="AS18" s="167">
        <f>-2141</f>
        <v>-2141</v>
      </c>
      <c r="AT18" s="167">
        <f>-2919</f>
        <v>-2919</v>
      </c>
      <c r="AU18" s="167">
        <f>-7911</f>
        <v>-7911</v>
      </c>
      <c r="AV18" s="472">
        <f>+SUM(AR18:AU18)</f>
        <v>-15910</v>
      </c>
      <c r="AW18" s="167">
        <f>-2240</f>
        <v>-2240</v>
      </c>
      <c r="AX18" s="167">
        <f>-3723</f>
        <v>-3723</v>
      </c>
      <c r="AY18" s="167">
        <f>-3525</f>
        <v>-3525</v>
      </c>
      <c r="AZ18" s="167">
        <f>-9046</f>
        <v>-9046</v>
      </c>
      <c r="BA18" s="472">
        <f t="shared" si="11"/>
        <v>-18534</v>
      </c>
      <c r="BB18" s="167">
        <f>-679</f>
        <v>-679</v>
      </c>
      <c r="BC18" s="167">
        <f>-1285</f>
        <v>-1285</v>
      </c>
      <c r="BD18" s="167">
        <f>1471</f>
        <v>1471</v>
      </c>
      <c r="BE18" s="167">
        <f>-3703</f>
        <v>-3703</v>
      </c>
      <c r="BF18" s="472">
        <f t="shared" si="12"/>
        <v>-4196</v>
      </c>
      <c r="BG18" s="167">
        <f>5295</f>
        <v>5295</v>
      </c>
      <c r="BH18" s="167">
        <f>4505</f>
        <v>4505</v>
      </c>
      <c r="BI18" s="167">
        <f>4338</f>
        <v>4338</v>
      </c>
      <c r="BJ18" s="167">
        <f>-3681</f>
        <v>-3681</v>
      </c>
      <c r="BK18" s="472">
        <f t="shared" si="13"/>
        <v>10457</v>
      </c>
      <c r="BL18" s="167">
        <f>+(BS!BL10-BS!BJ10)+(BS!BL18-BS!BJ18)</f>
        <v>781.31999999999971</v>
      </c>
      <c r="BM18" s="167">
        <f>+(BS!BM10-BS!BL10)+(BS!BM18-BS!BL18)</f>
        <v>831.55079999999725</v>
      </c>
      <c r="BN18" s="167">
        <f>+(BS!BN10-BS!BM10)+(BS!BN18-BS!BM18)</f>
        <v>883.02061200000026</v>
      </c>
      <c r="BO18" s="167">
        <f>+(BS!BO10-BS!BN10)+(BS!BO18-BS!BN18)</f>
        <v>935.76928547999705</v>
      </c>
      <c r="BP18" s="472">
        <f t="shared" si="14"/>
        <v>3431.6606974799943</v>
      </c>
      <c r="BQ18" s="167">
        <f>+(BS!BQ10-BS!BO10)+(BS!BQ18-BS!BO18)</f>
        <v>1534.2464500101996</v>
      </c>
      <c r="BR18" s="167">
        <f>+(BS!BR10-BS!BQ10)+(BS!BR18-BS!BQ18)</f>
        <v>1627.7857077895023</v>
      </c>
      <c r="BS18" s="167">
        <f>+(BS!BS10-BS!BR10)+(BS!BS18-BS!BR18)</f>
        <v>1724.7448418821805</v>
      </c>
      <c r="BT18" s="167">
        <f>+(BS!BT10-BS!BS10)+(BS!BT18-BS!BS18)</f>
        <v>1825.2638642807578</v>
      </c>
      <c r="BU18" s="472">
        <f t="shared" si="15"/>
        <v>6712.0408639626403</v>
      </c>
    </row>
    <row r="19" spans="1:73" ht="12.75">
      <c r="B19" s="262" t="s">
        <v>272</v>
      </c>
      <c r="C19" s="155"/>
      <c r="D19" s="168"/>
      <c r="E19" s="168"/>
      <c r="F19" s="168"/>
      <c r="G19" s="168"/>
      <c r="H19" s="472">
        <v>-2165</v>
      </c>
      <c r="I19" s="167">
        <v>-778</v>
      </c>
      <c r="J19" s="167">
        <v>-289</v>
      </c>
      <c r="K19" s="167">
        <v>546</v>
      </c>
      <c r="L19" s="167">
        <v>-1266</v>
      </c>
      <c r="M19" s="472">
        <v>-1787</v>
      </c>
      <c r="N19" s="167">
        <v>-716</v>
      </c>
      <c r="O19" s="167">
        <v>-685</v>
      </c>
      <c r="P19" s="167">
        <v>325</v>
      </c>
      <c r="Q19" s="167">
        <v>-2447</v>
      </c>
      <c r="R19" s="472">
        <v>-3523</v>
      </c>
      <c r="S19" s="167">
        <v>1466</v>
      </c>
      <c r="T19" s="167">
        <v>-1054</v>
      </c>
      <c r="U19" s="167">
        <v>189</v>
      </c>
      <c r="V19" s="167">
        <v>-675</v>
      </c>
      <c r="W19" s="472">
        <f t="shared" si="1"/>
        <v>-74</v>
      </c>
      <c r="X19" s="167">
        <v>-3190</v>
      </c>
      <c r="Y19" s="167">
        <v>-412</v>
      </c>
      <c r="Z19" s="167">
        <v>1168</v>
      </c>
      <c r="AA19" s="167">
        <v>2147</v>
      </c>
      <c r="AB19" s="472">
        <f>+SUM(X19:AA19)</f>
        <v>-287</v>
      </c>
      <c r="AC19" s="167">
        <v>-5940</v>
      </c>
      <c r="AD19" s="167">
        <v>-3394</v>
      </c>
      <c r="AE19" s="167">
        <v>-544</v>
      </c>
      <c r="AF19" s="167">
        <v>-3813</v>
      </c>
      <c r="AG19" s="472">
        <f>+SUM(AC19:AF19)</f>
        <v>-13691</v>
      </c>
      <c r="AH19" s="167">
        <v>135</v>
      </c>
      <c r="AI19" s="430">
        <v>1638</v>
      </c>
      <c r="AJ19" s="167">
        <f>-421</f>
        <v>-421</v>
      </c>
      <c r="AK19" s="167">
        <f>-10308</f>
        <v>-10308</v>
      </c>
      <c r="AL19" s="472">
        <f t="shared" ref="AL19:AL24" si="16">+SUM(AH19:AK19)</f>
        <v>-8956</v>
      </c>
      <c r="AM19" s="167">
        <f>-136</f>
        <v>-136</v>
      </c>
      <c r="AN19" s="167">
        <f>530</f>
        <v>530</v>
      </c>
      <c r="AO19" s="167">
        <f>2697</f>
        <v>2697</v>
      </c>
      <c r="AP19" s="167">
        <f>-6446</f>
        <v>-6446</v>
      </c>
      <c r="AQ19" s="472">
        <f t="shared" ref="AQ19:AQ24" si="17">+SUM(AM19:AP19)</f>
        <v>-3355</v>
      </c>
      <c r="AR19" s="167">
        <f>-6556</f>
        <v>-6556</v>
      </c>
      <c r="AS19" s="167">
        <f>-3971</f>
        <v>-3971</v>
      </c>
      <c r="AT19" s="167">
        <f>5224</f>
        <v>5224</v>
      </c>
      <c r="AU19" s="167">
        <f>3072</f>
        <v>3072</v>
      </c>
      <c r="AV19" s="472">
        <f t="shared" ref="AV19:AV24" si="18">+SUM(AR19:AU19)</f>
        <v>-2231</v>
      </c>
      <c r="AW19" s="167">
        <f>-5567</f>
        <v>-5567</v>
      </c>
      <c r="AX19" s="167">
        <f>6967</f>
        <v>6967</v>
      </c>
      <c r="AY19" s="167">
        <f>4033</f>
        <v>4033</v>
      </c>
      <c r="AZ19" s="167">
        <f>-9558</f>
        <v>-9558</v>
      </c>
      <c r="BA19" s="472">
        <f t="shared" si="11"/>
        <v>-4125</v>
      </c>
      <c r="BB19" s="167">
        <f>-1223</f>
        <v>-1223</v>
      </c>
      <c r="BC19" s="167">
        <f>1653</f>
        <v>1653</v>
      </c>
      <c r="BD19" s="167">
        <f>5632</f>
        <v>5632</v>
      </c>
      <c r="BE19" s="167">
        <f>-3257</f>
        <v>-3257</v>
      </c>
      <c r="BF19" s="472">
        <f t="shared" si="12"/>
        <v>2805</v>
      </c>
      <c r="BG19" s="167">
        <f>-1995</f>
        <v>-1995</v>
      </c>
      <c r="BH19" s="167">
        <f>-3803</f>
        <v>-3803</v>
      </c>
      <c r="BI19" s="167">
        <f>4459</f>
        <v>4459</v>
      </c>
      <c r="BJ19" s="167">
        <f>-8884</f>
        <v>-8884</v>
      </c>
      <c r="BK19" s="472">
        <f t="shared" si="13"/>
        <v>-10223</v>
      </c>
      <c r="BL19" s="167">
        <f>+-(BS!BL11-BS!BJ11)</f>
        <v>4048.0362162500023</v>
      </c>
      <c r="BM19" s="167">
        <f>+-(BS!BM11-BS!BL11)</f>
        <v>3432.1423493499969</v>
      </c>
      <c r="BN19" s="167">
        <f>+-(BS!BN11-BS!BM11)</f>
        <v>-3151.4664082399977</v>
      </c>
      <c r="BO19" s="167">
        <f>+-(BS!BO11-BS!BN11)</f>
        <v>1584.4935958497008</v>
      </c>
      <c r="BP19" s="472">
        <f t="shared" si="14"/>
        <v>5913.2057532097024</v>
      </c>
      <c r="BQ19" s="167">
        <f>+-(BS!BQ11-BS!BO11)</f>
        <v>1058.0795374770169</v>
      </c>
      <c r="BR19" s="167">
        <f>+-(BS!BR11-BS!BQ11)</f>
        <v>3483.3485970365655</v>
      </c>
      <c r="BS19" s="167">
        <f>+-(BS!BS11-BS!BR11)</f>
        <v>1801.5183460696935</v>
      </c>
      <c r="BT19" s="167">
        <f>+-(BS!BT11-BS!BS11)</f>
        <v>-2090.4396541612296</v>
      </c>
      <c r="BU19" s="472">
        <f t="shared" si="15"/>
        <v>4252.5068264220463</v>
      </c>
    </row>
    <row r="20" spans="1:73" ht="12.75">
      <c r="B20" s="262" t="s">
        <v>104</v>
      </c>
      <c r="C20" s="155"/>
      <c r="D20" s="168"/>
      <c r="E20" s="168"/>
      <c r="F20" s="168"/>
      <c r="G20" s="168"/>
      <c r="H20" s="472">
        <v>567</v>
      </c>
      <c r="I20" s="167">
        <v>-688</v>
      </c>
      <c r="J20" s="167">
        <v>-680</v>
      </c>
      <c r="K20" s="167">
        <v>-233</v>
      </c>
      <c r="L20" s="167">
        <v>-701</v>
      </c>
      <c r="M20" s="472">
        <v>-2302</v>
      </c>
      <c r="N20" s="167">
        <v>-500</v>
      </c>
      <c r="O20" s="167">
        <v>2404</v>
      </c>
      <c r="P20" s="167">
        <v>-1355</v>
      </c>
      <c r="Q20" s="167">
        <v>1070</v>
      </c>
      <c r="R20" s="472">
        <v>1619</v>
      </c>
      <c r="S20" s="167">
        <v>-244</v>
      </c>
      <c r="T20" s="167">
        <v>-1413</v>
      </c>
      <c r="U20" s="167">
        <v>1335</v>
      </c>
      <c r="V20" s="167">
        <v>-1935</v>
      </c>
      <c r="W20" s="472">
        <f t="shared" si="1"/>
        <v>-2257</v>
      </c>
      <c r="X20" s="167">
        <v>3219</v>
      </c>
      <c r="Y20" s="167">
        <v>-828</v>
      </c>
      <c r="Z20" s="167">
        <v>-1826</v>
      </c>
      <c r="AA20" s="167">
        <v>3110</v>
      </c>
      <c r="AB20" s="472">
        <f t="shared" si="2"/>
        <v>3675</v>
      </c>
      <c r="AC20" s="167">
        <v>66</v>
      </c>
      <c r="AD20" s="167">
        <v>2118</v>
      </c>
      <c r="AE20" s="167">
        <v>-1052</v>
      </c>
      <c r="AF20" s="167">
        <v>-1040</v>
      </c>
      <c r="AG20" s="472">
        <f t="shared" si="0"/>
        <v>92</v>
      </c>
      <c r="AH20" s="167">
        <v>4010</v>
      </c>
      <c r="AI20" s="430">
        <v>-3873</v>
      </c>
      <c r="AJ20" s="167">
        <f>1785</f>
        <v>1785</v>
      </c>
      <c r="AK20" s="167">
        <f>-4316</f>
        <v>-4316</v>
      </c>
      <c r="AL20" s="472">
        <f t="shared" si="16"/>
        <v>-2394</v>
      </c>
      <c r="AM20" s="167">
        <f>550</f>
        <v>550</v>
      </c>
      <c r="AN20" s="167">
        <f>-1879</f>
        <v>-1879</v>
      </c>
      <c r="AO20" s="167">
        <f>3408</f>
        <v>3408</v>
      </c>
      <c r="AP20" s="167">
        <f>-4156</f>
        <v>-4156</v>
      </c>
      <c r="AQ20" s="472">
        <f t="shared" si="17"/>
        <v>-2077</v>
      </c>
      <c r="AR20" s="167">
        <f>8673</f>
        <v>8673</v>
      </c>
      <c r="AS20" s="167">
        <f>-5116</f>
        <v>-5116</v>
      </c>
      <c r="AT20" s="167">
        <f>4947</f>
        <v>4947</v>
      </c>
      <c r="AU20" s="167">
        <f>-527</f>
        <v>-527</v>
      </c>
      <c r="AV20" s="472">
        <f t="shared" si="18"/>
        <v>7977</v>
      </c>
      <c r="AW20" s="167">
        <f>-2744</f>
        <v>-2744</v>
      </c>
      <c r="AX20" s="167">
        <f>1462</f>
        <v>1462</v>
      </c>
      <c r="AY20" s="167">
        <f>27</f>
        <v>27</v>
      </c>
      <c r="AZ20" s="167">
        <f>6704</f>
        <v>6704</v>
      </c>
      <c r="BA20" s="472">
        <f t="shared" si="11"/>
        <v>5449</v>
      </c>
      <c r="BB20" s="167">
        <f>-4190</f>
        <v>-4190</v>
      </c>
      <c r="BC20" s="167">
        <f>1169</f>
        <v>1169</v>
      </c>
      <c r="BD20" s="167">
        <f>-7429</f>
        <v>-7429</v>
      </c>
      <c r="BE20" s="167">
        <f>13227</f>
        <v>13227</v>
      </c>
      <c r="BF20" s="472">
        <f t="shared" si="12"/>
        <v>2777</v>
      </c>
      <c r="BG20" s="167">
        <f>-6555</f>
        <v>-6555</v>
      </c>
      <c r="BH20" s="167">
        <f>3596</f>
        <v>3596</v>
      </c>
      <c r="BI20" s="167">
        <f>-847</f>
        <v>-847</v>
      </c>
      <c r="BJ20" s="167">
        <f>-5123</f>
        <v>-5123</v>
      </c>
      <c r="BK20" s="472">
        <f t="shared" si="13"/>
        <v>-8929</v>
      </c>
      <c r="BL20" s="167">
        <f>+(BS!BL28-BS!BJ28)</f>
        <v>1514.2743458333316</v>
      </c>
      <c r="BM20" s="167">
        <f>+(BS!BM28-BS!BL28)</f>
        <v>4375.6794826111109</v>
      </c>
      <c r="BN20" s="167">
        <f>+(BS!BN28-BS!BM28)</f>
        <v>-1333.6027728888876</v>
      </c>
      <c r="BO20" s="167">
        <f>+(BS!BO28-BS!BN28)</f>
        <v>-841.69913888888732</v>
      </c>
      <c r="BP20" s="472">
        <f t="shared" si="14"/>
        <v>3714.6519166666676</v>
      </c>
      <c r="BQ20" s="167">
        <f>+(BS!BQ28-BS!BO28)</f>
        <v>-2438.3040333333338</v>
      </c>
      <c r="BR20" s="167">
        <f>+(BS!BR28-BS!BQ28)</f>
        <v>-569.54081199999928</v>
      </c>
      <c r="BS20" s="167">
        <f>+(BS!BS28-BS!BR28)</f>
        <v>4103.9992966666669</v>
      </c>
      <c r="BT20" s="167">
        <f>+(BS!BT28-BS!BS28)</f>
        <v>-1615.983549200002</v>
      </c>
      <c r="BU20" s="472">
        <f t="shared" si="15"/>
        <v>-519.82909786666823</v>
      </c>
    </row>
    <row r="21" spans="1:73" ht="12.75">
      <c r="B21" s="262" t="s">
        <v>167</v>
      </c>
      <c r="C21" s="155"/>
      <c r="D21" s="168"/>
      <c r="E21" s="168"/>
      <c r="F21" s="168"/>
      <c r="G21" s="168"/>
      <c r="H21" s="472">
        <v>3534</v>
      </c>
      <c r="I21" s="167">
        <v>-3928</v>
      </c>
      <c r="J21" s="167">
        <v>2846</v>
      </c>
      <c r="K21" s="167">
        <v>2673</v>
      </c>
      <c r="L21" s="167">
        <v>5111</v>
      </c>
      <c r="M21" s="472">
        <v>6702</v>
      </c>
      <c r="N21" s="167">
        <v>-7427</v>
      </c>
      <c r="O21" s="167">
        <v>3965</v>
      </c>
      <c r="P21" s="167">
        <v>1855</v>
      </c>
      <c r="Q21" s="167">
        <v>3185</v>
      </c>
      <c r="R21" s="472">
        <v>1578</v>
      </c>
      <c r="S21" s="167">
        <v>-7216</v>
      </c>
      <c r="T21" s="167">
        <v>5094</v>
      </c>
      <c r="U21" s="167">
        <v>2925</v>
      </c>
      <c r="V21" s="167">
        <v>5955</v>
      </c>
      <c r="W21" s="472">
        <f t="shared" si="1"/>
        <v>6758</v>
      </c>
      <c r="X21" s="167">
        <v>-11317</v>
      </c>
      <c r="Y21" s="167">
        <v>3511</v>
      </c>
      <c r="Z21" s="167">
        <v>5632</v>
      </c>
      <c r="AA21" s="167">
        <v>8192</v>
      </c>
      <c r="AB21" s="472">
        <f>+SUM(X21:AA21)</f>
        <v>6018</v>
      </c>
      <c r="AC21" s="167">
        <v>-13690</v>
      </c>
      <c r="AD21" s="167">
        <v>6378</v>
      </c>
      <c r="AE21" s="167">
        <v>2490</v>
      </c>
      <c r="AF21" s="167">
        <v>9581</v>
      </c>
      <c r="AG21" s="472">
        <f>+SUM(AC21:AF21)</f>
        <v>4759</v>
      </c>
      <c r="AH21" s="167">
        <v>-14563</v>
      </c>
      <c r="AI21" s="430">
        <v>7126</v>
      </c>
      <c r="AJ21" s="167">
        <f>4358</f>
        <v>4358</v>
      </c>
      <c r="AK21" s="167">
        <f>11719</f>
        <v>11719</v>
      </c>
      <c r="AL21" s="472">
        <f t="shared" si="16"/>
        <v>8640</v>
      </c>
      <c r="AM21" s="167">
        <f>-15429</f>
        <v>-15429</v>
      </c>
      <c r="AN21" s="167">
        <f>7837</f>
        <v>7837</v>
      </c>
      <c r="AO21" s="167">
        <f>3038</f>
        <v>3038</v>
      </c>
      <c r="AP21" s="167">
        <f>23759</f>
        <v>23759</v>
      </c>
      <c r="AQ21" s="472">
        <f t="shared" si="17"/>
        <v>19205</v>
      </c>
      <c r="AR21" s="167">
        <f>-24048</f>
        <v>-24048</v>
      </c>
      <c r="AS21" s="167">
        <f>11555</f>
        <v>11555</v>
      </c>
      <c r="AT21" s="167">
        <f>252</f>
        <v>252</v>
      </c>
      <c r="AU21" s="167">
        <f>14210</f>
        <v>14210</v>
      </c>
      <c r="AV21" s="472">
        <f t="shared" si="18"/>
        <v>1969</v>
      </c>
      <c r="AW21" s="167">
        <f>-23951</f>
        <v>-23951</v>
      </c>
      <c r="AX21" s="167">
        <f>11983</f>
        <v>11983</v>
      </c>
      <c r="AY21" s="167">
        <f>-6000</f>
        <v>-6000</v>
      </c>
      <c r="AZ21" s="167">
        <f>20390</f>
        <v>20390</v>
      </c>
      <c r="BA21" s="472">
        <f t="shared" si="11"/>
        <v>2422</v>
      </c>
      <c r="BB21" s="167">
        <f>-24890</f>
        <v>-24890</v>
      </c>
      <c r="BC21" s="167">
        <f>6499</f>
        <v>6499</v>
      </c>
      <c r="BD21" s="167">
        <f>978</f>
        <v>978</v>
      </c>
      <c r="BE21" s="167">
        <f>7584</f>
        <v>7584</v>
      </c>
      <c r="BF21" s="472">
        <f t="shared" si="12"/>
        <v>-9829</v>
      </c>
      <c r="BG21" s="167">
        <f>-20325</f>
        <v>-20325</v>
      </c>
      <c r="BH21" s="167">
        <f>7089</f>
        <v>7089</v>
      </c>
      <c r="BI21" s="167">
        <f>1658</f>
        <v>1658</v>
      </c>
      <c r="BJ21" s="167">
        <f>20913</f>
        <v>20913</v>
      </c>
      <c r="BK21" s="472">
        <f t="shared" si="13"/>
        <v>9335</v>
      </c>
      <c r="BL21" s="167">
        <f>+(BS!BL29-BS!BJ29)</f>
        <v>-27531.362608750002</v>
      </c>
      <c r="BM21" s="167">
        <f>+(BS!BM29-BS!BL29)</f>
        <v>2805.7652167500055</v>
      </c>
      <c r="BN21" s="167">
        <f>+(BS!BN29-BS!BM29)</f>
        <v>8167.5120969499985</v>
      </c>
      <c r="BO21" s="167">
        <f>+(BS!BO29-BS!BN29)</f>
        <v>9379.2032228549942</v>
      </c>
      <c r="BP21" s="472">
        <f t="shared" si="14"/>
        <v>-7178.8820721950033</v>
      </c>
      <c r="BQ21" s="167">
        <f>+(BS!BQ29-BS!BO29)</f>
        <v>-22111.279553050845</v>
      </c>
      <c r="BR21" s="167">
        <f>+(BS!BR29-BS!BQ29)</f>
        <v>5842.8938497992785</v>
      </c>
      <c r="BS21" s="167">
        <f>+(BS!BS29-BS!BR29)</f>
        <v>9282.0651164632</v>
      </c>
      <c r="BT21" s="167">
        <f>+(BS!BT29-BS!BS29)</f>
        <v>20947.207436014491</v>
      </c>
      <c r="BU21" s="472">
        <f t="shared" si="15"/>
        <v>13960.886849226124</v>
      </c>
    </row>
    <row r="22" spans="1:73" ht="12.75">
      <c r="B22" s="262" t="s">
        <v>105</v>
      </c>
      <c r="C22" s="155"/>
      <c r="D22" s="168"/>
      <c r="E22" s="168"/>
      <c r="F22" s="168"/>
      <c r="G22" s="168"/>
      <c r="H22" s="472">
        <v>25200</v>
      </c>
      <c r="I22" s="167">
        <v>3588</v>
      </c>
      <c r="J22" s="167">
        <v>8837</v>
      </c>
      <c r="K22" s="167">
        <v>12643</v>
      </c>
      <c r="L22" s="167">
        <v>19800</v>
      </c>
      <c r="M22" s="472">
        <v>44868</v>
      </c>
      <c r="N22" s="167">
        <v>1540</v>
      </c>
      <c r="O22" s="167">
        <v>12865</v>
      </c>
      <c r="P22" s="167">
        <v>4543</v>
      </c>
      <c r="Q22" s="167">
        <v>19800</v>
      </c>
      <c r="R22" s="472">
        <v>38748</v>
      </c>
      <c r="S22" s="167">
        <v>-1416</v>
      </c>
      <c r="T22" s="167">
        <v>12782</v>
      </c>
      <c r="U22" s="167">
        <v>8214</v>
      </c>
      <c r="V22" s="167">
        <v>35857</v>
      </c>
      <c r="W22" s="472">
        <f t="shared" si="1"/>
        <v>55437</v>
      </c>
      <c r="X22" s="167">
        <v>-6495</v>
      </c>
      <c r="Y22" s="167">
        <v>5494</v>
      </c>
      <c r="Z22" s="167">
        <v>-1312</v>
      </c>
      <c r="AA22" s="167">
        <v>25183</v>
      </c>
      <c r="AB22" s="472">
        <f>+SUM(X22:AA22)</f>
        <v>22870</v>
      </c>
      <c r="AC22" s="167">
        <v>-12104</v>
      </c>
      <c r="AD22" s="167">
        <v>7038</v>
      </c>
      <c r="AE22" s="167">
        <f>+(BS!AE32-BS!AD32)+(BS!AE39-BS!AD39)</f>
        <v>-7058</v>
      </c>
      <c r="AF22" s="167">
        <v>30810</v>
      </c>
      <c r="AG22" s="472">
        <f>+SUM(AC22:AF22)</f>
        <v>18686</v>
      </c>
      <c r="AH22" s="167">
        <v>-16671</v>
      </c>
      <c r="AI22" s="430">
        <v>4675</v>
      </c>
      <c r="AJ22" s="167">
        <f>1540</f>
        <v>1540</v>
      </c>
      <c r="AK22" s="167">
        <f>47884</f>
        <v>47884</v>
      </c>
      <c r="AL22" s="472">
        <f>+SUM(AH22:AK22)</f>
        <v>37428</v>
      </c>
      <c r="AM22" s="167">
        <f>987</f>
        <v>987</v>
      </c>
      <c r="AN22" s="167">
        <f>21233</f>
        <v>21233</v>
      </c>
      <c r="AO22" s="167">
        <f>2169</f>
        <v>2169</v>
      </c>
      <c r="AP22" s="167">
        <f>61173</f>
        <v>61173</v>
      </c>
      <c r="AQ22" s="472">
        <f t="shared" si="17"/>
        <v>85562</v>
      </c>
      <c r="AR22" s="167">
        <f>3830</f>
        <v>3830</v>
      </c>
      <c r="AS22" s="167">
        <f>19353</f>
        <v>19353</v>
      </c>
      <c r="AT22" s="167">
        <f>-4886</f>
        <v>-4886</v>
      </c>
      <c r="AU22" s="167">
        <f>34219</f>
        <v>34219</v>
      </c>
      <c r="AV22" s="472">
        <f t="shared" si="18"/>
        <v>52516</v>
      </c>
      <c r="AW22" s="167">
        <f>-12062</f>
        <v>-12062</v>
      </c>
      <c r="AX22" s="167">
        <f>13845</f>
        <v>13845</v>
      </c>
      <c r="AY22" s="167">
        <f>-8150</f>
        <v>-8150</v>
      </c>
      <c r="AZ22" s="167">
        <f>36839</f>
        <v>36839</v>
      </c>
      <c r="BA22" s="472">
        <f t="shared" si="11"/>
        <v>30472</v>
      </c>
      <c r="BB22" s="167">
        <f>-21186</f>
        <v>-21186</v>
      </c>
      <c r="BC22" s="167">
        <f>-2160</f>
        <v>-2160</v>
      </c>
      <c r="BD22" s="167">
        <f>-13766</f>
        <v>-13766</v>
      </c>
      <c r="BE22" s="167">
        <f>36317</f>
        <v>36317</v>
      </c>
      <c r="BF22" s="472">
        <f t="shared" si="12"/>
        <v>-795</v>
      </c>
      <c r="BG22" s="167">
        <f>-12874</f>
        <v>-12874</v>
      </c>
      <c r="BH22" s="167">
        <f>549</f>
        <v>549</v>
      </c>
      <c r="BI22" s="167">
        <f>-24586</f>
        <v>-24586</v>
      </c>
      <c r="BJ22" s="167">
        <f>28540</f>
        <v>28540</v>
      </c>
      <c r="BK22" s="472">
        <f t="shared" si="13"/>
        <v>-8371</v>
      </c>
      <c r="BL22" s="167">
        <f>+(BS!BL32-BS!BJ32)+(BS!BL39-BS!BJ39)</f>
        <v>-4855.5500000000029</v>
      </c>
      <c r="BM22" s="167">
        <f>+(BS!BM32-BS!BL32)+(BS!BM39-BS!BL39)</f>
        <v>2787.4310000000041</v>
      </c>
      <c r="BN22" s="167">
        <f>+(BS!BN32-BS!BM32)+(BS!BN39-BS!BM39)</f>
        <v>-24540.510020000012</v>
      </c>
      <c r="BO22" s="167">
        <f>+(BS!BO32-BS!BN32)+(BS!BO39-BS!BN39)</f>
        <v>32732.220590200042</v>
      </c>
      <c r="BP22" s="472">
        <f t="shared" si="14"/>
        <v>6123.5915702000311</v>
      </c>
      <c r="BQ22" s="167">
        <f>+(BS!BQ32-BS!BO32)+(BS!BQ39-BS!BO39)</f>
        <v>-4777.7145785100147</v>
      </c>
      <c r="BR22" s="167">
        <f>+(BS!BR32-BS!BQ32)+(BS!BR39-BS!BQ39)</f>
        <v>2909.6592601661614</v>
      </c>
      <c r="BS22" s="167">
        <f>+(BS!BS32-BS!BR32)+(BS!BS39-BS!BR39)</f>
        <v>-24966.170173037113</v>
      </c>
      <c r="BT22" s="167">
        <f>+(BS!BT32-BS!BS32)+(BS!BT39-BS!BS39)</f>
        <v>33418.788525211887</v>
      </c>
      <c r="BU22" s="472">
        <f t="shared" si="15"/>
        <v>6584.5630338309202</v>
      </c>
    </row>
    <row r="23" spans="1:73" ht="12.75" hidden="1" outlineLevel="1">
      <c r="B23" s="262" t="s">
        <v>164</v>
      </c>
      <c r="C23" s="155"/>
      <c r="D23" s="168"/>
      <c r="E23" s="168"/>
      <c r="F23" s="168"/>
      <c r="G23" s="168"/>
      <c r="H23" s="472">
        <v>-560</v>
      </c>
      <c r="I23" s="167">
        <v>0</v>
      </c>
      <c r="J23" s="167">
        <v>0</v>
      </c>
      <c r="K23" s="167">
        <v>0</v>
      </c>
      <c r="L23" s="167">
        <v>0</v>
      </c>
      <c r="M23" s="472">
        <v>0</v>
      </c>
      <c r="N23" s="167">
        <v>0</v>
      </c>
      <c r="O23" s="167">
        <v>0</v>
      </c>
      <c r="P23" s="167">
        <v>0</v>
      </c>
      <c r="Q23" s="167">
        <v>0</v>
      </c>
      <c r="R23" s="472">
        <v>0</v>
      </c>
      <c r="S23" s="167">
        <v>0</v>
      </c>
      <c r="T23" s="167">
        <v>0</v>
      </c>
      <c r="U23" s="167">
        <v>0</v>
      </c>
      <c r="V23" s="167">
        <v>0</v>
      </c>
      <c r="W23" s="472">
        <f t="shared" si="1"/>
        <v>0</v>
      </c>
      <c r="X23" s="167">
        <v>0</v>
      </c>
      <c r="Y23" s="167">
        <v>0</v>
      </c>
      <c r="Z23" s="167">
        <v>0</v>
      </c>
      <c r="AA23" s="167">
        <v>0</v>
      </c>
      <c r="AB23" s="472">
        <f>+SUM(X23:AA23)</f>
        <v>0</v>
      </c>
      <c r="AC23" s="167">
        <v>0</v>
      </c>
      <c r="AD23" s="167">
        <f>+(BS!AD34-BS!AC34)</f>
        <v>0</v>
      </c>
      <c r="AE23" s="167">
        <f>+(BS!AE34-BS!AD34)</f>
        <v>0</v>
      </c>
      <c r="AF23" s="167">
        <f>+(BS!AF34-BS!AE34)</f>
        <v>0</v>
      </c>
      <c r="AG23" s="472">
        <f>+SUM(AC23:AF23)</f>
        <v>0</v>
      </c>
      <c r="AH23" s="167">
        <f>+(BS!AH34-BS!AF34)</f>
        <v>0</v>
      </c>
      <c r="AI23" s="430">
        <f>+(BS!AI34-BS!AH34)</f>
        <v>0</v>
      </c>
      <c r="AJ23" s="167">
        <f>0</f>
        <v>0</v>
      </c>
      <c r="AK23" s="167">
        <f>0</f>
        <v>0</v>
      </c>
      <c r="AL23" s="472">
        <f t="shared" si="16"/>
        <v>0</v>
      </c>
      <c r="AM23" s="167"/>
      <c r="AN23" s="167"/>
      <c r="AO23" s="167"/>
      <c r="AP23" s="167"/>
      <c r="AQ23" s="472">
        <f t="shared" si="17"/>
        <v>0</v>
      </c>
      <c r="AR23" s="167"/>
      <c r="AS23" s="167"/>
      <c r="AT23" s="167"/>
      <c r="AU23" s="167"/>
      <c r="AV23" s="472">
        <f t="shared" si="18"/>
        <v>0</v>
      </c>
      <c r="AW23" s="167"/>
      <c r="AX23" s="167"/>
      <c r="AY23" s="167"/>
      <c r="AZ23" s="167"/>
      <c r="BA23" s="472">
        <f t="shared" si="11"/>
        <v>0</v>
      </c>
      <c r="BB23" s="167"/>
      <c r="BC23" s="167">
        <f>+(BS!BC34-BS!BB34)</f>
        <v>0</v>
      </c>
      <c r="BD23" s="167"/>
      <c r="BE23" s="167"/>
      <c r="BF23" s="472">
        <f t="shared" si="12"/>
        <v>0</v>
      </c>
      <c r="BG23" s="167"/>
      <c r="BH23" s="167"/>
      <c r="BI23" s="167">
        <f>+(BS!BI34-BS!BH34)</f>
        <v>0</v>
      </c>
      <c r="BJ23" s="167"/>
      <c r="BK23" s="472">
        <f t="shared" si="13"/>
        <v>0</v>
      </c>
      <c r="BL23" s="167">
        <f>+(BS!BL34-BS!BJ34)</f>
        <v>0</v>
      </c>
      <c r="BM23" s="167">
        <f>+(BS!BM34-BS!BL34)</f>
        <v>0</v>
      </c>
      <c r="BN23" s="167">
        <f>+(BS!BN34-BS!BM34)</f>
        <v>0</v>
      </c>
      <c r="BO23" s="167">
        <f>+(BS!BO34-BS!BN34)</f>
        <v>0</v>
      </c>
      <c r="BP23" s="472">
        <f t="shared" si="14"/>
        <v>0</v>
      </c>
      <c r="BQ23" s="167">
        <f>+(BS!BQ34-BS!BO34)</f>
        <v>0</v>
      </c>
      <c r="BR23" s="167">
        <f>+(BS!BR34-BS!BQ34)</f>
        <v>0</v>
      </c>
      <c r="BS23" s="167">
        <f>+(BS!BS34-BS!BR34)</f>
        <v>0</v>
      </c>
      <c r="BT23" s="167">
        <f>+(BS!BT34-BS!BS34)</f>
        <v>0</v>
      </c>
      <c r="BU23" s="472">
        <f t="shared" si="15"/>
        <v>0</v>
      </c>
    </row>
    <row r="24" spans="1:73" ht="12.75" collapsed="1">
      <c r="B24" s="262" t="s">
        <v>273</v>
      </c>
      <c r="C24" s="155"/>
      <c r="D24" s="168"/>
      <c r="E24" s="168"/>
      <c r="F24" s="168"/>
      <c r="G24" s="168"/>
      <c r="H24" s="472">
        <v>2193</v>
      </c>
      <c r="I24" s="167">
        <v>44</v>
      </c>
      <c r="J24" s="167">
        <v>38</v>
      </c>
      <c r="K24" s="167">
        <v>-140</v>
      </c>
      <c r="L24" s="167">
        <v>-61</v>
      </c>
      <c r="M24" s="472">
        <v>-119</v>
      </c>
      <c r="N24" s="167">
        <v>-166</v>
      </c>
      <c r="O24" s="167">
        <v>94</v>
      </c>
      <c r="P24" s="167">
        <v>238</v>
      </c>
      <c r="Q24" s="167">
        <v>392</v>
      </c>
      <c r="R24" s="472">
        <v>558</v>
      </c>
      <c r="S24" s="167">
        <v>-266</v>
      </c>
      <c r="T24" s="167">
        <v>-553</v>
      </c>
      <c r="U24" s="167">
        <v>-146</v>
      </c>
      <c r="V24" s="167">
        <v>15</v>
      </c>
      <c r="W24" s="472">
        <f t="shared" si="1"/>
        <v>-950</v>
      </c>
      <c r="X24" s="167">
        <v>-444</v>
      </c>
      <c r="Y24" s="167">
        <v>-225</v>
      </c>
      <c r="Z24" s="167">
        <v>47</v>
      </c>
      <c r="AA24" s="167">
        <v>989</v>
      </c>
      <c r="AB24" s="472">
        <f>+SUM(X24:AA24)</f>
        <v>367</v>
      </c>
      <c r="AC24" s="167">
        <v>1605</v>
      </c>
      <c r="AD24" s="167">
        <v>-476</v>
      </c>
      <c r="AE24" s="167">
        <v>163</v>
      </c>
      <c r="AF24" s="167">
        <v>-274</v>
      </c>
      <c r="AG24" s="472">
        <f>+SUM(AC24:AF24)</f>
        <v>1018</v>
      </c>
      <c r="AH24" s="167">
        <v>-1063</v>
      </c>
      <c r="AI24" s="430">
        <v>83</v>
      </c>
      <c r="AJ24" s="167">
        <f>65</f>
        <v>65</v>
      </c>
      <c r="AK24" s="167">
        <f>490</f>
        <v>490</v>
      </c>
      <c r="AL24" s="472">
        <f t="shared" si="16"/>
        <v>-425</v>
      </c>
      <c r="AM24" s="167">
        <f>-394</f>
        <v>-394</v>
      </c>
      <c r="AN24" s="167">
        <f>4783</f>
        <v>4783</v>
      </c>
      <c r="AO24" s="167">
        <f>-796</f>
        <v>-796</v>
      </c>
      <c r="AP24" s="167">
        <f>136</f>
        <v>136</v>
      </c>
      <c r="AQ24" s="472">
        <f t="shared" si="17"/>
        <v>3729</v>
      </c>
      <c r="AR24" s="167">
        <f>-481</f>
        <v>-481</v>
      </c>
      <c r="AS24" s="167">
        <f>155</f>
        <v>155</v>
      </c>
      <c r="AT24" s="167">
        <f>-818</f>
        <v>-818</v>
      </c>
      <c r="AU24" s="167">
        <f>3637</f>
        <v>3637</v>
      </c>
      <c r="AV24" s="472">
        <f t="shared" si="18"/>
        <v>2493</v>
      </c>
      <c r="AW24" s="167">
        <f>104</f>
        <v>104</v>
      </c>
      <c r="AX24" s="167">
        <f>379</f>
        <v>379</v>
      </c>
      <c r="AY24" s="167">
        <f>-1381</f>
        <v>-1381</v>
      </c>
      <c r="AZ24" s="167">
        <f>-414</f>
        <v>-414</v>
      </c>
      <c r="BA24" s="472">
        <f t="shared" si="11"/>
        <v>-1312</v>
      </c>
      <c r="BB24" s="167">
        <f>2520</f>
        <v>2520</v>
      </c>
      <c r="BC24" s="167">
        <f>140</f>
        <v>140</v>
      </c>
      <c r="BD24" s="167">
        <f>4220</f>
        <v>4220</v>
      </c>
      <c r="BE24" s="167">
        <f>-2607</f>
        <v>-2607</v>
      </c>
      <c r="BF24" s="472">
        <f t="shared" si="12"/>
        <v>4273</v>
      </c>
      <c r="BG24" s="167">
        <f>-2244</f>
        <v>-2244</v>
      </c>
      <c r="BH24" s="167">
        <f>1015</f>
        <v>1015</v>
      </c>
      <c r="BI24" s="167">
        <f>-2340</f>
        <v>-2340</v>
      </c>
      <c r="BJ24" s="167">
        <f>-6614</f>
        <v>-6614</v>
      </c>
      <c r="BK24" s="472">
        <f t="shared" si="13"/>
        <v>-10183</v>
      </c>
      <c r="BL24" s="167">
        <f>+(BS!BL35-BS!BJ35)</f>
        <v>0</v>
      </c>
      <c r="BM24" s="167">
        <f>+(BS!BM35-BS!BL35)</f>
        <v>0</v>
      </c>
      <c r="BN24" s="167">
        <f>+(BS!BN35-BS!BM35)</f>
        <v>0</v>
      </c>
      <c r="BO24" s="167">
        <f>+(BS!BO35-BS!BN35)</f>
        <v>0</v>
      </c>
      <c r="BP24" s="472">
        <f t="shared" si="14"/>
        <v>0</v>
      </c>
      <c r="BQ24" s="167">
        <f>+(BS!BQ35-BS!BO35)</f>
        <v>0</v>
      </c>
      <c r="BR24" s="167">
        <f>+(BS!BR35-BS!BQ35)</f>
        <v>0</v>
      </c>
      <c r="BS24" s="167">
        <f>+(BS!BS35-BS!BR35)</f>
        <v>0</v>
      </c>
      <c r="BT24" s="167">
        <f>+(BS!BT35-BS!BS35)</f>
        <v>0</v>
      </c>
      <c r="BU24" s="472">
        <f t="shared" si="15"/>
        <v>0</v>
      </c>
    </row>
    <row r="25" spans="1:73" ht="3.6" customHeight="1">
      <c r="B25" s="262"/>
      <c r="C25" s="263"/>
      <c r="D25" s="176" t="s">
        <v>1</v>
      </c>
      <c r="E25" s="176" t="s">
        <v>1</v>
      </c>
      <c r="F25" s="176" t="s">
        <v>1</v>
      </c>
      <c r="G25" s="176" t="s">
        <v>1</v>
      </c>
      <c r="H25" s="473" t="s">
        <v>1</v>
      </c>
      <c r="I25" s="173" t="s">
        <v>1</v>
      </c>
      <c r="J25" s="173" t="s">
        <v>1</v>
      </c>
      <c r="K25" s="173" t="s">
        <v>1</v>
      </c>
      <c r="L25" s="173" t="s">
        <v>1</v>
      </c>
      <c r="M25" s="473" t="s">
        <v>1</v>
      </c>
      <c r="N25" s="173" t="s">
        <v>1</v>
      </c>
      <c r="O25" s="173" t="s">
        <v>1</v>
      </c>
      <c r="P25" s="173" t="s">
        <v>1</v>
      </c>
      <c r="Q25" s="173" t="s">
        <v>1</v>
      </c>
      <c r="R25" s="473" t="s">
        <v>1</v>
      </c>
      <c r="S25" s="173" t="s">
        <v>1</v>
      </c>
      <c r="T25" s="173" t="s">
        <v>1</v>
      </c>
      <c r="U25" s="173" t="s">
        <v>1</v>
      </c>
      <c r="V25" s="173" t="s">
        <v>1</v>
      </c>
      <c r="W25" s="473" t="s">
        <v>1</v>
      </c>
      <c r="X25" s="173" t="s">
        <v>1</v>
      </c>
      <c r="Y25" s="173" t="s">
        <v>1</v>
      </c>
      <c r="Z25" s="173" t="s">
        <v>1</v>
      </c>
      <c r="AA25" s="173" t="s">
        <v>1</v>
      </c>
      <c r="AB25" s="473" t="s">
        <v>1</v>
      </c>
      <c r="AC25" s="173" t="s">
        <v>1</v>
      </c>
      <c r="AD25" s="173" t="s">
        <v>1</v>
      </c>
      <c r="AE25" s="173" t="s">
        <v>1</v>
      </c>
      <c r="AF25" s="173" t="s">
        <v>1</v>
      </c>
      <c r="AG25" s="473" t="s">
        <v>1</v>
      </c>
      <c r="AH25" s="173" t="s">
        <v>1</v>
      </c>
      <c r="AI25" s="617" t="s">
        <v>1</v>
      </c>
      <c r="AJ25" s="173" t="s">
        <v>1</v>
      </c>
      <c r="AK25" s="173" t="s">
        <v>1</v>
      </c>
      <c r="AL25" s="473" t="s">
        <v>1</v>
      </c>
      <c r="AM25" s="173" t="s">
        <v>1</v>
      </c>
      <c r="AN25" s="173" t="s">
        <v>1</v>
      </c>
      <c r="AO25" s="173" t="s">
        <v>1</v>
      </c>
      <c r="AP25" s="173" t="s">
        <v>1</v>
      </c>
      <c r="AQ25" s="473" t="s">
        <v>1</v>
      </c>
      <c r="AR25" s="173" t="s">
        <v>1</v>
      </c>
      <c r="AS25" s="173" t="s">
        <v>1</v>
      </c>
      <c r="AT25" s="173" t="s">
        <v>1</v>
      </c>
      <c r="AU25" s="173" t="s">
        <v>1</v>
      </c>
      <c r="AV25" s="473" t="s">
        <v>1</v>
      </c>
      <c r="AW25" s="173" t="s">
        <v>1</v>
      </c>
      <c r="AX25" s="173" t="s">
        <v>1</v>
      </c>
      <c r="AY25" s="173" t="s">
        <v>1</v>
      </c>
      <c r="AZ25" s="173" t="s">
        <v>1</v>
      </c>
      <c r="BA25" s="473" t="s">
        <v>1</v>
      </c>
      <c r="BB25" s="173" t="s">
        <v>1</v>
      </c>
      <c r="BC25" s="173" t="s">
        <v>1</v>
      </c>
      <c r="BD25" s="173" t="s">
        <v>1</v>
      </c>
      <c r="BE25" s="173" t="s">
        <v>1</v>
      </c>
      <c r="BF25" s="473" t="s">
        <v>1</v>
      </c>
      <c r="BG25" s="173" t="s">
        <v>1</v>
      </c>
      <c r="BH25" s="173" t="s">
        <v>1</v>
      </c>
      <c r="BI25" s="173" t="s">
        <v>1</v>
      </c>
      <c r="BJ25" s="173" t="s">
        <v>1</v>
      </c>
      <c r="BK25" s="473" t="s">
        <v>1</v>
      </c>
      <c r="BL25" s="173" t="s">
        <v>1</v>
      </c>
      <c r="BM25" s="173" t="s">
        <v>1</v>
      </c>
      <c r="BN25" s="173" t="s">
        <v>1</v>
      </c>
      <c r="BO25" s="173" t="s">
        <v>1</v>
      </c>
      <c r="BP25" s="473" t="s">
        <v>1</v>
      </c>
      <c r="BQ25" s="173" t="s">
        <v>1</v>
      </c>
      <c r="BR25" s="173" t="s">
        <v>1</v>
      </c>
      <c r="BS25" s="173" t="s">
        <v>1</v>
      </c>
      <c r="BT25" s="173" t="s">
        <v>1</v>
      </c>
      <c r="BU25" s="473" t="s">
        <v>1</v>
      </c>
    </row>
    <row r="26" spans="1:73" ht="13.15">
      <c r="B26" s="264" t="s">
        <v>498</v>
      </c>
      <c r="C26" s="166"/>
      <c r="D26" s="166"/>
      <c r="E26" s="166"/>
      <c r="F26" s="166"/>
      <c r="G26" s="166"/>
      <c r="H26" s="471">
        <f t="shared" ref="H26:AF26" si="19">SUM(H7:H24)</f>
        <v>-3356</v>
      </c>
      <c r="I26" s="166">
        <f t="shared" si="19"/>
        <v>-3012</v>
      </c>
      <c r="J26" s="166">
        <f t="shared" si="19"/>
        <v>-1241</v>
      </c>
      <c r="K26" s="166">
        <f t="shared" si="19"/>
        <v>2273</v>
      </c>
      <c r="L26" s="166">
        <f t="shared" si="19"/>
        <v>73</v>
      </c>
      <c r="M26" s="471">
        <f t="shared" si="19"/>
        <v>-1907</v>
      </c>
      <c r="N26" s="166">
        <f t="shared" si="19"/>
        <v>-1592</v>
      </c>
      <c r="O26" s="166">
        <f t="shared" si="19"/>
        <v>1863</v>
      </c>
      <c r="P26" s="166">
        <f t="shared" si="19"/>
        <v>1790</v>
      </c>
      <c r="Q26" s="166">
        <f t="shared" si="19"/>
        <v>7051</v>
      </c>
      <c r="R26" s="471">
        <f t="shared" si="19"/>
        <v>9112</v>
      </c>
      <c r="S26" s="166">
        <f t="shared" si="19"/>
        <v>3321</v>
      </c>
      <c r="T26" s="166">
        <f t="shared" si="19"/>
        <v>-3981</v>
      </c>
      <c r="U26" s="166">
        <f t="shared" si="19"/>
        <v>5744</v>
      </c>
      <c r="V26" s="166">
        <f t="shared" si="19"/>
        <v>8202</v>
      </c>
      <c r="W26" s="471">
        <f t="shared" si="19"/>
        <v>13286</v>
      </c>
      <c r="X26" s="166">
        <f t="shared" si="19"/>
        <v>7296</v>
      </c>
      <c r="Y26" s="166">
        <f t="shared" si="19"/>
        <v>-9114</v>
      </c>
      <c r="Z26" s="166">
        <f t="shared" si="19"/>
        <v>-4050</v>
      </c>
      <c r="AA26" s="166">
        <f t="shared" si="19"/>
        <v>11934</v>
      </c>
      <c r="AB26" s="471">
        <f t="shared" si="19"/>
        <v>6066</v>
      </c>
      <c r="AC26" s="166">
        <f t="shared" si="19"/>
        <v>-13566</v>
      </c>
      <c r="AD26" s="166">
        <f t="shared" si="19"/>
        <v>2483</v>
      </c>
      <c r="AE26" s="166">
        <f t="shared" si="19"/>
        <v>1839</v>
      </c>
      <c r="AF26" s="166">
        <f t="shared" si="19"/>
        <v>7824</v>
      </c>
      <c r="AG26" s="471">
        <f>SUM(AG7:AG24)</f>
        <v>-1420</v>
      </c>
      <c r="AH26" s="166">
        <f>SUM(AH7:AH24)</f>
        <v>-7215</v>
      </c>
      <c r="AI26" s="618">
        <f t="shared" ref="AI26:AQ26" si="20">SUM(AI7:AI24)</f>
        <v>442</v>
      </c>
      <c r="AJ26" s="166">
        <f t="shared" si="20"/>
        <v>11078</v>
      </c>
      <c r="AK26" s="166">
        <f t="shared" si="20"/>
        <v>582</v>
      </c>
      <c r="AL26" s="471">
        <f t="shared" si="20"/>
        <v>4887</v>
      </c>
      <c r="AM26" s="166">
        <f t="shared" si="20"/>
        <v>20595</v>
      </c>
      <c r="AN26" s="166">
        <f t="shared" si="20"/>
        <v>9186</v>
      </c>
      <c r="AO26" s="166">
        <f t="shared" si="20"/>
        <v>19448</v>
      </c>
      <c r="AP26" s="166">
        <f>SUM(AP7:AP24)</f>
        <v>4688</v>
      </c>
      <c r="AQ26" s="471">
        <f t="shared" si="20"/>
        <v>53917</v>
      </c>
      <c r="AR26" s="166">
        <f t="shared" ref="AR26:BP26" si="21">SUM(AR7:AR24)</f>
        <v>10403</v>
      </c>
      <c r="AS26" s="166">
        <f t="shared" si="21"/>
        <v>7449</v>
      </c>
      <c r="AT26" s="166">
        <f t="shared" si="21"/>
        <v>20110</v>
      </c>
      <c r="AU26" s="166">
        <f t="shared" si="21"/>
        <v>40242</v>
      </c>
      <c r="AV26" s="471">
        <f t="shared" si="21"/>
        <v>78204</v>
      </c>
      <c r="AW26" s="166">
        <f t="shared" si="21"/>
        <v>5842</v>
      </c>
      <c r="AX26" s="166">
        <f t="shared" si="21"/>
        <v>31305</v>
      </c>
      <c r="AY26" s="166">
        <f t="shared" si="21"/>
        <v>3665</v>
      </c>
      <c r="AZ26" s="166">
        <f t="shared" si="21"/>
        <v>63466</v>
      </c>
      <c r="BA26" s="471">
        <f t="shared" si="21"/>
        <v>104278</v>
      </c>
      <c r="BB26" s="166">
        <f t="shared" si="21"/>
        <v>31070</v>
      </c>
      <c r="BC26" s="166">
        <f t="shared" si="21"/>
        <v>32858</v>
      </c>
      <c r="BD26" s="166">
        <f t="shared" si="21"/>
        <v>43969</v>
      </c>
      <c r="BE26" s="166">
        <f t="shared" si="21"/>
        <v>63773</v>
      </c>
      <c r="BF26" s="471">
        <f t="shared" si="21"/>
        <v>171670</v>
      </c>
      <c r="BG26" s="166">
        <f t="shared" si="21"/>
        <v>29757</v>
      </c>
      <c r="BH26" s="166">
        <f t="shared" si="21"/>
        <v>47542</v>
      </c>
      <c r="BI26" s="166">
        <f t="shared" si="21"/>
        <v>38199</v>
      </c>
      <c r="BJ26" s="166">
        <f t="shared" si="21"/>
        <v>37574</v>
      </c>
      <c r="BK26" s="471">
        <f t="shared" si="21"/>
        <v>153072</v>
      </c>
      <c r="BL26" s="166">
        <f t="shared" si="21"/>
        <v>27932.013454027794</v>
      </c>
      <c r="BM26" s="166">
        <f t="shared" si="21"/>
        <v>41183.557045822228</v>
      </c>
      <c r="BN26" s="166">
        <f t="shared" si="21"/>
        <v>29894.4658589711</v>
      </c>
      <c r="BO26" s="166">
        <f t="shared" si="21"/>
        <v>55908.113860627251</v>
      </c>
      <c r="BP26" s="471">
        <f t="shared" si="21"/>
        <v>154918.15021944835</v>
      </c>
      <c r="BQ26" s="166">
        <f t="shared" ref="BQ26:BU26" si="22">SUM(BQ7:BQ24)</f>
        <v>26665.992000881284</v>
      </c>
      <c r="BR26" s="166">
        <f t="shared" si="22"/>
        <v>37152.354383111939</v>
      </c>
      <c r="BS26" s="166">
        <f t="shared" si="22"/>
        <v>32609.06370491923</v>
      </c>
      <c r="BT26" s="166">
        <f t="shared" si="22"/>
        <v>59319.599459990597</v>
      </c>
      <c r="BU26" s="471">
        <f t="shared" si="22"/>
        <v>155747.00954890306</v>
      </c>
    </row>
    <row r="27" spans="1:73" ht="4.5" customHeight="1">
      <c r="B27" s="260"/>
      <c r="C27" s="155"/>
      <c r="D27" s="168"/>
      <c r="E27" s="168"/>
      <c r="F27" s="168"/>
      <c r="G27" s="168"/>
      <c r="H27" s="472"/>
      <c r="I27" s="167"/>
      <c r="J27" s="167"/>
      <c r="K27" s="167"/>
      <c r="L27" s="167"/>
      <c r="M27" s="472"/>
      <c r="N27" s="167"/>
      <c r="O27" s="167"/>
      <c r="P27" s="167"/>
      <c r="Q27" s="167"/>
      <c r="R27" s="472"/>
      <c r="S27" s="167"/>
      <c r="T27" s="167"/>
      <c r="U27" s="167"/>
      <c r="V27" s="167"/>
      <c r="W27" s="472"/>
      <c r="X27" s="167"/>
      <c r="Y27" s="167"/>
      <c r="Z27" s="167"/>
      <c r="AA27" s="167"/>
      <c r="AB27" s="472"/>
      <c r="AC27" s="167"/>
      <c r="AD27" s="167"/>
      <c r="AE27" s="167"/>
      <c r="AF27" s="167"/>
      <c r="AG27" s="472"/>
      <c r="AH27" s="167"/>
      <c r="AI27" s="167"/>
      <c r="AJ27" s="167"/>
      <c r="AK27" s="167"/>
      <c r="AL27" s="472"/>
      <c r="AM27" s="167"/>
      <c r="AN27" s="167"/>
      <c r="AO27" s="167"/>
      <c r="AP27" s="167"/>
      <c r="AQ27" s="472"/>
      <c r="AR27" s="167"/>
      <c r="AS27" s="167"/>
      <c r="AT27" s="167"/>
      <c r="AU27" s="167"/>
      <c r="AV27" s="472"/>
      <c r="AW27" s="167"/>
      <c r="AX27" s="167"/>
      <c r="AY27" s="167"/>
      <c r="AZ27" s="167"/>
      <c r="BA27" s="472"/>
      <c r="BB27" s="167"/>
      <c r="BC27" s="167"/>
      <c r="BD27" s="167"/>
      <c r="BE27" s="167"/>
      <c r="BF27" s="472"/>
      <c r="BG27" s="167"/>
      <c r="BH27" s="167"/>
      <c r="BI27" s="167"/>
      <c r="BJ27" s="167"/>
      <c r="BK27" s="472"/>
      <c r="BL27" s="167"/>
      <c r="BM27" s="167"/>
      <c r="BN27" s="167"/>
      <c r="BO27" s="167"/>
      <c r="BP27" s="472"/>
      <c r="BQ27" s="167"/>
      <c r="BR27" s="167"/>
      <c r="BS27" s="167"/>
      <c r="BT27" s="167"/>
      <c r="BU27" s="472"/>
    </row>
    <row r="28" spans="1:73" ht="13.15">
      <c r="B28" s="261" t="s">
        <v>115</v>
      </c>
      <c r="C28" s="155"/>
      <c r="D28" s="168"/>
      <c r="E28" s="168"/>
      <c r="F28" s="168"/>
      <c r="G28" s="168"/>
      <c r="H28" s="472"/>
      <c r="I28" s="167"/>
      <c r="J28" s="167"/>
      <c r="K28" s="167"/>
      <c r="L28" s="167"/>
      <c r="M28" s="472"/>
      <c r="N28" s="167"/>
      <c r="O28" s="167"/>
      <c r="P28" s="167"/>
      <c r="Q28" s="167"/>
      <c r="R28" s="472"/>
      <c r="S28" s="167"/>
      <c r="T28" s="167"/>
      <c r="U28" s="167"/>
      <c r="V28" s="167"/>
      <c r="W28" s="472"/>
      <c r="X28" s="167"/>
      <c r="Y28" s="167"/>
      <c r="Z28" s="167"/>
      <c r="AA28" s="167"/>
      <c r="AB28" s="472"/>
      <c r="AC28" s="167"/>
      <c r="AD28" s="167"/>
      <c r="AE28" s="167"/>
      <c r="AF28" s="167"/>
      <c r="AG28" s="472"/>
      <c r="AH28" s="167"/>
      <c r="AI28" s="167"/>
      <c r="AJ28" s="167"/>
      <c r="AK28" s="167"/>
      <c r="AL28" s="472"/>
      <c r="AM28" s="167"/>
      <c r="AN28" s="167"/>
      <c r="AO28" s="167"/>
      <c r="AP28" s="167"/>
      <c r="AQ28" s="472"/>
      <c r="AR28" s="167"/>
      <c r="AS28" s="167"/>
      <c r="AT28" s="167"/>
      <c r="AU28" s="167"/>
      <c r="AV28" s="472"/>
      <c r="AW28" s="167"/>
      <c r="AX28" s="167"/>
      <c r="AY28" s="167"/>
      <c r="AZ28" s="167"/>
      <c r="BA28" s="472"/>
      <c r="BB28" s="167"/>
      <c r="BC28" s="167"/>
      <c r="BD28" s="167"/>
      <c r="BE28" s="167"/>
      <c r="BF28" s="472"/>
      <c r="BG28" s="167"/>
      <c r="BH28" s="167"/>
      <c r="BI28" s="167"/>
      <c r="BJ28" s="167"/>
      <c r="BK28" s="472"/>
      <c r="BL28" s="167"/>
      <c r="BM28" s="167"/>
      <c r="BN28" s="167"/>
      <c r="BO28" s="167"/>
      <c r="BP28" s="472"/>
      <c r="BQ28" s="167"/>
      <c r="BR28" s="167"/>
      <c r="BS28" s="167"/>
      <c r="BT28" s="167"/>
      <c r="BU28" s="472"/>
    </row>
    <row r="29" spans="1:73" ht="12.75">
      <c r="B29" s="262" t="s">
        <v>274</v>
      </c>
      <c r="C29" s="155"/>
      <c r="D29" s="167"/>
      <c r="E29" s="167"/>
      <c r="F29" s="167"/>
      <c r="G29" s="167"/>
      <c r="H29" s="472">
        <v>0</v>
      </c>
      <c r="I29" s="167">
        <v>0</v>
      </c>
      <c r="J29" s="167">
        <v>-3344</v>
      </c>
      <c r="K29" s="167">
        <v>0</v>
      </c>
      <c r="L29" s="167">
        <v>-35467</v>
      </c>
      <c r="M29" s="472">
        <v>-38811</v>
      </c>
      <c r="N29" s="167">
        <v>0</v>
      </c>
      <c r="O29" s="167">
        <v>0</v>
      </c>
      <c r="P29" s="167">
        <v>0</v>
      </c>
      <c r="Q29" s="167">
        <v>0</v>
      </c>
      <c r="R29" s="472">
        <v>0</v>
      </c>
      <c r="S29" s="167">
        <v>0</v>
      </c>
      <c r="T29" s="167">
        <v>0</v>
      </c>
      <c r="U29" s="167">
        <v>-14717</v>
      </c>
      <c r="V29" s="167">
        <v>0</v>
      </c>
      <c r="W29" s="472">
        <f t="shared" ref="W29:W35" si="23">+SUM(S29:V29)</f>
        <v>-14717</v>
      </c>
      <c r="X29" s="167">
        <v>0</v>
      </c>
      <c r="Y29" s="167">
        <v>0</v>
      </c>
      <c r="Z29" s="167">
        <v>0</v>
      </c>
      <c r="AA29" s="167">
        <v>-14460</v>
      </c>
      <c r="AB29" s="472">
        <f t="shared" ref="AB29:AB35" si="24">+SUM(X29:AA29)</f>
        <v>-14460</v>
      </c>
      <c r="AC29" s="167">
        <v>0</v>
      </c>
      <c r="AD29" s="167">
        <v>-14621</v>
      </c>
      <c r="AE29" s="167">
        <v>14</v>
      </c>
      <c r="AF29" s="167"/>
      <c r="AG29" s="472">
        <f t="shared" ref="AG29:AG35" si="25">+SUM(AC29:AF29)</f>
        <v>-14607</v>
      </c>
      <c r="AH29" s="167"/>
      <c r="AI29" s="167">
        <v>-125771</v>
      </c>
      <c r="AJ29" s="167">
        <f>-55</f>
        <v>-55</v>
      </c>
      <c r="AK29" s="167">
        <v>0</v>
      </c>
      <c r="AL29" s="472">
        <f>+SUM(AH29:AK29)</f>
        <v>-125826</v>
      </c>
      <c r="AM29" s="167">
        <f>-49720</f>
        <v>-49720</v>
      </c>
      <c r="AN29" s="167">
        <f>-2700</f>
        <v>-2700</v>
      </c>
      <c r="AO29" s="167">
        <f>-306000</f>
        <v>-306000</v>
      </c>
      <c r="AP29" s="167">
        <f>0</f>
        <v>0</v>
      </c>
      <c r="AQ29" s="472">
        <f t="shared" ref="AQ29:AQ35" si="26">+SUM(AM29:AP29)</f>
        <v>-358420</v>
      </c>
      <c r="AR29" s="167">
        <f>0</f>
        <v>0</v>
      </c>
      <c r="AS29" s="167">
        <v>0</v>
      </c>
      <c r="AT29" s="167">
        <v>0</v>
      </c>
      <c r="AU29" s="167">
        <v>0</v>
      </c>
      <c r="AV29" s="472">
        <f>+SUM(AR29:AU29)</f>
        <v>0</v>
      </c>
      <c r="AW29" s="167">
        <f>-34033</f>
        <v>-34033</v>
      </c>
      <c r="AX29" s="167">
        <f>-808</f>
        <v>-808</v>
      </c>
      <c r="AY29" s="167">
        <f>0</f>
        <v>0</v>
      </c>
      <c r="AZ29" s="167">
        <f>0</f>
        <v>0</v>
      </c>
      <c r="BA29" s="472">
        <f>+SUM(AW29:AZ29)</f>
        <v>-34841</v>
      </c>
      <c r="BB29" s="167">
        <v>0</v>
      </c>
      <c r="BC29" s="167">
        <f>0</f>
        <v>0</v>
      </c>
      <c r="BD29" s="167">
        <f>-37198</f>
        <v>-37198</v>
      </c>
      <c r="BE29" s="167">
        <f>-103</f>
        <v>-103</v>
      </c>
      <c r="BF29" s="472">
        <f>+SUM(BB29:BE29)</f>
        <v>-37301</v>
      </c>
      <c r="BG29" s="167">
        <v>0</v>
      </c>
      <c r="BH29" s="167"/>
      <c r="BI29" s="167">
        <f>0</f>
        <v>0</v>
      </c>
      <c r="BJ29" s="167">
        <v>0</v>
      </c>
      <c r="BK29" s="472">
        <f>+SUM(BG29:BJ29)</f>
        <v>0</v>
      </c>
      <c r="BL29" s="167">
        <v>0</v>
      </c>
      <c r="BM29" s="167">
        <v>0</v>
      </c>
      <c r="BN29" s="167">
        <v>0</v>
      </c>
      <c r="BO29" s="167">
        <v>0</v>
      </c>
      <c r="BP29" s="472">
        <f>+SUM(BL29:BO29)</f>
        <v>0</v>
      </c>
      <c r="BQ29" s="167">
        <v>0</v>
      </c>
      <c r="BR29" s="167">
        <v>0</v>
      </c>
      <c r="BS29" s="167">
        <v>0</v>
      </c>
      <c r="BT29" s="167">
        <v>0</v>
      </c>
      <c r="BU29" s="472">
        <f>+SUM(BQ29:BT29)</f>
        <v>0</v>
      </c>
    </row>
    <row r="30" spans="1:73" ht="12.75">
      <c r="A30" s="3" t="s">
        <v>292</v>
      </c>
      <c r="B30" s="262" t="s">
        <v>275</v>
      </c>
      <c r="C30" s="155"/>
      <c r="D30" s="167"/>
      <c r="E30" s="167"/>
      <c r="F30" s="167"/>
      <c r="G30" s="167"/>
      <c r="H30" s="472">
        <v>-7082</v>
      </c>
      <c r="I30" s="167">
        <v>-573</v>
      </c>
      <c r="J30" s="167">
        <v>-622</v>
      </c>
      <c r="K30" s="167">
        <v>-1644</v>
      </c>
      <c r="L30" s="167">
        <v>-1297</v>
      </c>
      <c r="M30" s="472">
        <v>-4136</v>
      </c>
      <c r="N30" s="167">
        <v>-1092</v>
      </c>
      <c r="O30" s="167">
        <v>-750</v>
      </c>
      <c r="P30" s="167">
        <v>-1465</v>
      </c>
      <c r="Q30" s="167">
        <v>-1192</v>
      </c>
      <c r="R30" s="472">
        <v>-4499</v>
      </c>
      <c r="S30" s="167">
        <v>-1335</v>
      </c>
      <c r="T30" s="167">
        <v>-1243</v>
      </c>
      <c r="U30" s="167">
        <v>-928</v>
      </c>
      <c r="V30" s="167">
        <v>-1318</v>
      </c>
      <c r="W30" s="472">
        <f t="shared" si="23"/>
        <v>-4824</v>
      </c>
      <c r="X30" s="167">
        <v>-2147</v>
      </c>
      <c r="Y30" s="167">
        <v>-3503</v>
      </c>
      <c r="Z30" s="167">
        <v>-2754</v>
      </c>
      <c r="AA30" s="167">
        <v>-4409</v>
      </c>
      <c r="AB30" s="472">
        <f t="shared" si="24"/>
        <v>-12813</v>
      </c>
      <c r="AC30" s="167">
        <v>-8463</v>
      </c>
      <c r="AD30" s="167">
        <v>-9249</v>
      </c>
      <c r="AE30" s="167">
        <v>-9341</v>
      </c>
      <c r="AF30" s="167">
        <v>-2375</v>
      </c>
      <c r="AG30" s="472">
        <f t="shared" si="25"/>
        <v>-29428</v>
      </c>
      <c r="AH30" s="167">
        <v>-2756</v>
      </c>
      <c r="AI30" s="167">
        <v>-1199</v>
      </c>
      <c r="AJ30" s="167">
        <f>-3170</f>
        <v>-3170</v>
      </c>
      <c r="AK30" s="167">
        <f>-6677</f>
        <v>-6677</v>
      </c>
      <c r="AL30" s="472">
        <f t="shared" ref="AL30:AL35" si="27">+SUM(AH30:AK30)</f>
        <v>-13802</v>
      </c>
      <c r="AM30" s="167">
        <f>-972</f>
        <v>-972</v>
      </c>
      <c r="AN30" s="167">
        <f>-1699</f>
        <v>-1699</v>
      </c>
      <c r="AO30" s="167">
        <f>-2164</f>
        <v>-2164</v>
      </c>
      <c r="AP30" s="167">
        <f>-4175</f>
        <v>-4175</v>
      </c>
      <c r="AQ30" s="472">
        <f t="shared" si="26"/>
        <v>-9010</v>
      </c>
      <c r="AR30" s="167">
        <f>-3053</f>
        <v>-3053</v>
      </c>
      <c r="AS30" s="167">
        <f>-4171</f>
        <v>-4171</v>
      </c>
      <c r="AT30" s="167">
        <f>-5863</f>
        <v>-5863</v>
      </c>
      <c r="AU30" s="167">
        <f>-7295</f>
        <v>-7295</v>
      </c>
      <c r="AV30" s="472">
        <f>+BS!AV83*-1</f>
        <v>-20382</v>
      </c>
      <c r="AW30" s="167">
        <f>-2285</f>
        <v>-2285</v>
      </c>
      <c r="AX30" s="167">
        <f>-1419</f>
        <v>-1419</v>
      </c>
      <c r="AY30" s="167">
        <f>-295</f>
        <v>-295</v>
      </c>
      <c r="AZ30" s="167">
        <f>-367</f>
        <v>-367</v>
      </c>
      <c r="BA30" s="472">
        <f>+BS!BA83*-1</f>
        <v>-4366</v>
      </c>
      <c r="BB30" s="167">
        <f>-620</f>
        <v>-620</v>
      </c>
      <c r="BC30" s="167">
        <f>-280</f>
        <v>-280</v>
      </c>
      <c r="BD30" s="167">
        <f>-1342</f>
        <v>-1342</v>
      </c>
      <c r="BE30" s="167">
        <f>-1183</f>
        <v>-1183</v>
      </c>
      <c r="BF30" s="472">
        <f>+BS!BF83*-1</f>
        <v>-3425</v>
      </c>
      <c r="BG30" s="167">
        <f>-1361</f>
        <v>-1361</v>
      </c>
      <c r="BH30" s="167">
        <f>-948</f>
        <v>-948</v>
      </c>
      <c r="BI30" s="167">
        <f>-4137</f>
        <v>-4137</v>
      </c>
      <c r="BJ30" s="167">
        <f>-1153</f>
        <v>-1153</v>
      </c>
      <c r="BK30" s="472">
        <f>+BS!BK83*-1</f>
        <v>-7599</v>
      </c>
      <c r="BL30" s="167">
        <f>+BS!BL83*-1</f>
        <v>-2079.6972500000002</v>
      </c>
      <c r="BM30" s="167">
        <f>+BS!BM83*-1</f>
        <v>-2089.3378000000002</v>
      </c>
      <c r="BN30" s="167">
        <f>+BS!BN83*-1</f>
        <v>-2102.491</v>
      </c>
      <c r="BO30" s="167">
        <f>+BS!BO83*-1</f>
        <v>-2117.2168000000001</v>
      </c>
      <c r="BP30" s="472">
        <f>+BS!BP83*-1</f>
        <v>-8388.7428500000005</v>
      </c>
      <c r="BQ30" s="167">
        <f>+BS!BQ83*-1</f>
        <v>-2115.225915</v>
      </c>
      <c r="BR30" s="167">
        <f>+BS!BR83*-1</f>
        <v>-2125.126092</v>
      </c>
      <c r="BS30" s="167">
        <f>+BS!BS83*-1</f>
        <v>-2136.8518439999998</v>
      </c>
      <c r="BT30" s="167">
        <f>+BS!BT83*-1</f>
        <v>-2151.4519920000002</v>
      </c>
      <c r="BU30" s="472">
        <f>+BS!BU83*-1</f>
        <v>-8528.6558430000005</v>
      </c>
    </row>
    <row r="31" spans="1:73" ht="12.75">
      <c r="B31" s="262" t="s">
        <v>276</v>
      </c>
      <c r="C31" s="167"/>
      <c r="D31" s="167">
        <v>0</v>
      </c>
      <c r="E31" s="167">
        <v>0</v>
      </c>
      <c r="F31" s="167">
        <v>0</v>
      </c>
      <c r="G31" s="167">
        <v>0</v>
      </c>
      <c r="H31" s="472">
        <v>0</v>
      </c>
      <c r="I31" s="167">
        <v>0</v>
      </c>
      <c r="J31" s="167">
        <v>0</v>
      </c>
      <c r="K31" s="167">
        <v>0</v>
      </c>
      <c r="L31" s="167">
        <v>0</v>
      </c>
      <c r="M31" s="472">
        <v>0</v>
      </c>
      <c r="N31" s="167">
        <v>0</v>
      </c>
      <c r="O31" s="167">
        <v>0</v>
      </c>
      <c r="P31" s="167">
        <v>0</v>
      </c>
      <c r="Q31" s="167">
        <v>0</v>
      </c>
      <c r="R31" s="472">
        <v>0</v>
      </c>
      <c r="S31" s="167">
        <v>0</v>
      </c>
      <c r="T31" s="167">
        <v>-316</v>
      </c>
      <c r="U31" s="167">
        <v>-440</v>
      </c>
      <c r="V31" s="167">
        <v>-406</v>
      </c>
      <c r="W31" s="472">
        <f t="shared" si="23"/>
        <v>-1162</v>
      </c>
      <c r="X31" s="167">
        <v>-693</v>
      </c>
      <c r="Y31" s="167">
        <v>-720</v>
      </c>
      <c r="Z31" s="167">
        <v>-1092</v>
      </c>
      <c r="AA31" s="167">
        <v>-760</v>
      </c>
      <c r="AB31" s="472">
        <f t="shared" si="24"/>
        <v>-3265</v>
      </c>
      <c r="AC31" s="167">
        <v>-1601</v>
      </c>
      <c r="AD31" s="167">
        <v>-1551</v>
      </c>
      <c r="AE31" s="167">
        <v>-1534</v>
      </c>
      <c r="AF31" s="167">
        <v>-1401</v>
      </c>
      <c r="AG31" s="472">
        <f t="shared" si="25"/>
        <v>-6087</v>
      </c>
      <c r="AH31" s="167">
        <v>-1474</v>
      </c>
      <c r="AI31" s="167">
        <v>-1474</v>
      </c>
      <c r="AJ31" s="167">
        <f>-1459</f>
        <v>-1459</v>
      </c>
      <c r="AK31" s="167">
        <f>-1723</f>
        <v>-1723</v>
      </c>
      <c r="AL31" s="472">
        <f t="shared" si="27"/>
        <v>-6130</v>
      </c>
      <c r="AM31" s="167">
        <f>-1758</f>
        <v>-1758</v>
      </c>
      <c r="AN31" s="167">
        <f>-2447</f>
        <v>-2447</v>
      </c>
      <c r="AO31" s="167">
        <f>-2957</f>
        <v>-2957</v>
      </c>
      <c r="AP31" s="167">
        <f>-2692</f>
        <v>-2692</v>
      </c>
      <c r="AQ31" s="472">
        <f t="shared" si="26"/>
        <v>-9854</v>
      </c>
      <c r="AR31" s="167">
        <f>-3522</f>
        <v>-3522</v>
      </c>
      <c r="AS31" s="167">
        <f>-4536</f>
        <v>-4536</v>
      </c>
      <c r="AT31" s="167">
        <f>-4590</f>
        <v>-4590</v>
      </c>
      <c r="AU31" s="167">
        <f>-4497</f>
        <v>-4497</v>
      </c>
      <c r="AV31" s="472">
        <f>+SUM(AR31:AU31)</f>
        <v>-17145</v>
      </c>
      <c r="AW31" s="167">
        <f>-4776</f>
        <v>-4776</v>
      </c>
      <c r="AX31" s="167">
        <f>-4305</f>
        <v>-4305</v>
      </c>
      <c r="AY31" s="167">
        <f>-3952</f>
        <v>-3952</v>
      </c>
      <c r="AZ31" s="167">
        <f>-2845</f>
        <v>-2845</v>
      </c>
      <c r="BA31" s="472">
        <f>+SUM(AW31:AZ31)</f>
        <v>-15878</v>
      </c>
      <c r="BB31" s="167">
        <f>-2916</f>
        <v>-2916</v>
      </c>
      <c r="BC31" s="167">
        <f>-3373</f>
        <v>-3373</v>
      </c>
      <c r="BD31" s="167">
        <f>-4125</f>
        <v>-4125</v>
      </c>
      <c r="BE31" s="167">
        <f>-3748</f>
        <v>-3748</v>
      </c>
      <c r="BF31" s="472">
        <f>+SUM(BB31:BE31)</f>
        <v>-14162</v>
      </c>
      <c r="BG31" s="167">
        <f>-3719</f>
        <v>-3719</v>
      </c>
      <c r="BH31" s="167">
        <f>-4314</f>
        <v>-4314</v>
      </c>
      <c r="BI31" s="167">
        <f>-3951</f>
        <v>-3951</v>
      </c>
      <c r="BJ31" s="167">
        <f>-4122</f>
        <v>-4122</v>
      </c>
      <c r="BK31" s="472">
        <f>+SUM(BG31:BJ31)</f>
        <v>-16106</v>
      </c>
      <c r="BL31" s="167">
        <f>BJ31</f>
        <v>-4122</v>
      </c>
      <c r="BM31" s="167">
        <f>BL31</f>
        <v>-4122</v>
      </c>
      <c r="BN31" s="167">
        <f t="shared" ref="BN31:BO31" si="28">BM31</f>
        <v>-4122</v>
      </c>
      <c r="BO31" s="167">
        <f t="shared" si="28"/>
        <v>-4122</v>
      </c>
      <c r="BP31" s="472">
        <f>+SUM(BL31:BO31)</f>
        <v>-16488</v>
      </c>
      <c r="BQ31" s="167">
        <f>BO31</f>
        <v>-4122</v>
      </c>
      <c r="BR31" s="167">
        <f>BQ31</f>
        <v>-4122</v>
      </c>
      <c r="BS31" s="167">
        <f t="shared" ref="BS31" si="29">BR31</f>
        <v>-4122</v>
      </c>
      <c r="BT31" s="167">
        <f t="shared" ref="BT31" si="30">BS31</f>
        <v>-4122</v>
      </c>
      <c r="BU31" s="472">
        <f>+SUM(BQ31:BT31)</f>
        <v>-16488</v>
      </c>
    </row>
    <row r="32" spans="1:73" ht="12.75">
      <c r="B32" s="262" t="s">
        <v>277</v>
      </c>
      <c r="C32" s="155"/>
      <c r="D32" s="167"/>
      <c r="E32" s="167"/>
      <c r="F32" s="167"/>
      <c r="G32" s="167"/>
      <c r="H32" s="472">
        <v>0</v>
      </c>
      <c r="I32" s="167">
        <v>0</v>
      </c>
      <c r="J32" s="167">
        <v>0</v>
      </c>
      <c r="K32" s="167">
        <v>0</v>
      </c>
      <c r="L32" s="167">
        <v>0</v>
      </c>
      <c r="M32" s="472">
        <v>0</v>
      </c>
      <c r="N32" s="167">
        <v>0</v>
      </c>
      <c r="O32" s="167">
        <v>0</v>
      </c>
      <c r="P32" s="167">
        <v>0</v>
      </c>
      <c r="Q32" s="167">
        <v>-38976</v>
      </c>
      <c r="R32" s="472">
        <v>-38976</v>
      </c>
      <c r="S32" s="167">
        <v>-7401</v>
      </c>
      <c r="T32" s="167">
        <v>0</v>
      </c>
      <c r="U32" s="167">
        <v>-5856</v>
      </c>
      <c r="V32" s="167">
        <v>-13506</v>
      </c>
      <c r="W32" s="472">
        <f t="shared" si="23"/>
        <v>-26763</v>
      </c>
      <c r="X32" s="167">
        <v>-4460</v>
      </c>
      <c r="Y32" s="167">
        <v>-6195</v>
      </c>
      <c r="Z32" s="167">
        <v>-168290</v>
      </c>
      <c r="AA32" s="167">
        <v>-54476</v>
      </c>
      <c r="AB32" s="472">
        <f t="shared" si="24"/>
        <v>-233421</v>
      </c>
      <c r="AC32" s="167">
        <v>-63029</v>
      </c>
      <c r="AD32" s="167">
        <v>-9403</v>
      </c>
      <c r="AE32" s="167">
        <v>-41776</v>
      </c>
      <c r="AF32" s="167">
        <v>-33839</v>
      </c>
      <c r="AG32" s="472">
        <f t="shared" si="25"/>
        <v>-148047</v>
      </c>
      <c r="AH32" s="167">
        <v>-24272</v>
      </c>
      <c r="AI32" s="167">
        <v>-24987</v>
      </c>
      <c r="AJ32" s="167">
        <f>-59451</f>
        <v>-59451</v>
      </c>
      <c r="AK32" s="167">
        <f>-68343</f>
        <v>-68343</v>
      </c>
      <c r="AL32" s="472">
        <f t="shared" si="27"/>
        <v>-177053</v>
      </c>
      <c r="AM32" s="167">
        <f>-6394</f>
        <v>-6394</v>
      </c>
      <c r="AN32" s="167">
        <f>-52914</f>
        <v>-52914</v>
      </c>
      <c r="AO32" s="167">
        <f>0</f>
        <v>0</v>
      </c>
      <c r="AP32" s="167">
        <v>0</v>
      </c>
      <c r="AQ32" s="472">
        <f t="shared" si="26"/>
        <v>-59308</v>
      </c>
      <c r="AR32" s="167">
        <f>-32136</f>
        <v>-32136</v>
      </c>
      <c r="AS32" s="167">
        <f>-26861-500</f>
        <v>-27361</v>
      </c>
      <c r="AT32" s="167">
        <f>-35489-500</f>
        <v>-35989</v>
      </c>
      <c r="AU32" s="167">
        <f>-28279</f>
        <v>-28279</v>
      </c>
      <c r="AV32" s="472">
        <f>+SUM(AR32:AU32)</f>
        <v>-123765</v>
      </c>
      <c r="AW32" s="167">
        <f>-4883</f>
        <v>-4883</v>
      </c>
      <c r="AX32" s="167">
        <f>-75374</f>
        <v>-75374</v>
      </c>
      <c r="AY32" s="167">
        <f>-113756</f>
        <v>-113756</v>
      </c>
      <c r="AZ32" s="167">
        <f>-82816</f>
        <v>-82816</v>
      </c>
      <c r="BA32" s="472">
        <f>+SUM(AW32:AZ32)</f>
        <v>-276829</v>
      </c>
      <c r="BB32" s="167">
        <f>-93158</f>
        <v>-93158</v>
      </c>
      <c r="BC32" s="167">
        <f>-64808</f>
        <v>-64808</v>
      </c>
      <c r="BD32" s="167">
        <f>-84528</f>
        <v>-84528</v>
      </c>
      <c r="BE32" s="167">
        <f>0</f>
        <v>0</v>
      </c>
      <c r="BF32" s="472">
        <f>+SUM(BB32:BE32)</f>
        <v>-242494</v>
      </c>
      <c r="BG32" s="167">
        <f>-144461</f>
        <v>-144461</v>
      </c>
      <c r="BH32" s="167">
        <f>-87555</f>
        <v>-87555</v>
      </c>
      <c r="BI32" s="167">
        <f>-271022</f>
        <v>-271022</v>
      </c>
      <c r="BJ32" s="167">
        <f>-30304-5500</f>
        <v>-35804</v>
      </c>
      <c r="BK32" s="472">
        <f>+SUM(BG32:BJ32)</f>
        <v>-538842</v>
      </c>
      <c r="BL32" s="167">
        <v>0</v>
      </c>
      <c r="BM32" s="167">
        <v>0</v>
      </c>
      <c r="BN32" s="167">
        <v>0</v>
      </c>
      <c r="BO32" s="167">
        <v>0</v>
      </c>
      <c r="BP32" s="472">
        <f>+SUM(BL32:BO32)</f>
        <v>0</v>
      </c>
      <c r="BQ32" s="167">
        <v>0</v>
      </c>
      <c r="BR32" s="167">
        <v>0</v>
      </c>
      <c r="BS32" s="167">
        <v>0</v>
      </c>
      <c r="BT32" s="167">
        <v>0</v>
      </c>
      <c r="BU32" s="472">
        <f>+SUM(BQ32:BT32)</f>
        <v>0</v>
      </c>
    </row>
    <row r="33" spans="2:73" ht="12.75">
      <c r="B33" s="262" t="s">
        <v>278</v>
      </c>
      <c r="C33" s="155"/>
      <c r="D33" s="167"/>
      <c r="E33" s="167"/>
      <c r="F33" s="167"/>
      <c r="G33" s="167"/>
      <c r="H33" s="472">
        <v>0</v>
      </c>
      <c r="I33" s="167">
        <v>0</v>
      </c>
      <c r="J33" s="167">
        <v>0</v>
      </c>
      <c r="K33" s="167">
        <v>0</v>
      </c>
      <c r="L33" s="167">
        <v>0</v>
      </c>
      <c r="M33" s="472">
        <v>0</v>
      </c>
      <c r="N33" s="167">
        <v>0</v>
      </c>
      <c r="O33" s="167">
        <v>0</v>
      </c>
      <c r="P33" s="167">
        <v>0</v>
      </c>
      <c r="Q33" s="167">
        <v>0</v>
      </c>
      <c r="R33" s="472">
        <v>0</v>
      </c>
      <c r="S33" s="167">
        <v>0</v>
      </c>
      <c r="T33" s="167">
        <v>-8427</v>
      </c>
      <c r="U33" s="167">
        <v>0</v>
      </c>
      <c r="V33" s="167">
        <v>9150</v>
      </c>
      <c r="W33" s="472">
        <f t="shared" si="23"/>
        <v>723</v>
      </c>
      <c r="X33" s="167">
        <v>0</v>
      </c>
      <c r="Y33" s="167">
        <v>0</v>
      </c>
      <c r="Z33" s="167">
        <v>0</v>
      </c>
      <c r="AA33" s="167">
        <v>0</v>
      </c>
      <c r="AB33" s="472">
        <f t="shared" si="24"/>
        <v>0</v>
      </c>
      <c r="AC33" s="167">
        <v>0</v>
      </c>
      <c r="AD33" s="167">
        <f>0</f>
        <v>0</v>
      </c>
      <c r="AE33" s="167">
        <f>0</f>
        <v>0</v>
      </c>
      <c r="AF33" s="167">
        <f>0</f>
        <v>0</v>
      </c>
      <c r="AG33" s="472">
        <f t="shared" si="25"/>
        <v>0</v>
      </c>
      <c r="AH33" s="167">
        <f>0</f>
        <v>0</v>
      </c>
      <c r="AI33" s="167">
        <f>0</f>
        <v>0</v>
      </c>
      <c r="AJ33" s="167">
        <f>0</f>
        <v>0</v>
      </c>
      <c r="AK33" s="167">
        <f>0</f>
        <v>0</v>
      </c>
      <c r="AL33" s="472">
        <f t="shared" si="27"/>
        <v>0</v>
      </c>
      <c r="AM33" s="167">
        <f>0</f>
        <v>0</v>
      </c>
      <c r="AN33" s="167"/>
      <c r="AO33" s="3">
        <v>0</v>
      </c>
      <c r="AP33" s="167">
        <v>0</v>
      </c>
      <c r="AQ33" s="472">
        <f t="shared" si="26"/>
        <v>0</v>
      </c>
      <c r="AR33" s="167">
        <f>2800</f>
        <v>2800</v>
      </c>
      <c r="AS33" s="167">
        <f>57529</f>
        <v>57529</v>
      </c>
      <c r="AT33" s="167">
        <f>26050</f>
        <v>26050</v>
      </c>
      <c r="AU33" s="167">
        <f>34925</f>
        <v>34925</v>
      </c>
      <c r="AV33" s="472">
        <f>+SUM(AR33:AU33)</f>
        <v>121304</v>
      </c>
      <c r="AW33" s="167">
        <f>35800</f>
        <v>35800</v>
      </c>
      <c r="AX33" s="167">
        <f>29900</f>
        <v>29900</v>
      </c>
      <c r="AY33" s="167">
        <f>35000</f>
        <v>35000</v>
      </c>
      <c r="AZ33" s="167">
        <f>49750</f>
        <v>49750</v>
      </c>
      <c r="BA33" s="472">
        <f>+SUM(AW33:AZ33)</f>
        <v>150450</v>
      </c>
      <c r="BB33" s="167">
        <f>55000</f>
        <v>55000</v>
      </c>
      <c r="BC33" s="167">
        <f>75000</f>
        <v>75000</v>
      </c>
      <c r="BD33" s="167">
        <f>62500</f>
        <v>62500</v>
      </c>
      <c r="BE33" s="167">
        <f>58000</f>
        <v>58000</v>
      </c>
      <c r="BF33" s="472">
        <f>+SUM(BB33:BE33)</f>
        <v>250500</v>
      </c>
      <c r="BG33" s="167">
        <f>0</f>
        <v>0</v>
      </c>
      <c r="BH33" s="167">
        <v>0</v>
      </c>
      <c r="BI33" s="167">
        <f>107000</f>
        <v>107000</v>
      </c>
      <c r="BJ33" s="167">
        <f>123822</f>
        <v>123822</v>
      </c>
      <c r="BK33" s="472">
        <f>+SUM(BG33:BJ33)</f>
        <v>230822</v>
      </c>
      <c r="BL33" s="167">
        <v>0</v>
      </c>
      <c r="BM33" s="167">
        <v>0</v>
      </c>
      <c r="BN33" s="167">
        <v>0</v>
      </c>
      <c r="BO33" s="167">
        <v>0</v>
      </c>
      <c r="BP33" s="472">
        <f>+SUM(BL33:BO33)</f>
        <v>0</v>
      </c>
      <c r="BQ33" s="167">
        <v>0</v>
      </c>
      <c r="BR33" s="167">
        <v>0</v>
      </c>
      <c r="BS33" s="167">
        <v>0</v>
      </c>
      <c r="BT33" s="167">
        <v>0</v>
      </c>
      <c r="BU33" s="472">
        <f>+SUM(BQ33:BT33)</f>
        <v>0</v>
      </c>
    </row>
    <row r="34" spans="2:73" ht="12.75">
      <c r="B34" s="262" t="s">
        <v>425</v>
      </c>
      <c r="C34" s="155"/>
      <c r="D34" s="167"/>
      <c r="E34" s="167"/>
      <c r="F34" s="167"/>
      <c r="G34" s="167"/>
      <c r="H34" s="472">
        <v>0</v>
      </c>
      <c r="I34" s="167">
        <v>0</v>
      </c>
      <c r="J34" s="167">
        <v>0</v>
      </c>
      <c r="K34" s="167">
        <v>0</v>
      </c>
      <c r="L34" s="167">
        <v>0</v>
      </c>
      <c r="M34" s="472">
        <v>0</v>
      </c>
      <c r="N34" s="167">
        <v>0</v>
      </c>
      <c r="O34" s="167">
        <v>0</v>
      </c>
      <c r="P34" s="167">
        <v>0</v>
      </c>
      <c r="Q34" s="167">
        <v>0</v>
      </c>
      <c r="R34" s="472">
        <v>0</v>
      </c>
      <c r="S34" s="167">
        <v>0</v>
      </c>
      <c r="T34" s="167">
        <v>0</v>
      </c>
      <c r="U34" s="167">
        <v>0</v>
      </c>
      <c r="V34" s="167">
        <v>-200</v>
      </c>
      <c r="W34" s="472">
        <f t="shared" si="23"/>
        <v>-200</v>
      </c>
      <c r="X34" s="167">
        <v>0</v>
      </c>
      <c r="Y34" s="167">
        <v>0</v>
      </c>
      <c r="Z34" s="167">
        <v>0</v>
      </c>
      <c r="AA34" s="167">
        <v>0</v>
      </c>
      <c r="AB34" s="472">
        <f>+SUM(X34:AA34)</f>
        <v>0</v>
      </c>
      <c r="AC34" s="167">
        <v>0</v>
      </c>
      <c r="AD34" s="167">
        <f>0</f>
        <v>0</v>
      </c>
      <c r="AE34" s="167">
        <f>0</f>
        <v>0</v>
      </c>
      <c r="AF34" s="167">
        <f>0</f>
        <v>0</v>
      </c>
      <c r="AG34" s="472">
        <f>+SUM(AC34:AF34)</f>
        <v>0</v>
      </c>
      <c r="AH34" s="167">
        <f>0</f>
        <v>0</v>
      </c>
      <c r="AI34" s="167">
        <f>0</f>
        <v>0</v>
      </c>
      <c r="AJ34" s="167">
        <f>0</f>
        <v>0</v>
      </c>
      <c r="AK34" s="167">
        <f>0</f>
        <v>0</v>
      </c>
      <c r="AL34" s="472">
        <f>+SUM(AH34:AK34)</f>
        <v>0</v>
      </c>
      <c r="AM34" s="167">
        <f>0</f>
        <v>0</v>
      </c>
      <c r="AN34" s="167"/>
      <c r="AO34" s="167">
        <v>0</v>
      </c>
      <c r="AP34" s="167"/>
      <c r="AQ34" s="472">
        <f t="shared" si="26"/>
        <v>0</v>
      </c>
      <c r="AR34" s="167"/>
      <c r="AS34" s="167">
        <v>0</v>
      </c>
      <c r="AT34" s="167">
        <v>0</v>
      </c>
      <c r="AU34" s="167"/>
      <c r="AV34" s="472">
        <f>+SUM(AR34:AU34)</f>
        <v>0</v>
      </c>
      <c r="AW34" s="167"/>
      <c r="AX34" s="167"/>
      <c r="AY34" s="167"/>
      <c r="AZ34" s="167">
        <f>2710</f>
        <v>2710</v>
      </c>
      <c r="BA34" s="472">
        <f>+SUM(AW34:AZ34)</f>
        <v>2710</v>
      </c>
      <c r="BB34" s="167">
        <f>0</f>
        <v>0</v>
      </c>
      <c r="BC34" s="167">
        <f>360</f>
        <v>360</v>
      </c>
      <c r="BD34" s="167">
        <f>0</f>
        <v>0</v>
      </c>
      <c r="BE34" s="167">
        <f>0</f>
        <v>0</v>
      </c>
      <c r="BF34" s="472">
        <f>+SUM(BB34:BE34)</f>
        <v>360</v>
      </c>
      <c r="BG34" s="167">
        <f>1328</f>
        <v>1328</v>
      </c>
      <c r="BH34" s="167">
        <v>0</v>
      </c>
      <c r="BI34" s="167">
        <f>0</f>
        <v>0</v>
      </c>
      <c r="BJ34" s="167">
        <v>0</v>
      </c>
      <c r="BK34" s="472">
        <f>+SUM(BG34:BJ34)</f>
        <v>1328</v>
      </c>
      <c r="BL34" s="167">
        <v>0</v>
      </c>
      <c r="BM34" s="167">
        <v>0</v>
      </c>
      <c r="BN34" s="167">
        <v>0</v>
      </c>
      <c r="BO34" s="167">
        <v>0</v>
      </c>
      <c r="BP34" s="472">
        <f>+SUM(BL34:BO34)</f>
        <v>0</v>
      </c>
      <c r="BQ34" s="167">
        <v>0</v>
      </c>
      <c r="BR34" s="167">
        <v>0</v>
      </c>
      <c r="BS34" s="167">
        <v>0</v>
      </c>
      <c r="BT34" s="167">
        <v>0</v>
      </c>
      <c r="BU34" s="472">
        <f>+SUM(BQ34:BT34)</f>
        <v>0</v>
      </c>
    </row>
    <row r="35" spans="2:73" ht="12.75">
      <c r="B35" s="262" t="s">
        <v>279</v>
      </c>
      <c r="C35" s="155"/>
      <c r="D35" s="167"/>
      <c r="E35" s="167"/>
      <c r="F35" s="167"/>
      <c r="G35" s="167"/>
      <c r="H35" s="472">
        <v>0</v>
      </c>
      <c r="I35" s="167">
        <v>0</v>
      </c>
      <c r="J35" s="167">
        <v>0</v>
      </c>
      <c r="K35" s="167">
        <v>0</v>
      </c>
      <c r="L35" s="167">
        <v>0</v>
      </c>
      <c r="M35" s="472">
        <v>0</v>
      </c>
      <c r="N35" s="167">
        <v>0</v>
      </c>
      <c r="O35" s="167">
        <v>0</v>
      </c>
      <c r="P35" s="167">
        <v>0</v>
      </c>
      <c r="Q35" s="167">
        <v>0</v>
      </c>
      <c r="R35" s="472">
        <v>0</v>
      </c>
      <c r="S35" s="167">
        <v>900</v>
      </c>
      <c r="T35" s="167">
        <v>13705</v>
      </c>
      <c r="U35" s="167">
        <v>9917</v>
      </c>
      <c r="V35" s="167"/>
      <c r="W35" s="472">
        <f t="shared" si="23"/>
        <v>24522</v>
      </c>
      <c r="X35" s="167">
        <v>14062</v>
      </c>
      <c r="Y35" s="167">
        <v>19066</v>
      </c>
      <c r="Z35" s="167">
        <v>6448</v>
      </c>
      <c r="AA35" s="167">
        <v>30650</v>
      </c>
      <c r="AB35" s="472">
        <f t="shared" si="24"/>
        <v>70226</v>
      </c>
      <c r="AC35" s="167">
        <v>72738</v>
      </c>
      <c r="AD35" s="167">
        <v>67564</v>
      </c>
      <c r="AE35" s="167">
        <v>36985</v>
      </c>
      <c r="AF35" s="167">
        <v>37693</v>
      </c>
      <c r="AG35" s="472">
        <f t="shared" si="25"/>
        <v>214980</v>
      </c>
      <c r="AH35" s="167">
        <v>113924</v>
      </c>
      <c r="AI35" s="167">
        <v>32675</v>
      </c>
      <c r="AJ35" s="167">
        <f>9000</f>
        <v>9000</v>
      </c>
      <c r="AK35" s="167">
        <f>10925</f>
        <v>10925</v>
      </c>
      <c r="AL35" s="472">
        <f t="shared" si="27"/>
        <v>166524</v>
      </c>
      <c r="AM35" s="167">
        <f>41900-1500</f>
        <v>40400</v>
      </c>
      <c r="AN35" s="167">
        <f>46038</f>
        <v>46038</v>
      </c>
      <c r="AO35" s="167">
        <f>36900-1500</f>
        <v>35400</v>
      </c>
      <c r="AP35" s="167">
        <f>-33784+23160</f>
        <v>-10624</v>
      </c>
      <c r="AQ35" s="472">
        <f t="shared" si="26"/>
        <v>111214</v>
      </c>
      <c r="AR35" s="167"/>
      <c r="AS35" s="167"/>
      <c r="AT35" s="167">
        <v>0</v>
      </c>
      <c r="AU35" s="167"/>
      <c r="AV35" s="472">
        <f>+SUM(AR35:AU35)</f>
        <v>0</v>
      </c>
      <c r="AW35" s="167"/>
      <c r="AX35" s="167"/>
      <c r="AY35" s="167"/>
      <c r="AZ35" s="167"/>
      <c r="BA35" s="472">
        <f>+SUM(AW35:AZ35)</f>
        <v>0</v>
      </c>
      <c r="BB35" s="167">
        <f>0</f>
        <v>0</v>
      </c>
      <c r="BC35" s="167">
        <f>0</f>
        <v>0</v>
      </c>
      <c r="BD35" s="167">
        <f>0</f>
        <v>0</v>
      </c>
      <c r="BE35" s="167">
        <f>0</f>
        <v>0</v>
      </c>
      <c r="BF35" s="472">
        <f>+SUM(BB35:BE35)</f>
        <v>0</v>
      </c>
      <c r="BG35" s="167">
        <f>69000</f>
        <v>69000</v>
      </c>
      <c r="BH35" s="167">
        <f>51500</f>
        <v>51500</v>
      </c>
      <c r="BI35" s="167">
        <f>458</f>
        <v>458</v>
      </c>
      <c r="BJ35" s="167">
        <v>0</v>
      </c>
      <c r="BK35" s="472">
        <f>+SUM(BG35:BJ35)</f>
        <v>120958</v>
      </c>
      <c r="BL35" s="167">
        <v>0</v>
      </c>
      <c r="BM35" s="167">
        <v>0</v>
      </c>
      <c r="BN35" s="167">
        <v>0</v>
      </c>
      <c r="BO35" s="167">
        <v>0</v>
      </c>
      <c r="BP35" s="472">
        <f>+SUM(BL35:BO35)</f>
        <v>0</v>
      </c>
      <c r="BQ35" s="167">
        <v>0</v>
      </c>
      <c r="BR35" s="167">
        <v>0</v>
      </c>
      <c r="BS35" s="167">
        <v>0</v>
      </c>
      <c r="BT35" s="167">
        <v>0</v>
      </c>
      <c r="BU35" s="472">
        <f>+SUM(BQ35:BT35)</f>
        <v>0</v>
      </c>
    </row>
    <row r="36" spans="2:73" ht="3.6" customHeight="1">
      <c r="B36" s="260"/>
      <c r="C36" s="263"/>
      <c r="D36" s="173" t="s">
        <v>1</v>
      </c>
      <c r="E36" s="173" t="s">
        <v>1</v>
      </c>
      <c r="F36" s="173" t="s">
        <v>1</v>
      </c>
      <c r="G36" s="173" t="s">
        <v>1</v>
      </c>
      <c r="H36" s="473" t="s">
        <v>1</v>
      </c>
      <c r="I36" s="173" t="s">
        <v>1</v>
      </c>
      <c r="J36" s="173" t="s">
        <v>1</v>
      </c>
      <c r="K36" s="173" t="s">
        <v>1</v>
      </c>
      <c r="L36" s="173" t="s">
        <v>1</v>
      </c>
      <c r="M36" s="473" t="s">
        <v>1</v>
      </c>
      <c r="N36" s="173" t="s">
        <v>1</v>
      </c>
      <c r="O36" s="173" t="s">
        <v>1</v>
      </c>
      <c r="P36" s="173" t="s">
        <v>1</v>
      </c>
      <c r="Q36" s="173" t="s">
        <v>1</v>
      </c>
      <c r="R36" s="473" t="s">
        <v>1</v>
      </c>
      <c r="S36" s="173" t="s">
        <v>1</v>
      </c>
      <c r="T36" s="173" t="s">
        <v>1</v>
      </c>
      <c r="U36" s="173" t="s">
        <v>1</v>
      </c>
      <c r="V36" s="173" t="s">
        <v>1</v>
      </c>
      <c r="W36" s="473" t="s">
        <v>1</v>
      </c>
      <c r="X36" s="173" t="s">
        <v>1</v>
      </c>
      <c r="Y36" s="173" t="s">
        <v>1</v>
      </c>
      <c r="Z36" s="173" t="s">
        <v>1</v>
      </c>
      <c r="AA36" s="173" t="s">
        <v>1</v>
      </c>
      <c r="AB36" s="473" t="s">
        <v>1</v>
      </c>
      <c r="AC36" s="173" t="s">
        <v>1</v>
      </c>
      <c r="AD36" s="173" t="s">
        <v>1</v>
      </c>
      <c r="AE36" s="173" t="s">
        <v>1</v>
      </c>
      <c r="AF36" s="173" t="s">
        <v>1</v>
      </c>
      <c r="AG36" s="473" t="s">
        <v>1</v>
      </c>
      <c r="AH36" s="173" t="s">
        <v>1</v>
      </c>
      <c r="AI36" s="173" t="s">
        <v>1</v>
      </c>
      <c r="AJ36" s="173" t="s">
        <v>1</v>
      </c>
      <c r="AK36" s="173" t="s">
        <v>1</v>
      </c>
      <c r="AL36" s="473" t="s">
        <v>1</v>
      </c>
      <c r="AM36" s="173" t="s">
        <v>1</v>
      </c>
      <c r="AN36" s="173" t="s">
        <v>1</v>
      </c>
      <c r="AO36" s="173" t="s">
        <v>1</v>
      </c>
      <c r="AP36" s="173" t="s">
        <v>1</v>
      </c>
      <c r="AQ36" s="473" t="s">
        <v>1</v>
      </c>
      <c r="AR36" s="173" t="s">
        <v>1</v>
      </c>
      <c r="AS36" s="173" t="s">
        <v>1</v>
      </c>
      <c r="AT36" s="173" t="s">
        <v>1</v>
      </c>
      <c r="AU36" s="173" t="s">
        <v>1</v>
      </c>
      <c r="AV36" s="473" t="s">
        <v>1</v>
      </c>
      <c r="AW36" s="173" t="s">
        <v>1</v>
      </c>
      <c r="AX36" s="173" t="s">
        <v>1</v>
      </c>
      <c r="AY36" s="173" t="s">
        <v>1</v>
      </c>
      <c r="AZ36" s="173" t="s">
        <v>1</v>
      </c>
      <c r="BA36" s="473" t="s">
        <v>1</v>
      </c>
      <c r="BB36" s="173" t="s">
        <v>1</v>
      </c>
      <c r="BC36" s="173" t="s">
        <v>1</v>
      </c>
      <c r="BD36" s="173" t="s">
        <v>1</v>
      </c>
      <c r="BE36" s="173" t="s">
        <v>1</v>
      </c>
      <c r="BF36" s="473" t="s">
        <v>1</v>
      </c>
      <c r="BG36" s="173" t="s">
        <v>1</v>
      </c>
      <c r="BH36" s="173" t="s">
        <v>1</v>
      </c>
      <c r="BI36" s="173" t="s">
        <v>1</v>
      </c>
      <c r="BJ36" s="173" t="s">
        <v>1</v>
      </c>
      <c r="BK36" s="473" t="s">
        <v>1</v>
      </c>
      <c r="BL36" s="173" t="s">
        <v>1</v>
      </c>
      <c r="BM36" s="173" t="s">
        <v>1</v>
      </c>
      <c r="BN36" s="173" t="s">
        <v>1</v>
      </c>
      <c r="BO36" s="173" t="s">
        <v>1</v>
      </c>
      <c r="BP36" s="473" t="s">
        <v>1</v>
      </c>
      <c r="BQ36" s="173" t="s">
        <v>1</v>
      </c>
      <c r="BR36" s="173" t="s">
        <v>1</v>
      </c>
      <c r="BS36" s="173" t="s">
        <v>1</v>
      </c>
      <c r="BT36" s="173" t="s">
        <v>1</v>
      </c>
      <c r="BU36" s="473" t="s">
        <v>1</v>
      </c>
    </row>
    <row r="37" spans="2:73" ht="13.15">
      <c r="B37" s="264" t="s">
        <v>499</v>
      </c>
      <c r="C37" s="166"/>
      <c r="D37" s="166"/>
      <c r="E37" s="166"/>
      <c r="F37" s="166"/>
      <c r="G37" s="166"/>
      <c r="H37" s="471">
        <f t="shared" ref="H37:AQ37" si="31">+SUM(H29:H35)</f>
        <v>-7082</v>
      </c>
      <c r="I37" s="166">
        <f t="shared" si="31"/>
        <v>-573</v>
      </c>
      <c r="J37" s="166">
        <f t="shared" si="31"/>
        <v>-3966</v>
      </c>
      <c r="K37" s="166">
        <f t="shared" si="31"/>
        <v>-1644</v>
      </c>
      <c r="L37" s="166">
        <f t="shared" si="31"/>
        <v>-36764</v>
      </c>
      <c r="M37" s="471">
        <f t="shared" si="31"/>
        <v>-42947</v>
      </c>
      <c r="N37" s="166">
        <f t="shared" si="31"/>
        <v>-1092</v>
      </c>
      <c r="O37" s="166">
        <f t="shared" si="31"/>
        <v>-750</v>
      </c>
      <c r="P37" s="166">
        <f t="shared" si="31"/>
        <v>-1465</v>
      </c>
      <c r="Q37" s="166">
        <f t="shared" si="31"/>
        <v>-40168</v>
      </c>
      <c r="R37" s="471">
        <f t="shared" si="31"/>
        <v>-43475</v>
      </c>
      <c r="S37" s="166">
        <f t="shared" si="31"/>
        <v>-7836</v>
      </c>
      <c r="T37" s="166">
        <f t="shared" si="31"/>
        <v>3719</v>
      </c>
      <c r="U37" s="166">
        <f t="shared" si="31"/>
        <v>-12024</v>
      </c>
      <c r="V37" s="166">
        <f t="shared" si="31"/>
        <v>-6280</v>
      </c>
      <c r="W37" s="471">
        <f t="shared" si="31"/>
        <v>-22421</v>
      </c>
      <c r="X37" s="166">
        <f t="shared" si="31"/>
        <v>6762</v>
      </c>
      <c r="Y37" s="166">
        <f t="shared" si="31"/>
        <v>8648</v>
      </c>
      <c r="Z37" s="166">
        <f t="shared" si="31"/>
        <v>-165688</v>
      </c>
      <c r="AA37" s="166">
        <f t="shared" si="31"/>
        <v>-43455</v>
      </c>
      <c r="AB37" s="471">
        <f t="shared" si="31"/>
        <v>-193733</v>
      </c>
      <c r="AC37" s="166">
        <f t="shared" si="31"/>
        <v>-355</v>
      </c>
      <c r="AD37" s="166">
        <f t="shared" si="31"/>
        <v>32740</v>
      </c>
      <c r="AE37" s="166">
        <f t="shared" si="31"/>
        <v>-15652</v>
      </c>
      <c r="AF37" s="166">
        <f t="shared" si="31"/>
        <v>78</v>
      </c>
      <c r="AG37" s="471">
        <f>+SUM(AG29:AG35)</f>
        <v>16811</v>
      </c>
      <c r="AH37" s="166">
        <f t="shared" si="31"/>
        <v>85422</v>
      </c>
      <c r="AI37" s="166">
        <f t="shared" si="31"/>
        <v>-120756</v>
      </c>
      <c r="AJ37" s="166">
        <f t="shared" si="31"/>
        <v>-55135</v>
      </c>
      <c r="AK37" s="166">
        <f t="shared" si="31"/>
        <v>-65818</v>
      </c>
      <c r="AL37" s="471">
        <f t="shared" si="31"/>
        <v>-156287</v>
      </c>
      <c r="AM37" s="166">
        <f t="shared" si="31"/>
        <v>-18444</v>
      </c>
      <c r="AN37" s="166">
        <f t="shared" si="31"/>
        <v>-13722</v>
      </c>
      <c r="AO37" s="166">
        <f>+SUM(AO29:AO35)</f>
        <v>-275721</v>
      </c>
      <c r="AP37" s="166">
        <f t="shared" si="31"/>
        <v>-17491</v>
      </c>
      <c r="AQ37" s="471">
        <f t="shared" si="31"/>
        <v>-325378</v>
      </c>
      <c r="AR37" s="166">
        <f t="shared" ref="AR37:BP37" si="32">+SUM(AR29:AR35)</f>
        <v>-35911</v>
      </c>
      <c r="AS37" s="166">
        <f t="shared" si="32"/>
        <v>21461</v>
      </c>
      <c r="AT37" s="166">
        <f t="shared" si="32"/>
        <v>-20392</v>
      </c>
      <c r="AU37" s="166">
        <f t="shared" si="32"/>
        <v>-5146</v>
      </c>
      <c r="AV37" s="471">
        <f t="shared" si="32"/>
        <v>-39988</v>
      </c>
      <c r="AW37" s="166">
        <f t="shared" si="32"/>
        <v>-10177</v>
      </c>
      <c r="AX37" s="166">
        <f t="shared" si="32"/>
        <v>-52006</v>
      </c>
      <c r="AY37" s="166">
        <f t="shared" si="32"/>
        <v>-83003</v>
      </c>
      <c r="AZ37" s="166">
        <f t="shared" si="32"/>
        <v>-33568</v>
      </c>
      <c r="BA37" s="471">
        <f t="shared" si="32"/>
        <v>-178754</v>
      </c>
      <c r="BB37" s="166">
        <f t="shared" si="32"/>
        <v>-41694</v>
      </c>
      <c r="BC37" s="166">
        <f t="shared" si="32"/>
        <v>6899</v>
      </c>
      <c r="BD37" s="166">
        <f t="shared" si="32"/>
        <v>-64693</v>
      </c>
      <c r="BE37" s="166">
        <f t="shared" si="32"/>
        <v>52966</v>
      </c>
      <c r="BF37" s="471">
        <f t="shared" si="32"/>
        <v>-46522</v>
      </c>
      <c r="BG37" s="166">
        <f t="shared" si="32"/>
        <v>-79213</v>
      </c>
      <c r="BH37" s="166">
        <f t="shared" si="32"/>
        <v>-41317</v>
      </c>
      <c r="BI37" s="166">
        <f t="shared" si="32"/>
        <v>-171652</v>
      </c>
      <c r="BJ37" s="166">
        <f t="shared" si="32"/>
        <v>82743</v>
      </c>
      <c r="BK37" s="471">
        <f t="shared" si="32"/>
        <v>-209439</v>
      </c>
      <c r="BL37" s="166">
        <f t="shared" si="32"/>
        <v>-6201.6972500000002</v>
      </c>
      <c r="BM37" s="166">
        <f t="shared" si="32"/>
        <v>-6211.3378000000002</v>
      </c>
      <c r="BN37" s="166">
        <f t="shared" si="32"/>
        <v>-6224.491</v>
      </c>
      <c r="BO37" s="166">
        <f t="shared" si="32"/>
        <v>-6239.2168000000001</v>
      </c>
      <c r="BP37" s="471">
        <f t="shared" si="32"/>
        <v>-24876.742850000002</v>
      </c>
      <c r="BQ37" s="166">
        <f t="shared" ref="BQ37:BU37" si="33">+SUM(BQ29:BQ35)</f>
        <v>-6237.225915</v>
      </c>
      <c r="BR37" s="166">
        <f t="shared" si="33"/>
        <v>-6247.1260920000004</v>
      </c>
      <c r="BS37" s="166">
        <f t="shared" si="33"/>
        <v>-6258.8518439999998</v>
      </c>
      <c r="BT37" s="166">
        <f t="shared" si="33"/>
        <v>-6273.4519920000002</v>
      </c>
      <c r="BU37" s="471">
        <f t="shared" si="33"/>
        <v>-25016.655843</v>
      </c>
    </row>
    <row r="38" spans="2:73" ht="13.15">
      <c r="B38" s="261"/>
      <c r="C38" s="158"/>
      <c r="D38" s="167"/>
      <c r="E38" s="167"/>
      <c r="F38" s="167"/>
      <c r="G38" s="167"/>
      <c r="H38" s="472"/>
      <c r="I38" s="167"/>
      <c r="J38" s="167"/>
      <c r="K38" s="167"/>
      <c r="L38" s="167"/>
      <c r="M38" s="472"/>
      <c r="N38" s="167"/>
      <c r="O38" s="167"/>
      <c r="P38" s="167"/>
      <c r="Q38" s="167"/>
      <c r="R38" s="472"/>
      <c r="S38" s="167"/>
      <c r="T38" s="167"/>
      <c r="U38" s="167"/>
      <c r="V38" s="167"/>
      <c r="W38" s="472"/>
      <c r="X38" s="167"/>
      <c r="Y38" s="167"/>
      <c r="Z38" s="167"/>
      <c r="AA38" s="167"/>
      <c r="AB38" s="472"/>
      <c r="AC38" s="167"/>
      <c r="AD38" s="167"/>
      <c r="AE38" s="167"/>
      <c r="AF38" s="167"/>
      <c r="AG38" s="472"/>
      <c r="AH38" s="167"/>
      <c r="AI38" s="167"/>
      <c r="AJ38" s="167"/>
      <c r="AK38" s="167"/>
      <c r="AL38" s="472"/>
      <c r="AM38" s="167"/>
      <c r="AN38" s="167"/>
      <c r="AO38" s="167"/>
      <c r="AP38" s="167"/>
      <c r="AQ38" s="472"/>
      <c r="AR38" s="167"/>
      <c r="AS38" s="167"/>
      <c r="AT38" s="167"/>
      <c r="AU38" s="167"/>
      <c r="AV38" s="472"/>
      <c r="AW38" s="167"/>
      <c r="AX38" s="167"/>
      <c r="AY38" s="167"/>
      <c r="AZ38" s="167"/>
      <c r="BA38" s="472"/>
      <c r="BB38" s="167"/>
      <c r="BC38" s="167"/>
      <c r="BD38" s="167"/>
      <c r="BE38" s="167"/>
      <c r="BF38" s="472"/>
      <c r="BG38" s="167"/>
      <c r="BH38" s="167"/>
      <c r="BI38" s="167"/>
      <c r="BJ38" s="167"/>
      <c r="BK38" s="472"/>
      <c r="BL38" s="167"/>
      <c r="BM38" s="167"/>
      <c r="BN38" s="167"/>
      <c r="BO38" s="167"/>
      <c r="BP38" s="472"/>
      <c r="BQ38" s="167"/>
      <c r="BR38" s="167"/>
      <c r="BS38" s="167"/>
      <c r="BT38" s="167"/>
      <c r="BU38" s="472"/>
    </row>
    <row r="39" spans="2:73" ht="13.15">
      <c r="B39" s="158" t="s">
        <v>116</v>
      </c>
      <c r="C39" s="158"/>
      <c r="D39" s="167"/>
      <c r="E39" s="167"/>
      <c r="F39" s="167"/>
      <c r="G39" s="167"/>
      <c r="H39" s="472"/>
      <c r="I39" s="167"/>
      <c r="J39" s="167"/>
      <c r="K39" s="167"/>
      <c r="L39" s="167"/>
      <c r="M39" s="472"/>
      <c r="N39" s="167"/>
      <c r="O39" s="167"/>
      <c r="P39" s="167"/>
      <c r="Q39" s="167"/>
      <c r="R39" s="472"/>
      <c r="S39" s="167"/>
      <c r="T39" s="167"/>
      <c r="U39" s="167"/>
      <c r="V39" s="167"/>
      <c r="W39" s="472"/>
      <c r="X39" s="167"/>
      <c r="Y39" s="167"/>
      <c r="Z39" s="167"/>
      <c r="AA39" s="167"/>
      <c r="AB39" s="472"/>
      <c r="AC39" s="167"/>
      <c r="AD39" s="167"/>
      <c r="AE39" s="167"/>
      <c r="AF39" s="167"/>
      <c r="AG39" s="472"/>
      <c r="AH39" s="167"/>
      <c r="AI39" s="167"/>
      <c r="AJ39" s="167"/>
      <c r="AK39" s="167"/>
      <c r="AL39" s="472"/>
      <c r="AM39" s="167"/>
      <c r="AN39" s="167"/>
      <c r="AO39" s="167"/>
      <c r="AP39" s="167"/>
      <c r="AQ39" s="472"/>
      <c r="AR39" s="167"/>
      <c r="AS39" s="167"/>
      <c r="AT39" s="167"/>
      <c r="AU39" s="167"/>
      <c r="AV39" s="472"/>
      <c r="AW39" s="167"/>
      <c r="AX39" s="167"/>
      <c r="AY39" s="167"/>
      <c r="AZ39" s="167"/>
      <c r="BA39" s="472"/>
      <c r="BB39" s="167"/>
      <c r="BC39" s="167"/>
      <c r="BD39" s="167"/>
      <c r="BE39" s="167"/>
      <c r="BF39" s="472"/>
      <c r="BG39" s="167"/>
      <c r="BH39" s="167"/>
      <c r="BI39" s="167"/>
      <c r="BJ39" s="167"/>
      <c r="BK39" s="472"/>
      <c r="BL39" s="167"/>
      <c r="BM39" s="167"/>
      <c r="BN39" s="167"/>
      <c r="BO39" s="167"/>
      <c r="BP39" s="472"/>
      <c r="BQ39" s="167"/>
      <c r="BR39" s="167"/>
      <c r="BS39" s="167"/>
      <c r="BT39" s="167"/>
      <c r="BU39" s="472"/>
    </row>
    <row r="40" spans="2:73" ht="12.75" hidden="1" outlineLevel="1">
      <c r="B40" s="163" t="s">
        <v>280</v>
      </c>
      <c r="C40" s="155"/>
      <c r="D40" s="167"/>
      <c r="E40" s="167"/>
      <c r="F40" s="167"/>
      <c r="G40" s="167"/>
      <c r="H40" s="472">
        <v>0</v>
      </c>
      <c r="I40" s="167">
        <v>0</v>
      </c>
      <c r="J40" s="167">
        <v>-1526</v>
      </c>
      <c r="K40" s="167">
        <v>114442</v>
      </c>
      <c r="L40" s="167">
        <v>-641</v>
      </c>
      <c r="M40" s="472">
        <v>112275</v>
      </c>
      <c r="N40" s="167">
        <v>0</v>
      </c>
      <c r="O40" s="167">
        <v>0</v>
      </c>
      <c r="P40" s="167">
        <v>0</v>
      </c>
      <c r="Q40" s="167">
        <v>0</v>
      </c>
      <c r="R40" s="472">
        <v>0</v>
      </c>
      <c r="S40" s="167">
        <v>0</v>
      </c>
      <c r="T40" s="167">
        <v>0</v>
      </c>
      <c r="U40" s="167">
        <v>0</v>
      </c>
      <c r="V40" s="167">
        <v>0</v>
      </c>
      <c r="W40" s="472">
        <f t="shared" ref="W40:W57" si="34">+SUM(S40:V40)</f>
        <v>0</v>
      </c>
      <c r="X40" s="167">
        <v>0</v>
      </c>
      <c r="Y40" s="167">
        <v>0</v>
      </c>
      <c r="Z40" s="167">
        <v>0</v>
      </c>
      <c r="AA40" s="167">
        <v>0</v>
      </c>
      <c r="AB40" s="472">
        <f t="shared" ref="AB40:AB57" si="35">+SUM(X40:AA40)</f>
        <v>0</v>
      </c>
      <c r="AC40" s="167">
        <v>0</v>
      </c>
      <c r="AD40" s="167"/>
      <c r="AE40" s="167">
        <v>0</v>
      </c>
      <c r="AF40" s="167"/>
      <c r="AG40" s="472">
        <f t="shared" ref="AG40:AG57" si="36">+SUM(AC40:AF40)</f>
        <v>0</v>
      </c>
      <c r="AH40" s="167"/>
      <c r="AI40" s="167"/>
      <c r="AJ40" s="167"/>
      <c r="AK40" s="167"/>
      <c r="AL40" s="472">
        <f t="shared" ref="AL40:AL57" si="37">+SUM(AH40:AK40)</f>
        <v>0</v>
      </c>
      <c r="AM40" s="167"/>
      <c r="AN40" s="167"/>
      <c r="AO40" s="167"/>
      <c r="AP40" s="167"/>
      <c r="AQ40" s="472">
        <f t="shared" ref="AQ40:AQ57" si="38">+SUM(AM40:AP40)</f>
        <v>0</v>
      </c>
      <c r="AR40" s="167"/>
      <c r="AS40" s="167"/>
      <c r="AT40" s="167"/>
      <c r="AU40" s="167"/>
      <c r="AV40" s="472">
        <f t="shared" ref="AV40:AV57" si="39">+SUM(AR40:AU40)</f>
        <v>0</v>
      </c>
      <c r="AW40" s="167"/>
      <c r="AX40" s="167"/>
      <c r="AY40" s="167"/>
      <c r="AZ40" s="167"/>
      <c r="BA40" s="472">
        <f t="shared" ref="BA40:BA57" si="40">+SUM(AW40:AZ40)</f>
        <v>0</v>
      </c>
      <c r="BB40" s="167"/>
      <c r="BC40" s="167"/>
      <c r="BD40" s="167"/>
      <c r="BE40" s="167"/>
      <c r="BF40" s="472">
        <f t="shared" ref="BF40:BF57" si="41">+SUM(BB40:BE40)</f>
        <v>0</v>
      </c>
      <c r="BG40" s="167"/>
      <c r="BH40" s="167"/>
      <c r="BI40" s="167"/>
      <c r="BJ40" s="167"/>
      <c r="BK40" s="472">
        <f t="shared" ref="BK40:BK57" si="42">+SUM(BG40:BJ40)</f>
        <v>0</v>
      </c>
      <c r="BL40" s="167"/>
      <c r="BM40" s="167"/>
      <c r="BN40" s="167"/>
      <c r="BO40" s="167"/>
      <c r="BP40" s="472">
        <f t="shared" ref="BP40:BP56" si="43">+SUM(BL40:BO40)</f>
        <v>0</v>
      </c>
      <c r="BQ40" s="167"/>
      <c r="BR40" s="167"/>
      <c r="BS40" s="167"/>
      <c r="BT40" s="167"/>
      <c r="BU40" s="472">
        <f t="shared" ref="BU40:BU56" si="44">+SUM(BQ40:BT40)</f>
        <v>0</v>
      </c>
    </row>
    <row r="41" spans="2:73" ht="12.75" hidden="1" outlineLevel="1">
      <c r="B41" s="163" t="s">
        <v>331</v>
      </c>
      <c r="C41" s="155"/>
      <c r="D41" s="167"/>
      <c r="E41" s="167"/>
      <c r="F41" s="167"/>
      <c r="G41" s="167"/>
      <c r="H41" s="472">
        <v>30818</v>
      </c>
      <c r="I41" s="167">
        <v>0</v>
      </c>
      <c r="J41" s="167">
        <v>0</v>
      </c>
      <c r="K41" s="167">
        <v>0</v>
      </c>
      <c r="L41" s="167">
        <v>0</v>
      </c>
      <c r="M41" s="472">
        <v>0</v>
      </c>
      <c r="N41" s="167">
        <v>0</v>
      </c>
      <c r="O41" s="167">
        <v>0</v>
      </c>
      <c r="P41" s="167">
        <v>0</v>
      </c>
      <c r="Q41" s="167">
        <v>0</v>
      </c>
      <c r="R41" s="472">
        <v>0</v>
      </c>
      <c r="S41" s="167">
        <v>0</v>
      </c>
      <c r="T41" s="167">
        <v>0</v>
      </c>
      <c r="U41" s="167">
        <v>0</v>
      </c>
      <c r="V41" s="167">
        <v>0</v>
      </c>
      <c r="W41" s="472">
        <f t="shared" si="34"/>
        <v>0</v>
      </c>
      <c r="X41" s="167">
        <v>0</v>
      </c>
      <c r="Y41" s="167">
        <v>0</v>
      </c>
      <c r="Z41" s="167">
        <v>0</v>
      </c>
      <c r="AA41" s="167">
        <v>0</v>
      </c>
      <c r="AB41" s="472">
        <f t="shared" si="35"/>
        <v>0</v>
      </c>
      <c r="AC41" s="167">
        <v>0</v>
      </c>
      <c r="AD41" s="167"/>
      <c r="AE41" s="167">
        <v>0</v>
      </c>
      <c r="AF41" s="167"/>
      <c r="AG41" s="472">
        <f t="shared" si="36"/>
        <v>0</v>
      </c>
      <c r="AH41" s="167"/>
      <c r="AI41" s="167"/>
      <c r="AJ41" s="167"/>
      <c r="AK41" s="167"/>
      <c r="AL41" s="472">
        <f t="shared" si="37"/>
        <v>0</v>
      </c>
      <c r="AM41" s="167"/>
      <c r="AN41" s="167"/>
      <c r="AO41" s="167"/>
      <c r="AP41" s="167"/>
      <c r="AQ41" s="472">
        <f t="shared" si="38"/>
        <v>0</v>
      </c>
      <c r="AR41" s="167"/>
      <c r="AS41" s="167"/>
      <c r="AT41" s="167"/>
      <c r="AU41" s="167"/>
      <c r="AV41" s="472">
        <f t="shared" si="39"/>
        <v>0</v>
      </c>
      <c r="AW41" s="167"/>
      <c r="AX41" s="167"/>
      <c r="AY41" s="167"/>
      <c r="AZ41" s="167"/>
      <c r="BA41" s="472">
        <f t="shared" si="40"/>
        <v>0</v>
      </c>
      <c r="BB41" s="167"/>
      <c r="BC41" s="167"/>
      <c r="BD41" s="167"/>
      <c r="BE41" s="167"/>
      <c r="BF41" s="472">
        <f t="shared" si="41"/>
        <v>0</v>
      </c>
      <c r="BG41" s="167"/>
      <c r="BH41" s="167"/>
      <c r="BI41" s="167"/>
      <c r="BJ41" s="167"/>
      <c r="BK41" s="472">
        <f t="shared" si="42"/>
        <v>0</v>
      </c>
      <c r="BL41" s="167"/>
      <c r="BM41" s="167"/>
      <c r="BN41" s="167"/>
      <c r="BO41" s="167"/>
      <c r="BP41" s="472">
        <f t="shared" si="43"/>
        <v>0</v>
      </c>
      <c r="BQ41" s="167"/>
      <c r="BR41" s="167"/>
      <c r="BS41" s="167"/>
      <c r="BT41" s="167"/>
      <c r="BU41" s="472">
        <f t="shared" si="44"/>
        <v>0</v>
      </c>
    </row>
    <row r="42" spans="2:73" ht="12.75" collapsed="1">
      <c r="B42" s="163" t="s">
        <v>335</v>
      </c>
      <c r="C42" s="155"/>
      <c r="D42" s="167"/>
      <c r="E42" s="167"/>
      <c r="F42" s="167"/>
      <c r="G42" s="167"/>
      <c r="H42" s="472">
        <v>0</v>
      </c>
      <c r="I42" s="167">
        <v>0</v>
      </c>
      <c r="J42" s="167">
        <v>0</v>
      </c>
      <c r="K42" s="167">
        <v>0</v>
      </c>
      <c r="L42" s="167">
        <v>0</v>
      </c>
      <c r="M42" s="472">
        <v>0</v>
      </c>
      <c r="N42" s="167">
        <v>0</v>
      </c>
      <c r="O42" s="167">
        <v>0</v>
      </c>
      <c r="P42" s="167">
        <v>0</v>
      </c>
      <c r="Q42" s="167">
        <v>0</v>
      </c>
      <c r="R42" s="472">
        <v>0</v>
      </c>
      <c r="S42" s="167">
        <v>0</v>
      </c>
      <c r="T42" s="167">
        <v>0</v>
      </c>
      <c r="U42" s="167">
        <v>0</v>
      </c>
      <c r="V42" s="167">
        <v>0</v>
      </c>
      <c r="W42" s="472">
        <f>+SUM(S42:V42)</f>
        <v>0</v>
      </c>
      <c r="X42" s="167">
        <v>0</v>
      </c>
      <c r="Y42" s="167">
        <v>0</v>
      </c>
      <c r="Z42" s="167">
        <f>223529</f>
        <v>223529</v>
      </c>
      <c r="AA42" s="167">
        <v>-408</v>
      </c>
      <c r="AB42" s="472">
        <f>+SUM(X42:AA42)</f>
        <v>223121</v>
      </c>
      <c r="AC42" s="167">
        <v>0</v>
      </c>
      <c r="AD42" s="167">
        <f>0</f>
        <v>0</v>
      </c>
      <c r="AE42" s="167">
        <v>0</v>
      </c>
      <c r="AF42" s="167">
        <f>0</f>
        <v>0</v>
      </c>
      <c r="AG42" s="472">
        <f t="shared" si="36"/>
        <v>0</v>
      </c>
      <c r="AH42" s="167">
        <f>0</f>
        <v>0</v>
      </c>
      <c r="AI42" s="167">
        <f>223500-27255-248</f>
        <v>195997</v>
      </c>
      <c r="AJ42" s="167">
        <f>-701</f>
        <v>-701</v>
      </c>
      <c r="AK42" s="167">
        <v>0</v>
      </c>
      <c r="AL42" s="472">
        <f t="shared" si="37"/>
        <v>195296</v>
      </c>
      <c r="AM42" s="167">
        <f>587100</f>
        <v>587100</v>
      </c>
      <c r="AN42" s="167">
        <f>-1660</f>
        <v>-1660</v>
      </c>
      <c r="AO42" s="167">
        <f>-416</f>
        <v>-416</v>
      </c>
      <c r="AP42" s="167">
        <v>0</v>
      </c>
      <c r="AQ42" s="472">
        <f t="shared" si="38"/>
        <v>585024</v>
      </c>
      <c r="AR42" s="167">
        <v>0</v>
      </c>
      <c r="AS42" s="167">
        <f>0</f>
        <v>0</v>
      </c>
      <c r="AT42" s="167"/>
      <c r="AU42" s="167"/>
      <c r="AV42" s="472">
        <f t="shared" si="39"/>
        <v>0</v>
      </c>
      <c r="AW42" s="167"/>
      <c r="AX42" s="167"/>
      <c r="AY42" s="167">
        <f>292800</f>
        <v>292800</v>
      </c>
      <c r="AZ42" s="167">
        <f>-709</f>
        <v>-709</v>
      </c>
      <c r="BA42" s="472">
        <f t="shared" si="40"/>
        <v>292091</v>
      </c>
      <c r="BB42" s="167">
        <f>0</f>
        <v>0</v>
      </c>
      <c r="BC42" s="167">
        <f>0</f>
        <v>0</v>
      </c>
      <c r="BD42" s="167">
        <f>0</f>
        <v>0</v>
      </c>
      <c r="BE42" s="167">
        <f>0</f>
        <v>0</v>
      </c>
      <c r="BF42" s="472">
        <f t="shared" si="41"/>
        <v>0</v>
      </c>
      <c r="BG42" s="167">
        <f>0</f>
        <v>0</v>
      </c>
      <c r="BH42" s="167">
        <f>-45992</f>
        <v>-45992</v>
      </c>
      <c r="BI42" s="167">
        <f>-403</f>
        <v>-403</v>
      </c>
      <c r="BJ42" s="167">
        <v>0</v>
      </c>
      <c r="BK42" s="472">
        <f t="shared" si="42"/>
        <v>-46395</v>
      </c>
      <c r="BL42" s="167">
        <f>0</f>
        <v>0</v>
      </c>
      <c r="BM42" s="167">
        <f>0</f>
        <v>0</v>
      </c>
      <c r="BN42" s="167">
        <f>0</f>
        <v>0</v>
      </c>
      <c r="BO42" s="167">
        <f>0</f>
        <v>0</v>
      </c>
      <c r="BP42" s="472">
        <f t="shared" si="43"/>
        <v>0</v>
      </c>
      <c r="BQ42" s="167">
        <f>0</f>
        <v>0</v>
      </c>
      <c r="BR42" s="167">
        <f>0</f>
        <v>0</v>
      </c>
      <c r="BS42" s="167">
        <f>0</f>
        <v>0</v>
      </c>
      <c r="BT42" s="167">
        <f>0</f>
        <v>0</v>
      </c>
      <c r="BU42" s="472">
        <f t="shared" si="44"/>
        <v>0</v>
      </c>
    </row>
    <row r="43" spans="2:73" ht="12.75">
      <c r="B43" s="163" t="s">
        <v>332</v>
      </c>
      <c r="C43" s="155"/>
      <c r="D43" s="167"/>
      <c r="E43" s="167"/>
      <c r="F43" s="167"/>
      <c r="G43" s="167"/>
      <c r="H43" s="472">
        <v>0</v>
      </c>
      <c r="I43" s="167">
        <v>0</v>
      </c>
      <c r="J43" s="167">
        <v>0</v>
      </c>
      <c r="K43" s="167">
        <v>0</v>
      </c>
      <c r="L43" s="167">
        <v>0</v>
      </c>
      <c r="M43" s="472">
        <v>0</v>
      </c>
      <c r="N43" s="167">
        <v>0</v>
      </c>
      <c r="O43" s="167">
        <v>0</v>
      </c>
      <c r="P43" s="167">
        <v>0</v>
      </c>
      <c r="Q43" s="167">
        <v>0</v>
      </c>
      <c r="R43" s="472">
        <v>0</v>
      </c>
      <c r="S43" s="167">
        <v>0</v>
      </c>
      <c r="T43" s="167">
        <v>0</v>
      </c>
      <c r="U43" s="167">
        <v>0</v>
      </c>
      <c r="V43" s="167">
        <v>0</v>
      </c>
      <c r="W43" s="472">
        <f>+SUM(S43:V43)</f>
        <v>0</v>
      </c>
      <c r="X43" s="167">
        <v>0</v>
      </c>
      <c r="Y43" s="167">
        <v>0</v>
      </c>
      <c r="Z43" s="167">
        <f>+-26910</f>
        <v>-26910</v>
      </c>
      <c r="AA43" s="167">
        <v>0</v>
      </c>
      <c r="AB43" s="472">
        <f>+SUM(X43:AA43)</f>
        <v>-26910</v>
      </c>
      <c r="AC43" s="167">
        <v>0</v>
      </c>
      <c r="AD43" s="167">
        <f>0</f>
        <v>0</v>
      </c>
      <c r="AE43" s="167">
        <v>0</v>
      </c>
      <c r="AF43" s="167">
        <f>0</f>
        <v>0</v>
      </c>
      <c r="AG43" s="472">
        <f t="shared" si="36"/>
        <v>0</v>
      </c>
      <c r="AH43" s="167">
        <f>0</f>
        <v>0</v>
      </c>
      <c r="AI43" s="167">
        <f>0</f>
        <v>0</v>
      </c>
      <c r="AJ43" s="167">
        <f>0</f>
        <v>0</v>
      </c>
      <c r="AK43" s="167">
        <f>0</f>
        <v>0</v>
      </c>
      <c r="AL43" s="472">
        <f t="shared" si="37"/>
        <v>0</v>
      </c>
      <c r="AM43" s="167">
        <f>-76020</f>
        <v>-76020</v>
      </c>
      <c r="AN43" s="167">
        <f>-2002</f>
        <v>-2002</v>
      </c>
      <c r="AO43" s="167">
        <v>0</v>
      </c>
      <c r="AP43" s="167">
        <v>0</v>
      </c>
      <c r="AQ43" s="472">
        <f t="shared" si="38"/>
        <v>-78022</v>
      </c>
      <c r="AR43" s="167"/>
      <c r="AS43" s="167">
        <v>0</v>
      </c>
      <c r="AT43" s="167"/>
      <c r="AU43" s="167"/>
      <c r="AV43" s="472">
        <f t="shared" si="39"/>
        <v>0</v>
      </c>
      <c r="AW43" s="167"/>
      <c r="AX43" s="167"/>
      <c r="AY43" s="167">
        <f>-36570</f>
        <v>-36570</v>
      </c>
      <c r="AZ43" s="167"/>
      <c r="BA43" s="472">
        <f t="shared" si="40"/>
        <v>-36570</v>
      </c>
      <c r="BB43" s="167">
        <f>0</f>
        <v>0</v>
      </c>
      <c r="BC43" s="167">
        <f>0</f>
        <v>0</v>
      </c>
      <c r="BD43" s="167">
        <f>0</f>
        <v>0</v>
      </c>
      <c r="BE43" s="167">
        <f>0</f>
        <v>0</v>
      </c>
      <c r="BF43" s="472">
        <f t="shared" si="41"/>
        <v>0</v>
      </c>
      <c r="BG43" s="167">
        <f>0</f>
        <v>0</v>
      </c>
      <c r="BH43" s="167">
        <v>0</v>
      </c>
      <c r="BI43" s="167">
        <f>0</f>
        <v>0</v>
      </c>
      <c r="BJ43" s="167">
        <v>0</v>
      </c>
      <c r="BK43" s="472">
        <f t="shared" si="42"/>
        <v>0</v>
      </c>
      <c r="BL43" s="167">
        <f>0</f>
        <v>0</v>
      </c>
      <c r="BM43" s="167">
        <f>0</f>
        <v>0</v>
      </c>
      <c r="BN43" s="167">
        <f>0</f>
        <v>0</v>
      </c>
      <c r="BO43" s="167">
        <f>0</f>
        <v>0</v>
      </c>
      <c r="BP43" s="472">
        <f t="shared" si="43"/>
        <v>0</v>
      </c>
      <c r="BQ43" s="167">
        <f>0</f>
        <v>0</v>
      </c>
      <c r="BR43" s="167">
        <f>0</f>
        <v>0</v>
      </c>
      <c r="BS43" s="167">
        <f>0</f>
        <v>0</v>
      </c>
      <c r="BT43" s="167">
        <f>0</f>
        <v>0</v>
      </c>
      <c r="BU43" s="472">
        <f t="shared" si="44"/>
        <v>0</v>
      </c>
    </row>
    <row r="44" spans="2:73" ht="12.75" hidden="1" outlineLevel="1">
      <c r="B44" s="163" t="s">
        <v>319</v>
      </c>
      <c r="C44" s="155"/>
      <c r="D44" s="167"/>
      <c r="E44" s="167"/>
      <c r="F44" s="167"/>
      <c r="G44" s="167"/>
      <c r="H44" s="472">
        <v>0</v>
      </c>
      <c r="I44" s="167">
        <v>0</v>
      </c>
      <c r="J44" s="167">
        <v>0</v>
      </c>
      <c r="K44" s="167">
        <v>0</v>
      </c>
      <c r="L44" s="167">
        <v>0</v>
      </c>
      <c r="M44" s="472">
        <v>0</v>
      </c>
      <c r="N44" s="167">
        <v>0</v>
      </c>
      <c r="O44" s="167">
        <v>0</v>
      </c>
      <c r="P44" s="167">
        <v>0</v>
      </c>
      <c r="Q44" s="167">
        <v>0</v>
      </c>
      <c r="R44" s="472">
        <v>0</v>
      </c>
      <c r="S44" s="167">
        <v>0</v>
      </c>
      <c r="T44" s="167">
        <v>0</v>
      </c>
      <c r="U44" s="167">
        <v>0</v>
      </c>
      <c r="V44" s="167">
        <v>0</v>
      </c>
      <c r="W44" s="472">
        <f>+SUM(S44:V44)</f>
        <v>0</v>
      </c>
      <c r="X44" s="167">
        <v>31231</v>
      </c>
      <c r="Y44" s="167">
        <v>-324</v>
      </c>
      <c r="Z44" s="167">
        <v>0</v>
      </c>
      <c r="AA44" s="167">
        <v>0</v>
      </c>
      <c r="AB44" s="472">
        <f>+SUM(X44:AA44)</f>
        <v>30907</v>
      </c>
      <c r="AC44" s="167">
        <v>0</v>
      </c>
      <c r="AD44" s="167">
        <f>0</f>
        <v>0</v>
      </c>
      <c r="AE44" s="167">
        <v>0</v>
      </c>
      <c r="AF44" s="167">
        <f>0</f>
        <v>0</v>
      </c>
      <c r="AG44" s="472">
        <f t="shared" si="36"/>
        <v>0</v>
      </c>
      <c r="AH44" s="167">
        <f>0</f>
        <v>0</v>
      </c>
      <c r="AI44" s="167">
        <f>0</f>
        <v>0</v>
      </c>
      <c r="AJ44" s="167">
        <f>0</f>
        <v>0</v>
      </c>
      <c r="AK44" s="167">
        <f>0</f>
        <v>0</v>
      </c>
      <c r="AL44" s="472">
        <f t="shared" si="37"/>
        <v>0</v>
      </c>
      <c r="AM44" s="167">
        <f>0</f>
        <v>0</v>
      </c>
      <c r="AN44" s="167"/>
      <c r="AO44" s="167">
        <v>0</v>
      </c>
      <c r="AP44" s="167"/>
      <c r="AQ44" s="472">
        <f t="shared" si="38"/>
        <v>0</v>
      </c>
      <c r="AR44" s="167"/>
      <c r="AS44" s="167"/>
      <c r="AT44" s="167"/>
      <c r="AU44" s="167"/>
      <c r="AV44" s="472">
        <f t="shared" si="39"/>
        <v>0</v>
      </c>
      <c r="AW44" s="167"/>
      <c r="AX44" s="167"/>
      <c r="AY44" s="167"/>
      <c r="AZ44" s="167"/>
      <c r="BA44" s="472">
        <f t="shared" si="40"/>
        <v>0</v>
      </c>
      <c r="BB44" s="167"/>
      <c r="BC44" s="167"/>
      <c r="BD44" s="167"/>
      <c r="BE44" s="167"/>
      <c r="BF44" s="472">
        <f t="shared" si="41"/>
        <v>0</v>
      </c>
      <c r="BG44" s="167"/>
      <c r="BH44" s="167"/>
      <c r="BI44" s="167">
        <f>0</f>
        <v>0</v>
      </c>
      <c r="BJ44" s="167"/>
      <c r="BK44" s="472">
        <f t="shared" si="42"/>
        <v>0</v>
      </c>
      <c r="BL44" s="167">
        <f>0</f>
        <v>0</v>
      </c>
      <c r="BM44" s="167">
        <f>0</f>
        <v>0</v>
      </c>
      <c r="BN44" s="167">
        <f>0</f>
        <v>0</v>
      </c>
      <c r="BO44" s="167">
        <f>0</f>
        <v>0</v>
      </c>
      <c r="BP44" s="472">
        <f t="shared" si="43"/>
        <v>0</v>
      </c>
      <c r="BQ44" s="167">
        <f>0</f>
        <v>0</v>
      </c>
      <c r="BR44" s="167">
        <f>0</f>
        <v>0</v>
      </c>
      <c r="BS44" s="167">
        <f>0</f>
        <v>0</v>
      </c>
      <c r="BT44" s="167">
        <f>0</f>
        <v>0</v>
      </c>
      <c r="BU44" s="472">
        <f t="shared" si="44"/>
        <v>0</v>
      </c>
    </row>
    <row r="45" spans="2:73" ht="12.75" hidden="1" outlineLevel="1">
      <c r="B45" s="163" t="s">
        <v>281</v>
      </c>
      <c r="C45" s="155"/>
      <c r="D45" s="167"/>
      <c r="E45" s="167"/>
      <c r="F45" s="167"/>
      <c r="G45" s="167"/>
      <c r="H45" s="472">
        <v>0</v>
      </c>
      <c r="I45" s="167">
        <v>0</v>
      </c>
      <c r="J45" s="167">
        <v>0</v>
      </c>
      <c r="K45" s="167">
        <v>-18540</v>
      </c>
      <c r="L45" s="167">
        <v>0</v>
      </c>
      <c r="M45" s="472">
        <v>-18540</v>
      </c>
      <c r="N45" s="167">
        <v>0</v>
      </c>
      <c r="O45" s="167">
        <v>0</v>
      </c>
      <c r="P45" s="167">
        <v>0</v>
      </c>
      <c r="Q45" s="167">
        <v>0</v>
      </c>
      <c r="R45" s="472">
        <v>0</v>
      </c>
      <c r="S45" s="167">
        <v>0</v>
      </c>
      <c r="T45" s="167">
        <v>0</v>
      </c>
      <c r="U45" s="167">
        <v>0</v>
      </c>
      <c r="V45" s="167">
        <v>0</v>
      </c>
      <c r="W45" s="472">
        <f t="shared" si="34"/>
        <v>0</v>
      </c>
      <c r="X45" s="167">
        <v>0</v>
      </c>
      <c r="Y45" s="167">
        <v>0</v>
      </c>
      <c r="Z45" s="167">
        <v>0</v>
      </c>
      <c r="AA45" s="167">
        <v>0</v>
      </c>
      <c r="AB45" s="472">
        <f t="shared" si="35"/>
        <v>0</v>
      </c>
      <c r="AC45" s="167">
        <v>0</v>
      </c>
      <c r="AD45" s="167">
        <f>0</f>
        <v>0</v>
      </c>
      <c r="AE45" s="167">
        <v>0</v>
      </c>
      <c r="AF45" s="167">
        <f>0</f>
        <v>0</v>
      </c>
      <c r="AG45" s="472">
        <f t="shared" si="36"/>
        <v>0</v>
      </c>
      <c r="AH45" s="167">
        <f>0</f>
        <v>0</v>
      </c>
      <c r="AI45" s="167">
        <f>0</f>
        <v>0</v>
      </c>
      <c r="AJ45" s="167"/>
      <c r="AK45" s="167"/>
      <c r="AL45" s="472">
        <f t="shared" si="37"/>
        <v>0</v>
      </c>
      <c r="AM45" s="167"/>
      <c r="AN45" s="167"/>
      <c r="AO45" s="167"/>
      <c r="AP45" s="167"/>
      <c r="AQ45" s="472">
        <f t="shared" si="38"/>
        <v>0</v>
      </c>
      <c r="AR45" s="167"/>
      <c r="AS45" s="167"/>
      <c r="AT45" s="167"/>
      <c r="AU45" s="167"/>
      <c r="AV45" s="472">
        <f t="shared" si="39"/>
        <v>0</v>
      </c>
      <c r="AW45" s="167"/>
      <c r="AX45" s="167"/>
      <c r="AY45" s="167">
        <f>-199998</f>
        <v>-199998</v>
      </c>
      <c r="AZ45" s="167"/>
      <c r="BA45" s="472">
        <f t="shared" si="40"/>
        <v>-199998</v>
      </c>
      <c r="BB45" s="167"/>
      <c r="BC45" s="167"/>
      <c r="BD45" s="167"/>
      <c r="BE45" s="167"/>
      <c r="BF45" s="472">
        <f t="shared" si="41"/>
        <v>0</v>
      </c>
      <c r="BG45" s="167"/>
      <c r="BH45" s="167"/>
      <c r="BI45" s="167">
        <f>0</f>
        <v>0</v>
      </c>
      <c r="BJ45" s="167"/>
      <c r="BK45" s="472">
        <f t="shared" si="42"/>
        <v>0</v>
      </c>
      <c r="BL45" s="167">
        <f>0</f>
        <v>0</v>
      </c>
      <c r="BM45" s="167">
        <f>0</f>
        <v>0</v>
      </c>
      <c r="BN45" s="167">
        <f>0</f>
        <v>0</v>
      </c>
      <c r="BO45" s="167">
        <f>0</f>
        <v>0</v>
      </c>
      <c r="BP45" s="472">
        <f t="shared" si="43"/>
        <v>0</v>
      </c>
      <c r="BQ45" s="167">
        <f>0</f>
        <v>0</v>
      </c>
      <c r="BR45" s="167">
        <f>0</f>
        <v>0</v>
      </c>
      <c r="BS45" s="167">
        <f>0</f>
        <v>0</v>
      </c>
      <c r="BT45" s="167">
        <f>0</f>
        <v>0</v>
      </c>
      <c r="BU45" s="472">
        <f t="shared" si="44"/>
        <v>0</v>
      </c>
    </row>
    <row r="46" spans="2:73" ht="12.75" hidden="1" outlineLevel="1">
      <c r="B46" s="163" t="s">
        <v>282</v>
      </c>
      <c r="C46" s="155"/>
      <c r="D46" s="167"/>
      <c r="E46" s="167"/>
      <c r="F46" s="167"/>
      <c r="G46" s="167"/>
      <c r="H46" s="472">
        <v>0</v>
      </c>
      <c r="I46" s="167">
        <v>0</v>
      </c>
      <c r="J46" s="167">
        <v>0</v>
      </c>
      <c r="K46" s="167">
        <v>0</v>
      </c>
      <c r="L46" s="167">
        <v>0</v>
      </c>
      <c r="M46" s="472">
        <v>0</v>
      </c>
      <c r="N46" s="167">
        <v>0</v>
      </c>
      <c r="O46" s="167">
        <v>0</v>
      </c>
      <c r="P46" s="167">
        <v>0</v>
      </c>
      <c r="Q46" s="167">
        <v>0</v>
      </c>
      <c r="R46" s="472">
        <v>0</v>
      </c>
      <c r="S46" s="167">
        <v>0</v>
      </c>
      <c r="T46" s="167">
        <v>0</v>
      </c>
      <c r="U46" s="167">
        <v>0</v>
      </c>
      <c r="V46" s="167">
        <v>0</v>
      </c>
      <c r="W46" s="472">
        <f t="shared" si="34"/>
        <v>0</v>
      </c>
      <c r="X46" s="167">
        <v>0</v>
      </c>
      <c r="Y46" s="167">
        <v>0</v>
      </c>
      <c r="Z46" s="167">
        <v>0</v>
      </c>
      <c r="AA46" s="167">
        <v>0</v>
      </c>
      <c r="AB46" s="472">
        <f t="shared" si="35"/>
        <v>0</v>
      </c>
      <c r="AC46" s="167">
        <v>0</v>
      </c>
      <c r="AD46" s="167">
        <f>0</f>
        <v>0</v>
      </c>
      <c r="AE46" s="167">
        <v>0</v>
      </c>
      <c r="AF46" s="167">
        <f>0</f>
        <v>0</v>
      </c>
      <c r="AG46" s="472">
        <f t="shared" si="36"/>
        <v>0</v>
      </c>
      <c r="AH46" s="167">
        <f>0</f>
        <v>0</v>
      </c>
      <c r="AI46" s="167">
        <f>0</f>
        <v>0</v>
      </c>
      <c r="AJ46" s="167"/>
      <c r="AK46" s="167"/>
      <c r="AL46" s="472">
        <f t="shared" si="37"/>
        <v>0</v>
      </c>
      <c r="AM46" s="167"/>
      <c r="AN46" s="167"/>
      <c r="AO46" s="167"/>
      <c r="AP46" s="167"/>
      <c r="AQ46" s="472">
        <f t="shared" si="38"/>
        <v>0</v>
      </c>
      <c r="AR46" s="167"/>
      <c r="AS46" s="167"/>
      <c r="AT46" s="167"/>
      <c r="AU46" s="167"/>
      <c r="AV46" s="472">
        <f t="shared" si="39"/>
        <v>0</v>
      </c>
      <c r="AW46" s="167"/>
      <c r="AX46" s="167"/>
      <c r="AY46" s="167"/>
      <c r="AZ46" s="167"/>
      <c r="BA46" s="472">
        <f t="shared" si="40"/>
        <v>0</v>
      </c>
      <c r="BB46" s="167"/>
      <c r="BC46" s="167"/>
      <c r="BD46" s="167"/>
      <c r="BE46" s="167"/>
      <c r="BF46" s="472">
        <f t="shared" si="41"/>
        <v>0</v>
      </c>
      <c r="BG46" s="167"/>
      <c r="BH46" s="167"/>
      <c r="BI46" s="167">
        <f>0</f>
        <v>0</v>
      </c>
      <c r="BJ46" s="167"/>
      <c r="BK46" s="472">
        <f t="shared" si="42"/>
        <v>0</v>
      </c>
      <c r="BL46" s="167">
        <f>0</f>
        <v>0</v>
      </c>
      <c r="BM46" s="167">
        <f>0</f>
        <v>0</v>
      </c>
      <c r="BN46" s="167">
        <f>0</f>
        <v>0</v>
      </c>
      <c r="BO46" s="167">
        <f>0</f>
        <v>0</v>
      </c>
      <c r="BP46" s="472">
        <f t="shared" si="43"/>
        <v>0</v>
      </c>
      <c r="BQ46" s="167">
        <f>0</f>
        <v>0</v>
      </c>
      <c r="BR46" s="167">
        <f>0</f>
        <v>0</v>
      </c>
      <c r="BS46" s="167">
        <f>0</f>
        <v>0</v>
      </c>
      <c r="BT46" s="167">
        <f>0</f>
        <v>0</v>
      </c>
      <c r="BU46" s="472">
        <f t="shared" si="44"/>
        <v>0</v>
      </c>
    </row>
    <row r="47" spans="2:73" ht="12.75" hidden="1" outlineLevel="1">
      <c r="B47" s="163" t="s">
        <v>283</v>
      </c>
      <c r="C47" s="155"/>
      <c r="D47" s="167"/>
      <c r="E47" s="167"/>
      <c r="F47" s="167"/>
      <c r="G47" s="167"/>
      <c r="H47" s="472">
        <v>0</v>
      </c>
      <c r="I47" s="167">
        <v>0</v>
      </c>
      <c r="J47" s="167">
        <v>0</v>
      </c>
      <c r="K47" s="167">
        <v>0</v>
      </c>
      <c r="L47" s="167">
        <v>0</v>
      </c>
      <c r="M47" s="472">
        <v>0</v>
      </c>
      <c r="N47" s="167">
        <v>0</v>
      </c>
      <c r="O47" s="167">
        <v>0</v>
      </c>
      <c r="P47" s="167">
        <v>0</v>
      </c>
      <c r="Q47" s="167">
        <v>0</v>
      </c>
      <c r="R47" s="472">
        <v>0</v>
      </c>
      <c r="S47" s="167">
        <v>0</v>
      </c>
      <c r="T47" s="167">
        <v>0</v>
      </c>
      <c r="U47" s="167">
        <v>0</v>
      </c>
      <c r="V47" s="167">
        <v>0</v>
      </c>
      <c r="W47" s="472">
        <f t="shared" si="34"/>
        <v>0</v>
      </c>
      <c r="X47" s="167">
        <v>0</v>
      </c>
      <c r="Y47" s="167">
        <v>0</v>
      </c>
      <c r="Z47" s="167">
        <v>0</v>
      </c>
      <c r="AA47" s="167">
        <v>0</v>
      </c>
      <c r="AB47" s="472">
        <f t="shared" si="35"/>
        <v>0</v>
      </c>
      <c r="AC47" s="167">
        <v>0</v>
      </c>
      <c r="AD47" s="167">
        <f>0</f>
        <v>0</v>
      </c>
      <c r="AE47" s="167">
        <v>0</v>
      </c>
      <c r="AF47" s="167">
        <f>0</f>
        <v>0</v>
      </c>
      <c r="AG47" s="472">
        <f t="shared" si="36"/>
        <v>0</v>
      </c>
      <c r="AH47" s="167">
        <f>0</f>
        <v>0</v>
      </c>
      <c r="AI47" s="167">
        <f>0</f>
        <v>0</v>
      </c>
      <c r="AJ47" s="167"/>
      <c r="AK47" s="167"/>
      <c r="AL47" s="472">
        <f t="shared" si="37"/>
        <v>0</v>
      </c>
      <c r="AM47" s="167"/>
      <c r="AN47" s="167"/>
      <c r="AO47" s="167"/>
      <c r="AP47" s="167"/>
      <c r="AQ47" s="472">
        <f t="shared" si="38"/>
        <v>0</v>
      </c>
      <c r="AR47" s="167"/>
      <c r="AS47" s="167"/>
      <c r="AT47" s="167"/>
      <c r="AU47" s="167"/>
      <c r="AV47" s="472">
        <f t="shared" si="39"/>
        <v>0</v>
      </c>
      <c r="AW47" s="167"/>
      <c r="AX47" s="167"/>
      <c r="AY47" s="167"/>
      <c r="AZ47" s="167"/>
      <c r="BA47" s="472">
        <f t="shared" si="40"/>
        <v>0</v>
      </c>
      <c r="BB47" s="167"/>
      <c r="BC47" s="167"/>
      <c r="BD47" s="167"/>
      <c r="BE47" s="167"/>
      <c r="BF47" s="472">
        <f t="shared" si="41"/>
        <v>0</v>
      </c>
      <c r="BG47" s="167"/>
      <c r="BH47" s="167"/>
      <c r="BI47" s="167">
        <f>0</f>
        <v>0</v>
      </c>
      <c r="BJ47" s="167"/>
      <c r="BK47" s="472">
        <f t="shared" si="42"/>
        <v>0</v>
      </c>
      <c r="BL47" s="167">
        <f>0</f>
        <v>0</v>
      </c>
      <c r="BM47" s="167">
        <f>0</f>
        <v>0</v>
      </c>
      <c r="BN47" s="167">
        <f>0</f>
        <v>0</v>
      </c>
      <c r="BO47" s="167">
        <f>0</f>
        <v>0</v>
      </c>
      <c r="BP47" s="472">
        <f t="shared" si="43"/>
        <v>0</v>
      </c>
      <c r="BQ47" s="167">
        <f>0</f>
        <v>0</v>
      </c>
      <c r="BR47" s="167">
        <f>0</f>
        <v>0</v>
      </c>
      <c r="BS47" s="167">
        <f>0</f>
        <v>0</v>
      </c>
      <c r="BT47" s="167">
        <f>0</f>
        <v>0</v>
      </c>
      <c r="BU47" s="472">
        <f t="shared" si="44"/>
        <v>0</v>
      </c>
    </row>
    <row r="48" spans="2:73" ht="12.75" collapsed="1">
      <c r="B48" s="163" t="s">
        <v>401</v>
      </c>
      <c r="C48" s="155"/>
      <c r="D48" s="167"/>
      <c r="E48" s="167"/>
      <c r="F48" s="167"/>
      <c r="G48" s="167"/>
      <c r="H48" s="472">
        <v>0</v>
      </c>
      <c r="I48" s="167">
        <v>0</v>
      </c>
      <c r="J48" s="167">
        <v>0</v>
      </c>
      <c r="K48" s="167">
        <v>0</v>
      </c>
      <c r="L48" s="167">
        <v>0</v>
      </c>
      <c r="M48" s="472">
        <v>0</v>
      </c>
      <c r="N48" s="167">
        <v>0</v>
      </c>
      <c r="O48" s="167">
        <v>0</v>
      </c>
      <c r="P48" s="167">
        <v>0</v>
      </c>
      <c r="Q48" s="167">
        <v>-1392</v>
      </c>
      <c r="R48" s="472">
        <v>-1392</v>
      </c>
      <c r="S48" s="167">
        <v>0</v>
      </c>
      <c r="T48" s="167">
        <v>-796</v>
      </c>
      <c r="U48" s="167">
        <v>0</v>
      </c>
      <c r="V48" s="167">
        <v>0</v>
      </c>
      <c r="W48" s="472">
        <f t="shared" si="34"/>
        <v>-796</v>
      </c>
      <c r="X48" s="167">
        <v>0</v>
      </c>
      <c r="Y48" s="167">
        <v>0</v>
      </c>
      <c r="Z48" s="167">
        <v>0</v>
      </c>
      <c r="AA48" s="167">
        <v>0</v>
      </c>
      <c r="AB48" s="472">
        <f t="shared" si="35"/>
        <v>0</v>
      </c>
      <c r="AC48" s="167">
        <v>0</v>
      </c>
      <c r="AD48" s="167">
        <f>0</f>
        <v>0</v>
      </c>
      <c r="AE48" s="167">
        <v>0</v>
      </c>
      <c r="AF48" s="167">
        <f>0</f>
        <v>0</v>
      </c>
      <c r="AG48" s="472">
        <f t="shared" si="36"/>
        <v>0</v>
      </c>
      <c r="AH48" s="167">
        <f>0</f>
        <v>0</v>
      </c>
      <c r="AI48" s="167">
        <f>0</f>
        <v>0</v>
      </c>
      <c r="AJ48" s="167">
        <f>-150</f>
        <v>-150</v>
      </c>
      <c r="AK48" s="167">
        <v>0</v>
      </c>
      <c r="AL48" s="472">
        <f t="shared" si="37"/>
        <v>-150</v>
      </c>
      <c r="AM48" s="167">
        <f>-2431</f>
        <v>-2431</v>
      </c>
      <c r="AN48" s="167"/>
      <c r="AO48" s="167">
        <f>-9687</f>
        <v>-9687</v>
      </c>
      <c r="AP48" s="167"/>
      <c r="AQ48" s="472">
        <f t="shared" si="38"/>
        <v>-12118</v>
      </c>
      <c r="AR48" s="167"/>
      <c r="AS48" s="167">
        <f>-300</f>
        <v>-300</v>
      </c>
      <c r="AT48" s="167"/>
      <c r="AU48" s="167"/>
      <c r="AV48" s="472">
        <f t="shared" si="39"/>
        <v>-300</v>
      </c>
      <c r="AW48" s="167">
        <f>-2250</f>
        <v>-2250</v>
      </c>
      <c r="AX48" s="167"/>
      <c r="AY48" s="167"/>
      <c r="AZ48" s="167"/>
      <c r="BA48" s="472">
        <f t="shared" si="40"/>
        <v>-2250</v>
      </c>
      <c r="BB48" s="167">
        <f>0</f>
        <v>0</v>
      </c>
      <c r="BC48" s="167">
        <f>0</f>
        <v>0</v>
      </c>
      <c r="BD48" s="167">
        <f>0</f>
        <v>0</v>
      </c>
      <c r="BE48" s="167">
        <f>-500</f>
        <v>-500</v>
      </c>
      <c r="BF48" s="472">
        <f t="shared" si="41"/>
        <v>-500</v>
      </c>
      <c r="BG48" s="167">
        <f>0</f>
        <v>0</v>
      </c>
      <c r="BH48" s="167">
        <v>0</v>
      </c>
      <c r="BI48" s="167">
        <f>0</f>
        <v>0</v>
      </c>
      <c r="BJ48" s="167">
        <f>-4091</f>
        <v>-4091</v>
      </c>
      <c r="BK48" s="472">
        <f t="shared" si="42"/>
        <v>-4091</v>
      </c>
      <c r="BL48" s="167">
        <f>0</f>
        <v>0</v>
      </c>
      <c r="BM48" s="167">
        <f>0</f>
        <v>0</v>
      </c>
      <c r="BN48" s="167">
        <f>0</f>
        <v>0</v>
      </c>
      <c r="BO48" s="167">
        <f>0</f>
        <v>0</v>
      </c>
      <c r="BP48" s="472">
        <f t="shared" si="43"/>
        <v>0</v>
      </c>
      <c r="BQ48" s="167">
        <f>0</f>
        <v>0</v>
      </c>
      <c r="BR48" s="167">
        <f>0</f>
        <v>0</v>
      </c>
      <c r="BS48" s="167">
        <f>0</f>
        <v>0</v>
      </c>
      <c r="BT48" s="167">
        <f>0</f>
        <v>0</v>
      </c>
      <c r="BU48" s="472">
        <f t="shared" si="44"/>
        <v>0</v>
      </c>
    </row>
    <row r="49" spans="2:73" ht="12.75" hidden="1" outlineLevel="1">
      <c r="B49" s="163" t="s">
        <v>284</v>
      </c>
      <c r="C49" s="155"/>
      <c r="D49" s="167"/>
      <c r="E49" s="167"/>
      <c r="F49" s="167"/>
      <c r="G49" s="167"/>
      <c r="H49" s="472">
        <v>-856</v>
      </c>
      <c r="I49" s="167">
        <v>0</v>
      </c>
      <c r="J49" s="167">
        <v>0</v>
      </c>
      <c r="K49" s="167">
        <v>0</v>
      </c>
      <c r="L49" s="167">
        <v>0</v>
      </c>
      <c r="M49" s="472">
        <v>0</v>
      </c>
      <c r="N49" s="167">
        <v>0</v>
      </c>
      <c r="O49" s="167">
        <v>0</v>
      </c>
      <c r="P49" s="167">
        <v>0</v>
      </c>
      <c r="Q49" s="167">
        <v>0</v>
      </c>
      <c r="R49" s="472">
        <v>0</v>
      </c>
      <c r="S49" s="167">
        <v>0</v>
      </c>
      <c r="T49" s="167">
        <v>0</v>
      </c>
      <c r="U49" s="167">
        <v>0</v>
      </c>
      <c r="V49" s="167">
        <v>0</v>
      </c>
      <c r="W49" s="472">
        <f t="shared" si="34"/>
        <v>0</v>
      </c>
      <c r="X49" s="167">
        <v>0</v>
      </c>
      <c r="Y49" s="167">
        <v>0</v>
      </c>
      <c r="Z49" s="167">
        <v>0</v>
      </c>
      <c r="AA49" s="167">
        <v>0</v>
      </c>
      <c r="AB49" s="472">
        <f t="shared" si="35"/>
        <v>0</v>
      </c>
      <c r="AC49" s="167">
        <v>0</v>
      </c>
      <c r="AD49" s="167">
        <f>0</f>
        <v>0</v>
      </c>
      <c r="AE49" s="167">
        <v>0</v>
      </c>
      <c r="AF49" s="167">
        <f>0</f>
        <v>0</v>
      </c>
      <c r="AG49" s="472">
        <f t="shared" si="36"/>
        <v>0</v>
      </c>
      <c r="AH49" s="167">
        <f>0</f>
        <v>0</v>
      </c>
      <c r="AI49" s="167">
        <f>0</f>
        <v>0</v>
      </c>
      <c r="AJ49" s="167"/>
      <c r="AK49" s="167"/>
      <c r="AL49" s="472">
        <f t="shared" si="37"/>
        <v>0</v>
      </c>
      <c r="AM49" s="167"/>
      <c r="AN49" s="167"/>
      <c r="AO49" s="167"/>
      <c r="AP49" s="167"/>
      <c r="AQ49" s="472">
        <f t="shared" si="38"/>
        <v>0</v>
      </c>
      <c r="AR49" s="167"/>
      <c r="AS49" s="167"/>
      <c r="AT49" s="167"/>
      <c r="AU49" s="167"/>
      <c r="AV49" s="472">
        <f t="shared" si="39"/>
        <v>0</v>
      </c>
      <c r="AW49" s="167"/>
      <c r="AX49" s="167"/>
      <c r="AY49" s="167"/>
      <c r="AZ49" s="167"/>
      <c r="BA49" s="472">
        <f t="shared" si="40"/>
        <v>0</v>
      </c>
      <c r="BB49" s="167"/>
      <c r="BC49" s="167"/>
      <c r="BD49" s="167"/>
      <c r="BE49" s="167"/>
      <c r="BF49" s="472">
        <f t="shared" si="41"/>
        <v>0</v>
      </c>
      <c r="BG49" s="167"/>
      <c r="BH49" s="167"/>
      <c r="BI49" s="167">
        <f>0</f>
        <v>0</v>
      </c>
      <c r="BJ49" s="167"/>
      <c r="BK49" s="472">
        <f t="shared" si="42"/>
        <v>0</v>
      </c>
      <c r="BL49" s="167">
        <f>0</f>
        <v>0</v>
      </c>
      <c r="BM49" s="167">
        <f>0</f>
        <v>0</v>
      </c>
      <c r="BN49" s="167">
        <f>0</f>
        <v>0</v>
      </c>
      <c r="BO49" s="167">
        <f>0</f>
        <v>0</v>
      </c>
      <c r="BP49" s="472">
        <f t="shared" si="43"/>
        <v>0</v>
      </c>
      <c r="BQ49" s="167">
        <f>0</f>
        <v>0</v>
      </c>
      <c r="BR49" s="167">
        <f>0</f>
        <v>0</v>
      </c>
      <c r="BS49" s="167">
        <f>0</f>
        <v>0</v>
      </c>
      <c r="BT49" s="167">
        <f>0</f>
        <v>0</v>
      </c>
      <c r="BU49" s="472">
        <f t="shared" si="44"/>
        <v>0</v>
      </c>
    </row>
    <row r="50" spans="2:73" ht="12.75" hidden="1" outlineLevel="1" collapsed="1">
      <c r="B50" s="163" t="s">
        <v>285</v>
      </c>
      <c r="C50" s="155"/>
      <c r="D50" s="167"/>
      <c r="E50" s="167"/>
      <c r="F50" s="167"/>
      <c r="G50" s="167"/>
      <c r="H50" s="472">
        <v>0</v>
      </c>
      <c r="I50" s="167">
        <v>0</v>
      </c>
      <c r="J50" s="167">
        <v>0</v>
      </c>
      <c r="K50" s="167">
        <v>0</v>
      </c>
      <c r="L50" s="167">
        <v>0</v>
      </c>
      <c r="M50" s="472">
        <v>0</v>
      </c>
      <c r="N50" s="167">
        <v>0</v>
      </c>
      <c r="O50" s="167">
        <v>0</v>
      </c>
      <c r="P50" s="167">
        <v>0</v>
      </c>
      <c r="Q50" s="167">
        <v>0</v>
      </c>
      <c r="R50" s="472">
        <v>0</v>
      </c>
      <c r="S50" s="167">
        <v>0</v>
      </c>
      <c r="T50" s="167">
        <v>0</v>
      </c>
      <c r="U50" s="167">
        <v>0</v>
      </c>
      <c r="V50" s="167">
        <v>0</v>
      </c>
      <c r="W50" s="472">
        <f t="shared" si="34"/>
        <v>0</v>
      </c>
      <c r="X50" s="167">
        <v>0</v>
      </c>
      <c r="Y50" s="167">
        <v>0</v>
      </c>
      <c r="Z50" s="167">
        <v>0</v>
      </c>
      <c r="AA50" s="167">
        <v>0</v>
      </c>
      <c r="AB50" s="472">
        <f t="shared" si="35"/>
        <v>0</v>
      </c>
      <c r="AC50" s="167">
        <v>0</v>
      </c>
      <c r="AD50" s="167">
        <f>0</f>
        <v>0</v>
      </c>
      <c r="AE50" s="167">
        <v>0</v>
      </c>
      <c r="AF50" s="167">
        <f>0</f>
        <v>0</v>
      </c>
      <c r="AG50" s="472">
        <f t="shared" si="36"/>
        <v>0</v>
      </c>
      <c r="AH50" s="167">
        <f>0</f>
        <v>0</v>
      </c>
      <c r="AI50" s="167">
        <f>0</f>
        <v>0</v>
      </c>
      <c r="AJ50" s="167">
        <f>-163</f>
        <v>-163</v>
      </c>
      <c r="AK50" s="167">
        <f>-29</f>
        <v>-29</v>
      </c>
      <c r="AL50" s="472">
        <f t="shared" si="37"/>
        <v>-192</v>
      </c>
      <c r="AM50" s="167">
        <f>-182647</f>
        <v>-182647</v>
      </c>
      <c r="AN50" s="167"/>
      <c r="AO50" s="167">
        <v>0</v>
      </c>
      <c r="AP50" s="167">
        <f>-300-45351</f>
        <v>-45651</v>
      </c>
      <c r="AQ50" s="472">
        <f t="shared" si="38"/>
        <v>-228298</v>
      </c>
      <c r="AR50" s="167"/>
      <c r="AS50" s="167">
        <f>-71-12</f>
        <v>-83</v>
      </c>
      <c r="AT50" s="167"/>
      <c r="AU50" s="167"/>
      <c r="AV50" s="472">
        <f t="shared" si="39"/>
        <v>-83</v>
      </c>
      <c r="AW50" s="167">
        <f>0</f>
        <v>0</v>
      </c>
      <c r="AX50" s="167"/>
      <c r="AY50" s="167"/>
      <c r="AZ50" s="167"/>
      <c r="BA50" s="472">
        <f t="shared" si="40"/>
        <v>0</v>
      </c>
      <c r="BB50" s="167"/>
      <c r="BC50" s="167"/>
      <c r="BD50" s="167"/>
      <c r="BE50" s="167"/>
      <c r="BF50" s="472">
        <f t="shared" si="41"/>
        <v>0</v>
      </c>
      <c r="BG50" s="167">
        <v>0</v>
      </c>
      <c r="BH50" s="167">
        <f>-1290</f>
        <v>-1290</v>
      </c>
      <c r="BI50" s="167">
        <f>0</f>
        <v>0</v>
      </c>
      <c r="BJ50" s="167"/>
      <c r="BK50" s="472">
        <f t="shared" si="42"/>
        <v>-1290</v>
      </c>
      <c r="BL50" s="167">
        <f>0</f>
        <v>0</v>
      </c>
      <c r="BM50" s="167">
        <f>0</f>
        <v>0</v>
      </c>
      <c r="BN50" s="167">
        <f>0</f>
        <v>0</v>
      </c>
      <c r="BO50" s="167">
        <f>0</f>
        <v>0</v>
      </c>
      <c r="BP50" s="472">
        <f t="shared" si="43"/>
        <v>0</v>
      </c>
      <c r="BQ50" s="167">
        <f>0</f>
        <v>0</v>
      </c>
      <c r="BR50" s="167">
        <f>0</f>
        <v>0</v>
      </c>
      <c r="BS50" s="167">
        <f>0</f>
        <v>0</v>
      </c>
      <c r="BT50" s="167">
        <f>0</f>
        <v>0</v>
      </c>
      <c r="BU50" s="472">
        <f t="shared" si="44"/>
        <v>0</v>
      </c>
    </row>
    <row r="51" spans="2:73" ht="12.75" hidden="1" outlineLevel="1">
      <c r="B51" s="163" t="s">
        <v>558</v>
      </c>
      <c r="C51" s="155"/>
      <c r="D51" s="167"/>
      <c r="E51" s="167"/>
      <c r="F51" s="167"/>
      <c r="G51" s="167"/>
      <c r="H51" s="472">
        <v>-3526</v>
      </c>
      <c r="I51" s="167">
        <v>0</v>
      </c>
      <c r="J51" s="167">
        <v>0</v>
      </c>
      <c r="K51" s="167">
        <v>0</v>
      </c>
      <c r="L51" s="167">
        <v>0</v>
      </c>
      <c r="M51" s="472">
        <v>0</v>
      </c>
      <c r="N51" s="167">
        <v>0</v>
      </c>
      <c r="O51" s="167">
        <v>0</v>
      </c>
      <c r="P51" s="167">
        <v>0</v>
      </c>
      <c r="Q51" s="167">
        <v>0</v>
      </c>
      <c r="R51" s="472">
        <v>0</v>
      </c>
      <c r="S51" s="167">
        <v>0</v>
      </c>
      <c r="T51" s="167">
        <v>0</v>
      </c>
      <c r="U51" s="167">
        <v>0</v>
      </c>
      <c r="V51" s="167">
        <v>0</v>
      </c>
      <c r="W51" s="472">
        <f t="shared" si="34"/>
        <v>0</v>
      </c>
      <c r="X51" s="167">
        <v>0</v>
      </c>
      <c r="Y51" s="167">
        <v>0</v>
      </c>
      <c r="Z51" s="167">
        <v>0</v>
      </c>
      <c r="AA51" s="167">
        <v>0</v>
      </c>
      <c r="AB51" s="472">
        <f t="shared" si="35"/>
        <v>0</v>
      </c>
      <c r="AC51" s="167">
        <v>0</v>
      </c>
      <c r="AD51" s="167"/>
      <c r="AE51" s="167">
        <v>0</v>
      </c>
      <c r="AF51" s="167"/>
      <c r="AG51" s="472">
        <f t="shared" si="36"/>
        <v>0</v>
      </c>
      <c r="AH51" s="167"/>
      <c r="AI51" s="167"/>
      <c r="AJ51" s="167"/>
      <c r="AK51" s="167"/>
      <c r="AL51" s="472">
        <f t="shared" si="37"/>
        <v>0</v>
      </c>
      <c r="AM51" s="167"/>
      <c r="AN51" s="167"/>
      <c r="AO51" s="167"/>
      <c r="AP51" s="167"/>
      <c r="AQ51" s="472">
        <f t="shared" si="38"/>
        <v>0</v>
      </c>
      <c r="AR51" s="167"/>
      <c r="AS51" s="167"/>
      <c r="AT51" s="167"/>
      <c r="AU51" s="167"/>
      <c r="AV51" s="472">
        <f t="shared" si="39"/>
        <v>0</v>
      </c>
      <c r="AW51" s="167"/>
      <c r="AX51" s="167"/>
      <c r="AY51" s="167"/>
      <c r="AZ51" s="167"/>
      <c r="BA51" s="472">
        <f t="shared" si="40"/>
        <v>0</v>
      </c>
      <c r="BB51" s="167"/>
      <c r="BC51" s="167"/>
      <c r="BD51" s="167"/>
      <c r="BE51" s="167"/>
      <c r="BF51" s="472">
        <f t="shared" si="41"/>
        <v>0</v>
      </c>
      <c r="BG51" s="167">
        <v>0</v>
      </c>
      <c r="BH51" s="167">
        <f>755</f>
        <v>755</v>
      </c>
      <c r="BI51" s="167">
        <f>0</f>
        <v>0</v>
      </c>
      <c r="BJ51" s="167"/>
      <c r="BK51" s="472">
        <f t="shared" si="42"/>
        <v>755</v>
      </c>
      <c r="BL51" s="167">
        <f>0</f>
        <v>0</v>
      </c>
      <c r="BM51" s="167">
        <f>0</f>
        <v>0</v>
      </c>
      <c r="BN51" s="167">
        <f>0</f>
        <v>0</v>
      </c>
      <c r="BO51" s="167">
        <f>0</f>
        <v>0</v>
      </c>
      <c r="BP51" s="472">
        <f t="shared" si="43"/>
        <v>0</v>
      </c>
      <c r="BQ51" s="167">
        <f>0</f>
        <v>0</v>
      </c>
      <c r="BR51" s="167">
        <f>0</f>
        <v>0</v>
      </c>
      <c r="BS51" s="167">
        <f>0</f>
        <v>0</v>
      </c>
      <c r="BT51" s="167">
        <f>0</f>
        <v>0</v>
      </c>
      <c r="BU51" s="472">
        <f t="shared" si="44"/>
        <v>0</v>
      </c>
    </row>
    <row r="52" spans="2:73" ht="12.75" hidden="1" outlineLevel="1">
      <c r="B52" s="163" t="s">
        <v>286</v>
      </c>
      <c r="C52" s="155"/>
      <c r="D52" s="167"/>
      <c r="E52" s="167"/>
      <c r="F52" s="167"/>
      <c r="G52" s="167"/>
      <c r="H52" s="472">
        <v>-256</v>
      </c>
      <c r="I52" s="167">
        <v>-59</v>
      </c>
      <c r="J52" s="167">
        <v>-64</v>
      </c>
      <c r="K52" s="167">
        <v>-64</v>
      </c>
      <c r="L52" s="167">
        <v>-66</v>
      </c>
      <c r="M52" s="472">
        <v>-253</v>
      </c>
      <c r="N52" s="167">
        <v>-68</v>
      </c>
      <c r="O52" s="167">
        <v>0</v>
      </c>
      <c r="P52" s="167">
        <v>0</v>
      </c>
      <c r="Q52" s="167">
        <v>0</v>
      </c>
      <c r="R52" s="472">
        <v>-68</v>
      </c>
      <c r="S52" s="167">
        <v>0</v>
      </c>
      <c r="T52" s="167">
        <v>0</v>
      </c>
      <c r="U52" s="167">
        <v>0</v>
      </c>
      <c r="V52" s="167">
        <v>0</v>
      </c>
      <c r="W52" s="472">
        <f t="shared" si="34"/>
        <v>0</v>
      </c>
      <c r="X52" s="167">
        <v>0</v>
      </c>
      <c r="Y52" s="167">
        <v>0</v>
      </c>
      <c r="Z52" s="167">
        <v>0</v>
      </c>
      <c r="AA52" s="167">
        <v>0</v>
      </c>
      <c r="AB52" s="472">
        <f t="shared" si="35"/>
        <v>0</v>
      </c>
      <c r="AC52" s="167">
        <v>0</v>
      </c>
      <c r="AD52" s="167"/>
      <c r="AE52" s="167">
        <v>0</v>
      </c>
      <c r="AF52" s="167"/>
      <c r="AG52" s="472">
        <f t="shared" si="36"/>
        <v>0</v>
      </c>
      <c r="AH52" s="167"/>
      <c r="AI52" s="167"/>
      <c r="AJ52" s="167"/>
      <c r="AK52" s="167"/>
      <c r="AL52" s="472">
        <f t="shared" si="37"/>
        <v>0</v>
      </c>
      <c r="AM52" s="167"/>
      <c r="AN52" s="167"/>
      <c r="AO52" s="167"/>
      <c r="AP52" s="167"/>
      <c r="AQ52" s="472">
        <f t="shared" si="38"/>
        <v>0</v>
      </c>
      <c r="AR52" s="167"/>
      <c r="AS52" s="167"/>
      <c r="AT52" s="167"/>
      <c r="AU52" s="167"/>
      <c r="AV52" s="472">
        <f t="shared" si="39"/>
        <v>0</v>
      </c>
      <c r="AW52" s="167"/>
      <c r="AX52" s="167"/>
      <c r="AY52" s="167"/>
      <c r="AZ52" s="167"/>
      <c r="BA52" s="472">
        <f t="shared" si="40"/>
        <v>0</v>
      </c>
      <c r="BB52" s="167"/>
      <c r="BC52" s="167"/>
      <c r="BD52" s="167"/>
      <c r="BE52" s="167"/>
      <c r="BF52" s="472">
        <f t="shared" si="41"/>
        <v>0</v>
      </c>
      <c r="BG52" s="167"/>
      <c r="BH52" s="167"/>
      <c r="BI52" s="167">
        <f>0</f>
        <v>0</v>
      </c>
      <c r="BJ52" s="167"/>
      <c r="BK52" s="472">
        <f t="shared" si="42"/>
        <v>0</v>
      </c>
      <c r="BL52" s="167">
        <f>0</f>
        <v>0</v>
      </c>
      <c r="BM52" s="167">
        <f>0</f>
        <v>0</v>
      </c>
      <c r="BN52" s="167">
        <f>0</f>
        <v>0</v>
      </c>
      <c r="BO52" s="167">
        <f>0</f>
        <v>0</v>
      </c>
      <c r="BP52" s="472">
        <f t="shared" si="43"/>
        <v>0</v>
      </c>
      <c r="BQ52" s="167">
        <f>0</f>
        <v>0</v>
      </c>
      <c r="BR52" s="167">
        <f>0</f>
        <v>0</v>
      </c>
      <c r="BS52" s="167">
        <f>0</f>
        <v>0</v>
      </c>
      <c r="BT52" s="167">
        <f>0</f>
        <v>0</v>
      </c>
      <c r="BU52" s="472">
        <f t="shared" si="44"/>
        <v>0</v>
      </c>
    </row>
    <row r="53" spans="2:73" ht="12.75" collapsed="1">
      <c r="B53" s="163" t="s">
        <v>287</v>
      </c>
      <c r="C53" s="155"/>
      <c r="D53" s="167"/>
      <c r="E53" s="167"/>
      <c r="F53" s="167"/>
      <c r="G53" s="167"/>
      <c r="H53" s="472">
        <v>0</v>
      </c>
      <c r="I53" s="167">
        <v>0</v>
      </c>
      <c r="J53" s="167">
        <v>0</v>
      </c>
      <c r="K53" s="167">
        <v>0</v>
      </c>
      <c r="L53" s="167">
        <v>0</v>
      </c>
      <c r="M53" s="472">
        <v>0</v>
      </c>
      <c r="N53" s="167">
        <v>-3087</v>
      </c>
      <c r="O53" s="167">
        <v>-673</v>
      </c>
      <c r="P53" s="167">
        <v>-66</v>
      </c>
      <c r="Q53" s="167">
        <v>-288</v>
      </c>
      <c r="R53" s="472">
        <v>-4114</v>
      </c>
      <c r="S53" s="167">
        <v>-169</v>
      </c>
      <c r="T53" s="167">
        <v>-92</v>
      </c>
      <c r="U53" s="167">
        <v>-207</v>
      </c>
      <c r="V53" s="167">
        <v>-230</v>
      </c>
      <c r="W53" s="472">
        <f t="shared" si="34"/>
        <v>-698</v>
      </c>
      <c r="X53" s="167">
        <v>-462</v>
      </c>
      <c r="Y53" s="167">
        <v>-543</v>
      </c>
      <c r="Z53" s="167">
        <v>-707</v>
      </c>
      <c r="AA53" s="167">
        <v>-485</v>
      </c>
      <c r="AB53" s="472">
        <f t="shared" si="35"/>
        <v>-2197</v>
      </c>
      <c r="AC53" s="167">
        <v>-979</v>
      </c>
      <c r="AD53" s="167">
        <v>-1860</v>
      </c>
      <c r="AE53" s="167">
        <v>-2087</v>
      </c>
      <c r="AF53" s="167">
        <v>-2026</v>
      </c>
      <c r="AG53" s="472">
        <f t="shared" si="36"/>
        <v>-6952</v>
      </c>
      <c r="AH53" s="167">
        <v>-1533</v>
      </c>
      <c r="AI53" s="167">
        <v>-1917</v>
      </c>
      <c r="AJ53" s="167">
        <f>-2534</f>
        <v>-2534</v>
      </c>
      <c r="AK53" s="167">
        <f>-2937</f>
        <v>-2937</v>
      </c>
      <c r="AL53" s="472">
        <f t="shared" si="37"/>
        <v>-8921</v>
      </c>
      <c r="AM53" s="167">
        <f>-3324</f>
        <v>-3324</v>
      </c>
      <c r="AN53" s="167">
        <f>-3347</f>
        <v>-3347</v>
      </c>
      <c r="AO53" s="167">
        <f>-4701</f>
        <v>-4701</v>
      </c>
      <c r="AP53" s="167">
        <f>-4672</f>
        <v>-4672</v>
      </c>
      <c r="AQ53" s="472">
        <f t="shared" si="38"/>
        <v>-16044</v>
      </c>
      <c r="AR53" s="167">
        <f>-3461</f>
        <v>-3461</v>
      </c>
      <c r="AS53" s="167">
        <f>-1645</f>
        <v>-1645</v>
      </c>
      <c r="AT53" s="167">
        <f>-1637</f>
        <v>-1637</v>
      </c>
      <c r="AU53" s="167">
        <f>-719</f>
        <v>-719</v>
      </c>
      <c r="AV53" s="472">
        <f t="shared" si="39"/>
        <v>-7462</v>
      </c>
      <c r="AW53" s="167">
        <f>-1267</f>
        <v>-1267</v>
      </c>
      <c r="AX53" s="167">
        <f>-1324</f>
        <v>-1324</v>
      </c>
      <c r="AY53" s="167">
        <f>-1421</f>
        <v>-1421</v>
      </c>
      <c r="AZ53" s="167">
        <f>-1558</f>
        <v>-1558</v>
      </c>
      <c r="BA53" s="472">
        <f t="shared" si="40"/>
        <v>-5570</v>
      </c>
      <c r="BB53" s="167">
        <f>-1764</f>
        <v>-1764</v>
      </c>
      <c r="BC53" s="167">
        <f>-1325</f>
        <v>-1325</v>
      </c>
      <c r="BD53" s="167">
        <f>-794</f>
        <v>-794</v>
      </c>
      <c r="BE53" s="167">
        <f>-847</f>
        <v>-847</v>
      </c>
      <c r="BF53" s="472">
        <f t="shared" si="41"/>
        <v>-4730</v>
      </c>
      <c r="BG53" s="167">
        <f>-1303</f>
        <v>-1303</v>
      </c>
      <c r="BH53" s="167">
        <f>-595</f>
        <v>-595</v>
      </c>
      <c r="BI53" s="167">
        <f>-537</f>
        <v>-537</v>
      </c>
      <c r="BJ53" s="167">
        <f>-585</f>
        <v>-585</v>
      </c>
      <c r="BK53" s="472">
        <f t="shared" si="42"/>
        <v>-3020</v>
      </c>
      <c r="BL53" s="167">
        <f>-1200</f>
        <v>-1200</v>
      </c>
      <c r="BM53" s="167">
        <f t="shared" ref="BM53:BO53" si="45">-750</f>
        <v>-750</v>
      </c>
      <c r="BN53" s="167">
        <f t="shared" si="45"/>
        <v>-750</v>
      </c>
      <c r="BO53" s="167">
        <f t="shared" si="45"/>
        <v>-750</v>
      </c>
      <c r="BP53" s="472">
        <f t="shared" si="43"/>
        <v>-3450</v>
      </c>
      <c r="BQ53" s="167">
        <f>-1200</f>
        <v>-1200</v>
      </c>
      <c r="BR53" s="167">
        <f t="shared" ref="BR53:BT53" si="46">-750</f>
        <v>-750</v>
      </c>
      <c r="BS53" s="167">
        <f t="shared" si="46"/>
        <v>-750</v>
      </c>
      <c r="BT53" s="167">
        <f t="shared" si="46"/>
        <v>-750</v>
      </c>
      <c r="BU53" s="472">
        <f t="shared" si="44"/>
        <v>-3450</v>
      </c>
    </row>
    <row r="54" spans="2:73" ht="12.75" hidden="1" outlineLevel="1">
      <c r="B54" s="163" t="s">
        <v>288</v>
      </c>
      <c r="C54" s="155"/>
      <c r="D54" s="167"/>
      <c r="E54" s="167"/>
      <c r="F54" s="167"/>
      <c r="G54" s="167"/>
      <c r="H54" s="472">
        <v>0</v>
      </c>
      <c r="I54" s="167">
        <v>0</v>
      </c>
      <c r="J54" s="167">
        <v>0</v>
      </c>
      <c r="K54" s="167">
        <v>0</v>
      </c>
      <c r="L54" s="167">
        <v>0</v>
      </c>
      <c r="M54" s="472">
        <v>0</v>
      </c>
      <c r="N54" s="167">
        <v>0</v>
      </c>
      <c r="O54" s="167">
        <v>0</v>
      </c>
      <c r="P54" s="167">
        <v>0</v>
      </c>
      <c r="Q54" s="167">
        <v>87</v>
      </c>
      <c r="R54" s="472">
        <v>87</v>
      </c>
      <c r="S54" s="167">
        <v>0</v>
      </c>
      <c r="T54" s="167">
        <v>0</v>
      </c>
      <c r="U54" s="167">
        <v>0</v>
      </c>
      <c r="V54" s="167">
        <v>0</v>
      </c>
      <c r="W54" s="472">
        <f t="shared" si="34"/>
        <v>0</v>
      </c>
      <c r="X54" s="167">
        <v>0</v>
      </c>
      <c r="Y54" s="167">
        <v>0</v>
      </c>
      <c r="Z54" s="167">
        <v>0</v>
      </c>
      <c r="AA54" s="167">
        <v>0</v>
      </c>
      <c r="AB54" s="472">
        <f t="shared" si="35"/>
        <v>0</v>
      </c>
      <c r="AC54" s="167">
        <v>0</v>
      </c>
      <c r="AD54" s="167"/>
      <c r="AE54" s="167"/>
      <c r="AF54" s="167"/>
      <c r="AG54" s="472">
        <f t="shared" si="36"/>
        <v>0</v>
      </c>
      <c r="AH54" s="167"/>
      <c r="AI54" s="167"/>
      <c r="AJ54" s="167"/>
      <c r="AK54" s="167"/>
      <c r="AL54" s="472">
        <f t="shared" si="37"/>
        <v>0</v>
      </c>
      <c r="AM54" s="167"/>
      <c r="AN54" s="167"/>
      <c r="AO54" s="167"/>
      <c r="AP54" s="167"/>
      <c r="AQ54" s="472">
        <f t="shared" si="38"/>
        <v>0</v>
      </c>
      <c r="AR54" s="167"/>
      <c r="AS54" s="167"/>
      <c r="AT54" s="167"/>
      <c r="AU54" s="167"/>
      <c r="AV54" s="472">
        <f t="shared" si="39"/>
        <v>0</v>
      </c>
      <c r="AW54" s="167"/>
      <c r="AX54" s="167"/>
      <c r="AY54" s="167"/>
      <c r="AZ54" s="167"/>
      <c r="BA54" s="472">
        <f t="shared" si="40"/>
        <v>0</v>
      </c>
      <c r="BB54" s="167"/>
      <c r="BC54" s="167"/>
      <c r="BD54" s="167"/>
      <c r="BE54" s="167"/>
      <c r="BF54" s="472">
        <f t="shared" si="41"/>
        <v>0</v>
      </c>
      <c r="BG54" s="167"/>
      <c r="BH54" s="167"/>
      <c r="BI54" s="167">
        <f>0</f>
        <v>0</v>
      </c>
      <c r="BJ54" s="167"/>
      <c r="BK54" s="472">
        <f t="shared" si="42"/>
        <v>0</v>
      </c>
      <c r="BL54" s="167">
        <f>0</f>
        <v>0</v>
      </c>
      <c r="BM54" s="167">
        <f>0</f>
        <v>0</v>
      </c>
      <c r="BN54" s="167">
        <f>0</f>
        <v>0</v>
      </c>
      <c r="BO54" s="167">
        <f>0</f>
        <v>0</v>
      </c>
      <c r="BP54" s="472">
        <f t="shared" si="43"/>
        <v>0</v>
      </c>
      <c r="BQ54" s="167">
        <f>0</f>
        <v>0</v>
      </c>
      <c r="BR54" s="167">
        <f>0</f>
        <v>0</v>
      </c>
      <c r="BS54" s="167">
        <f>0</f>
        <v>0</v>
      </c>
      <c r="BT54" s="167">
        <f>0</f>
        <v>0</v>
      </c>
      <c r="BU54" s="472">
        <f t="shared" si="44"/>
        <v>0</v>
      </c>
    </row>
    <row r="55" spans="2:73" ht="12.75" collapsed="1">
      <c r="B55" s="163" t="s">
        <v>289</v>
      </c>
      <c r="C55" s="155"/>
      <c r="D55" s="167"/>
      <c r="E55" s="167"/>
      <c r="F55" s="167"/>
      <c r="G55" s="167"/>
      <c r="H55" s="472">
        <v>0</v>
      </c>
      <c r="I55" s="167">
        <v>0</v>
      </c>
      <c r="J55" s="167">
        <v>0</v>
      </c>
      <c r="K55" s="167">
        <v>0</v>
      </c>
      <c r="L55" s="167">
        <v>0</v>
      </c>
      <c r="M55" s="472">
        <v>0</v>
      </c>
      <c r="N55" s="167">
        <v>2096</v>
      </c>
      <c r="O55" s="167">
        <v>0</v>
      </c>
      <c r="P55" s="167">
        <v>1628</v>
      </c>
      <c r="Q55" s="167">
        <v>0</v>
      </c>
      <c r="R55" s="472">
        <v>3724</v>
      </c>
      <c r="S55" s="167">
        <v>1499</v>
      </c>
      <c r="T55" s="167">
        <v>0</v>
      </c>
      <c r="U55" s="167">
        <v>1415</v>
      </c>
      <c r="V55" s="167">
        <v>0</v>
      </c>
      <c r="W55" s="472">
        <f t="shared" si="34"/>
        <v>2914</v>
      </c>
      <c r="X55" s="167">
        <v>1632</v>
      </c>
      <c r="Y55" s="167">
        <v>0</v>
      </c>
      <c r="Z55" s="167">
        <v>2005</v>
      </c>
      <c r="AA55" s="167">
        <v>0</v>
      </c>
      <c r="AB55" s="472">
        <f t="shared" si="35"/>
        <v>3637</v>
      </c>
      <c r="AC55" s="167">
        <v>2634</v>
      </c>
      <c r="AD55" s="167">
        <v>3340</v>
      </c>
      <c r="AE55" s="167">
        <v>2887</v>
      </c>
      <c r="AF55" s="167">
        <f>0</f>
        <v>0</v>
      </c>
      <c r="AG55" s="472">
        <f t="shared" si="36"/>
        <v>8861</v>
      </c>
      <c r="AH55" s="167">
        <v>3346</v>
      </c>
      <c r="AI55" s="167">
        <f>0</f>
        <v>0</v>
      </c>
      <c r="AJ55" s="167">
        <f>3736</f>
        <v>3736</v>
      </c>
      <c r="AK55" s="167">
        <f>0</f>
        <v>0</v>
      </c>
      <c r="AL55" s="472">
        <f t="shared" si="37"/>
        <v>7082</v>
      </c>
      <c r="AM55" s="167">
        <f>4467</f>
        <v>4467</v>
      </c>
      <c r="AN55" s="167"/>
      <c r="AO55" s="167">
        <f>4809</f>
        <v>4809</v>
      </c>
      <c r="AP55" s="167">
        <f>1036</f>
        <v>1036</v>
      </c>
      <c r="AQ55" s="472">
        <f t="shared" si="38"/>
        <v>10312</v>
      </c>
      <c r="AR55" s="167">
        <f>5710</f>
        <v>5710</v>
      </c>
      <c r="AS55" s="167"/>
      <c r="AT55" s="167">
        <f>6233</f>
        <v>6233</v>
      </c>
      <c r="AU55" s="167"/>
      <c r="AV55" s="472">
        <f t="shared" si="39"/>
        <v>11943</v>
      </c>
      <c r="AW55" s="167">
        <f>6174</f>
        <v>6174</v>
      </c>
      <c r="AX55" s="167"/>
      <c r="AY55" s="167">
        <f>5149</f>
        <v>5149</v>
      </c>
      <c r="AZ55" s="167"/>
      <c r="BA55" s="472">
        <f t="shared" si="40"/>
        <v>11323</v>
      </c>
      <c r="BB55" s="167">
        <f>5046</f>
        <v>5046</v>
      </c>
      <c r="BC55" s="167">
        <f>0</f>
        <v>0</v>
      </c>
      <c r="BD55" s="167">
        <f>4200</f>
        <v>4200</v>
      </c>
      <c r="BE55" s="167">
        <f>0</f>
        <v>0</v>
      </c>
      <c r="BF55" s="472">
        <f t="shared" si="41"/>
        <v>9246</v>
      </c>
      <c r="BG55" s="167">
        <f>4446</f>
        <v>4446</v>
      </c>
      <c r="BH55" s="167">
        <v>0</v>
      </c>
      <c r="BI55" s="167">
        <f>3257</f>
        <v>3257</v>
      </c>
      <c r="BJ55" s="167">
        <v>0</v>
      </c>
      <c r="BK55" s="472">
        <f t="shared" si="42"/>
        <v>7703</v>
      </c>
      <c r="BL55" s="167">
        <f>4500</f>
        <v>4500</v>
      </c>
      <c r="BM55" s="167">
        <f>0</f>
        <v>0</v>
      </c>
      <c r="BN55" s="167">
        <f>4500</f>
        <v>4500</v>
      </c>
      <c r="BO55" s="167">
        <f>0</f>
        <v>0</v>
      </c>
      <c r="BP55" s="472">
        <f t="shared" si="43"/>
        <v>9000</v>
      </c>
      <c r="BQ55" s="167">
        <f>4500</f>
        <v>4500</v>
      </c>
      <c r="BR55" s="167">
        <f>0</f>
        <v>0</v>
      </c>
      <c r="BS55" s="167">
        <f>4500</f>
        <v>4500</v>
      </c>
      <c r="BT55" s="167">
        <f>0</f>
        <v>0</v>
      </c>
      <c r="BU55" s="472">
        <f t="shared" si="44"/>
        <v>9000</v>
      </c>
    </row>
    <row r="56" spans="2:73" ht="12.75">
      <c r="B56" s="163" t="s">
        <v>409</v>
      </c>
      <c r="C56" s="155"/>
      <c r="D56" s="167"/>
      <c r="E56" s="167"/>
      <c r="F56" s="167"/>
      <c r="G56" s="167"/>
      <c r="H56" s="472"/>
      <c r="I56" s="167"/>
      <c r="J56" s="167"/>
      <c r="K56" s="167"/>
      <c r="L56" s="167"/>
      <c r="M56" s="472"/>
      <c r="N56" s="167"/>
      <c r="O56" s="167"/>
      <c r="P56" s="167"/>
      <c r="Q56" s="167"/>
      <c r="R56" s="472"/>
      <c r="S56" s="167"/>
      <c r="T56" s="167"/>
      <c r="U56" s="167"/>
      <c r="V56" s="167"/>
      <c r="W56" s="472"/>
      <c r="X56" s="167"/>
      <c r="Y56" s="167"/>
      <c r="Z56" s="167"/>
      <c r="AA56" s="167"/>
      <c r="AB56" s="472"/>
      <c r="AC56" s="167"/>
      <c r="AD56" s="167"/>
      <c r="AE56" s="167"/>
      <c r="AF56" s="167"/>
      <c r="AG56" s="472"/>
      <c r="AH56" s="167"/>
      <c r="AI56" s="167"/>
      <c r="AJ56" s="167"/>
      <c r="AK56" s="167"/>
      <c r="AL56" s="472"/>
      <c r="AM56" s="167"/>
      <c r="AN56" s="167"/>
      <c r="AO56" s="167"/>
      <c r="AP56" s="167"/>
      <c r="AQ56" s="472"/>
      <c r="AR56" s="167"/>
      <c r="AS56" s="167"/>
      <c r="AT56" s="167"/>
      <c r="AU56" s="167"/>
      <c r="AV56" s="472"/>
      <c r="AW56" s="167"/>
      <c r="AX56" s="167"/>
      <c r="AY56" s="167">
        <f>17518</f>
        <v>17518</v>
      </c>
      <c r="AZ56" s="167"/>
      <c r="BA56" s="472">
        <f t="shared" si="40"/>
        <v>17518</v>
      </c>
      <c r="BB56" s="167">
        <f>0</f>
        <v>0</v>
      </c>
      <c r="BC56" s="167">
        <f>0</f>
        <v>0</v>
      </c>
      <c r="BD56" s="167">
        <f>0</f>
        <v>0</v>
      </c>
      <c r="BE56" s="167">
        <f>0</f>
        <v>0</v>
      </c>
      <c r="BF56" s="472">
        <f t="shared" si="41"/>
        <v>0</v>
      </c>
      <c r="BG56" s="167">
        <f>0</f>
        <v>0</v>
      </c>
      <c r="BH56" s="167">
        <v>0</v>
      </c>
      <c r="BI56" s="167">
        <f>0</f>
        <v>0</v>
      </c>
      <c r="BJ56" s="167">
        <v>0</v>
      </c>
      <c r="BK56" s="472">
        <f t="shared" si="42"/>
        <v>0</v>
      </c>
      <c r="BL56" s="167">
        <f>0</f>
        <v>0</v>
      </c>
      <c r="BM56" s="167">
        <f>0</f>
        <v>0</v>
      </c>
      <c r="BN56" s="167">
        <f>0</f>
        <v>0</v>
      </c>
      <c r="BO56" s="167">
        <f>0</f>
        <v>0</v>
      </c>
      <c r="BP56" s="472">
        <f t="shared" si="43"/>
        <v>0</v>
      </c>
      <c r="BQ56" s="167">
        <f>0</f>
        <v>0</v>
      </c>
      <c r="BR56" s="167">
        <f>0</f>
        <v>0</v>
      </c>
      <c r="BS56" s="167">
        <f>0</f>
        <v>0</v>
      </c>
      <c r="BT56" s="167">
        <f>0</f>
        <v>0</v>
      </c>
      <c r="BU56" s="472">
        <f t="shared" si="44"/>
        <v>0</v>
      </c>
    </row>
    <row r="57" spans="2:73" ht="12.75">
      <c r="B57" s="163" t="s">
        <v>290</v>
      </c>
      <c r="C57" s="155"/>
      <c r="D57" s="167"/>
      <c r="E57" s="167"/>
      <c r="F57" s="167"/>
      <c r="G57" s="167"/>
      <c r="H57" s="472">
        <v>489</v>
      </c>
      <c r="I57" s="167">
        <v>408</v>
      </c>
      <c r="J57" s="167">
        <v>297</v>
      </c>
      <c r="K57" s="167">
        <v>570</v>
      </c>
      <c r="L57" s="167">
        <v>29</v>
      </c>
      <c r="M57" s="472">
        <v>1304</v>
      </c>
      <c r="N57" s="167">
        <v>547</v>
      </c>
      <c r="O57" s="167">
        <v>884</v>
      </c>
      <c r="P57" s="167">
        <v>1087</v>
      </c>
      <c r="Q57" s="167">
        <v>406</v>
      </c>
      <c r="R57" s="472">
        <v>2924</v>
      </c>
      <c r="S57" s="167">
        <v>775</v>
      </c>
      <c r="T57" s="167">
        <v>3336</v>
      </c>
      <c r="U57" s="167">
        <v>884</v>
      </c>
      <c r="V57" s="167">
        <v>853</v>
      </c>
      <c r="W57" s="472">
        <f t="shared" si="34"/>
        <v>5848</v>
      </c>
      <c r="X57" s="167">
        <v>1961</v>
      </c>
      <c r="Y57" s="167">
        <v>2696</v>
      </c>
      <c r="Z57" s="167">
        <v>1864</v>
      </c>
      <c r="AA57" s="167">
        <v>1085</v>
      </c>
      <c r="AB57" s="472">
        <f t="shared" si="35"/>
        <v>7606</v>
      </c>
      <c r="AC57" s="167">
        <v>2718</v>
      </c>
      <c r="AD57" s="167">
        <f>0</f>
        <v>0</v>
      </c>
      <c r="AE57" s="167">
        <v>1866</v>
      </c>
      <c r="AF57" s="167">
        <v>2295</v>
      </c>
      <c r="AG57" s="472">
        <f t="shared" si="36"/>
        <v>6879</v>
      </c>
      <c r="AH57" s="167">
        <v>1561</v>
      </c>
      <c r="AI57" s="167">
        <v>2167</v>
      </c>
      <c r="AJ57" s="167">
        <f>2491</f>
        <v>2491</v>
      </c>
      <c r="AK57" s="167">
        <f>1591</f>
        <v>1591</v>
      </c>
      <c r="AL57" s="472">
        <f t="shared" si="37"/>
        <v>7810</v>
      </c>
      <c r="AM57" s="167">
        <f>1427</f>
        <v>1427</v>
      </c>
      <c r="AN57" s="167">
        <f>1103</f>
        <v>1103</v>
      </c>
      <c r="AO57" s="167">
        <f>749</f>
        <v>749</v>
      </c>
      <c r="AP57" s="167"/>
      <c r="AQ57" s="472">
        <f t="shared" si="38"/>
        <v>3279</v>
      </c>
      <c r="AR57" s="167">
        <f>959</f>
        <v>959</v>
      </c>
      <c r="AS57" s="167">
        <f>246</f>
        <v>246</v>
      </c>
      <c r="AT57" s="167">
        <f>416</f>
        <v>416</v>
      </c>
      <c r="AU57" s="167">
        <f>1697</f>
        <v>1697</v>
      </c>
      <c r="AV57" s="472">
        <f t="shared" si="39"/>
        <v>3318</v>
      </c>
      <c r="AW57" s="167">
        <f>181</f>
        <v>181</v>
      </c>
      <c r="AX57" s="167">
        <f>2501</f>
        <v>2501</v>
      </c>
      <c r="AY57" s="167">
        <f>302</f>
        <v>302</v>
      </c>
      <c r="AZ57" s="167">
        <f>69</f>
        <v>69</v>
      </c>
      <c r="BA57" s="472">
        <f t="shared" si="40"/>
        <v>3053</v>
      </c>
      <c r="BB57" s="167">
        <f>1080</f>
        <v>1080</v>
      </c>
      <c r="BC57" s="167">
        <f>324</f>
        <v>324</v>
      </c>
      <c r="BD57" s="167">
        <f>32</f>
        <v>32</v>
      </c>
      <c r="BE57" s="167">
        <f>130</f>
        <v>130</v>
      </c>
      <c r="BF57" s="472">
        <f t="shared" si="41"/>
        <v>1566</v>
      </c>
      <c r="BG57" s="167">
        <f>1589</f>
        <v>1589</v>
      </c>
      <c r="BH57" s="167">
        <v>0</v>
      </c>
      <c r="BI57" s="167">
        <f>0</f>
        <v>0</v>
      </c>
      <c r="BJ57" s="167">
        <v>0</v>
      </c>
      <c r="BK57" s="472">
        <f t="shared" si="42"/>
        <v>1589</v>
      </c>
      <c r="BL57" s="167">
        <f>200</f>
        <v>200</v>
      </c>
      <c r="BM57" s="167">
        <f>200</f>
        <v>200</v>
      </c>
      <c r="BN57" s="167">
        <f>200</f>
        <v>200</v>
      </c>
      <c r="BO57" s="167">
        <f>200</f>
        <v>200</v>
      </c>
      <c r="BP57" s="472">
        <f>+SUM(BL57:BO57)</f>
        <v>800</v>
      </c>
      <c r="BQ57" s="167">
        <f>200</f>
        <v>200</v>
      </c>
      <c r="BR57" s="167">
        <f>200</f>
        <v>200</v>
      </c>
      <c r="BS57" s="167">
        <f>200</f>
        <v>200</v>
      </c>
      <c r="BT57" s="167">
        <f>200</f>
        <v>200</v>
      </c>
      <c r="BU57" s="472">
        <f>+SUM(BQ57:BT57)</f>
        <v>800</v>
      </c>
    </row>
    <row r="58" spans="2:73" ht="12.75" hidden="1" outlineLevel="1">
      <c r="B58" s="163"/>
      <c r="C58" s="155"/>
      <c r="D58" s="167"/>
      <c r="E58" s="167"/>
      <c r="F58" s="167"/>
      <c r="G58" s="167"/>
      <c r="H58" s="472"/>
      <c r="I58" s="167"/>
      <c r="J58" s="167"/>
      <c r="K58" s="167"/>
      <c r="L58" s="167"/>
      <c r="M58" s="472"/>
      <c r="N58" s="167"/>
      <c r="O58" s="167"/>
      <c r="P58" s="167"/>
      <c r="Q58" s="167"/>
      <c r="R58" s="472"/>
      <c r="S58" s="167"/>
      <c r="T58" s="167"/>
      <c r="U58" s="167"/>
      <c r="V58" s="167"/>
      <c r="W58" s="472"/>
      <c r="X58" s="167"/>
      <c r="Y58" s="167"/>
      <c r="Z58" s="167"/>
      <c r="AA58" s="167"/>
      <c r="AB58" s="472"/>
      <c r="AC58" s="167"/>
      <c r="AD58" s="167"/>
      <c r="AE58" s="167"/>
      <c r="AF58" s="167"/>
      <c r="AG58" s="472"/>
      <c r="AH58" s="167"/>
      <c r="AI58" s="167"/>
      <c r="AJ58" s="167"/>
      <c r="AK58" s="167"/>
      <c r="AL58" s="472"/>
      <c r="AM58" s="167"/>
      <c r="AN58" s="167"/>
      <c r="AO58" s="167"/>
      <c r="AP58" s="167"/>
      <c r="AQ58" s="472"/>
      <c r="AR58" s="167"/>
      <c r="AS58" s="167"/>
      <c r="AT58" s="167"/>
      <c r="AU58" s="167"/>
      <c r="AV58" s="472"/>
      <c r="AW58" s="167"/>
      <c r="AX58" s="167"/>
      <c r="AY58" s="167"/>
      <c r="AZ58" s="167"/>
      <c r="BA58" s="472"/>
      <c r="BB58" s="167"/>
      <c r="BC58" s="167"/>
      <c r="BD58" s="167"/>
      <c r="BE58" s="167"/>
      <c r="BF58" s="472"/>
      <c r="BG58" s="167"/>
      <c r="BH58" s="167"/>
      <c r="BI58" s="167"/>
      <c r="BJ58" s="167"/>
      <c r="BK58" s="472"/>
      <c r="BL58" s="167"/>
      <c r="BM58" s="167"/>
      <c r="BN58" s="167"/>
      <c r="BO58" s="167"/>
      <c r="BP58" s="472"/>
      <c r="BQ58" s="167"/>
      <c r="BR58" s="167"/>
      <c r="BS58" s="167"/>
      <c r="BT58" s="167"/>
      <c r="BU58" s="472"/>
    </row>
    <row r="59" spans="2:73" ht="3.6" customHeight="1" collapsed="1">
      <c r="B59" s="260"/>
      <c r="C59" s="263"/>
      <c r="D59" s="173" t="s">
        <v>1</v>
      </c>
      <c r="E59" s="173" t="s">
        <v>1</v>
      </c>
      <c r="F59" s="173" t="s">
        <v>1</v>
      </c>
      <c r="G59" s="173" t="s">
        <v>1</v>
      </c>
      <c r="H59" s="473" t="s">
        <v>1</v>
      </c>
      <c r="I59" s="173" t="s">
        <v>1</v>
      </c>
      <c r="J59" s="173" t="s">
        <v>1</v>
      </c>
      <c r="K59" s="173" t="s">
        <v>1</v>
      </c>
      <c r="L59" s="173" t="s">
        <v>1</v>
      </c>
      <c r="M59" s="473" t="s">
        <v>1</v>
      </c>
      <c r="N59" s="173" t="s">
        <v>1</v>
      </c>
      <c r="O59" s="173" t="s">
        <v>1</v>
      </c>
      <c r="P59" s="173" t="s">
        <v>1</v>
      </c>
      <c r="Q59" s="173" t="s">
        <v>1</v>
      </c>
      <c r="R59" s="473" t="s">
        <v>1</v>
      </c>
      <c r="S59" s="173" t="s">
        <v>1</v>
      </c>
      <c r="T59" s="173" t="s">
        <v>1</v>
      </c>
      <c r="U59" s="173" t="s">
        <v>1</v>
      </c>
      <c r="V59" s="173" t="s">
        <v>1</v>
      </c>
      <c r="W59" s="473" t="s">
        <v>1</v>
      </c>
      <c r="X59" s="173" t="s">
        <v>1</v>
      </c>
      <c r="Y59" s="173" t="s">
        <v>1</v>
      </c>
      <c r="Z59" s="173" t="s">
        <v>1</v>
      </c>
      <c r="AA59" s="173" t="s">
        <v>1</v>
      </c>
      <c r="AB59" s="473" t="s">
        <v>1</v>
      </c>
      <c r="AC59" s="173" t="s">
        <v>1</v>
      </c>
      <c r="AD59" s="173" t="s">
        <v>1</v>
      </c>
      <c r="AE59" s="173" t="s">
        <v>1</v>
      </c>
      <c r="AF59" s="173" t="s">
        <v>1</v>
      </c>
      <c r="AG59" s="473" t="s">
        <v>1</v>
      </c>
      <c r="AH59" s="173" t="s">
        <v>1</v>
      </c>
      <c r="AI59" s="173" t="s">
        <v>1</v>
      </c>
      <c r="AJ59" s="173" t="s">
        <v>1</v>
      </c>
      <c r="AK59" s="173" t="s">
        <v>1</v>
      </c>
      <c r="AL59" s="473" t="s">
        <v>1</v>
      </c>
      <c r="AM59" s="173" t="s">
        <v>1</v>
      </c>
      <c r="AN59" s="173" t="s">
        <v>1</v>
      </c>
      <c r="AO59" s="173" t="s">
        <v>1</v>
      </c>
      <c r="AP59" s="173" t="s">
        <v>1</v>
      </c>
      <c r="AQ59" s="473" t="s">
        <v>1</v>
      </c>
      <c r="AR59" s="173" t="s">
        <v>1</v>
      </c>
      <c r="AS59" s="173" t="s">
        <v>1</v>
      </c>
      <c r="AT59" s="173" t="s">
        <v>1</v>
      </c>
      <c r="AU59" s="173" t="s">
        <v>1</v>
      </c>
      <c r="AV59" s="473" t="s">
        <v>1</v>
      </c>
      <c r="AW59" s="173" t="s">
        <v>1</v>
      </c>
      <c r="AX59" s="173" t="s">
        <v>1</v>
      </c>
      <c r="AY59" s="173" t="s">
        <v>1</v>
      </c>
      <c r="AZ59" s="173" t="s">
        <v>1</v>
      </c>
      <c r="BA59" s="473" t="s">
        <v>1</v>
      </c>
      <c r="BB59" s="173" t="s">
        <v>1</v>
      </c>
      <c r="BC59" s="173" t="s">
        <v>1</v>
      </c>
      <c r="BD59" s="173" t="s">
        <v>1</v>
      </c>
      <c r="BE59" s="173" t="s">
        <v>1</v>
      </c>
      <c r="BF59" s="473" t="s">
        <v>1</v>
      </c>
      <c r="BG59" s="173" t="s">
        <v>1</v>
      </c>
      <c r="BH59" s="173" t="s">
        <v>1</v>
      </c>
      <c r="BI59" s="173" t="s">
        <v>1</v>
      </c>
      <c r="BJ59" s="173" t="s">
        <v>1</v>
      </c>
      <c r="BK59" s="473" t="s">
        <v>1</v>
      </c>
      <c r="BL59" s="173" t="s">
        <v>1</v>
      </c>
      <c r="BM59" s="173" t="s">
        <v>1</v>
      </c>
      <c r="BN59" s="173" t="s">
        <v>1</v>
      </c>
      <c r="BO59" s="173" t="s">
        <v>1</v>
      </c>
      <c r="BP59" s="473" t="s">
        <v>1</v>
      </c>
      <c r="BQ59" s="173" t="s">
        <v>1</v>
      </c>
      <c r="BR59" s="173" t="s">
        <v>1</v>
      </c>
      <c r="BS59" s="173" t="s">
        <v>1</v>
      </c>
      <c r="BT59" s="173" t="s">
        <v>1</v>
      </c>
      <c r="BU59" s="473" t="s">
        <v>1</v>
      </c>
    </row>
    <row r="60" spans="2:73" ht="13.15">
      <c r="B60" s="264" t="s">
        <v>500</v>
      </c>
      <c r="C60" s="265"/>
      <c r="D60" s="166"/>
      <c r="E60" s="166"/>
      <c r="F60" s="166"/>
      <c r="G60" s="166"/>
      <c r="H60" s="471">
        <f t="shared" ref="H60:AM60" si="47">SUM(H40:H57)</f>
        <v>26669</v>
      </c>
      <c r="I60" s="166">
        <f t="shared" si="47"/>
        <v>349</v>
      </c>
      <c r="J60" s="166">
        <f t="shared" si="47"/>
        <v>-1293</v>
      </c>
      <c r="K60" s="166">
        <f t="shared" si="47"/>
        <v>96408</v>
      </c>
      <c r="L60" s="166">
        <f t="shared" si="47"/>
        <v>-678</v>
      </c>
      <c r="M60" s="471">
        <f t="shared" si="47"/>
        <v>94786</v>
      </c>
      <c r="N60" s="166">
        <f t="shared" si="47"/>
        <v>-512</v>
      </c>
      <c r="O60" s="166">
        <f t="shared" si="47"/>
        <v>211</v>
      </c>
      <c r="P60" s="166">
        <f t="shared" si="47"/>
        <v>2649</v>
      </c>
      <c r="Q60" s="166">
        <f t="shared" si="47"/>
        <v>-1187</v>
      </c>
      <c r="R60" s="471">
        <f t="shared" si="47"/>
        <v>1161</v>
      </c>
      <c r="S60" s="166">
        <f t="shared" si="47"/>
        <v>2105</v>
      </c>
      <c r="T60" s="166">
        <f t="shared" si="47"/>
        <v>2448</v>
      </c>
      <c r="U60" s="166">
        <f t="shared" si="47"/>
        <v>2092</v>
      </c>
      <c r="V60" s="166">
        <f t="shared" si="47"/>
        <v>623</v>
      </c>
      <c r="W60" s="471">
        <f t="shared" si="47"/>
        <v>7268</v>
      </c>
      <c r="X60" s="166">
        <f t="shared" si="47"/>
        <v>34362</v>
      </c>
      <c r="Y60" s="166">
        <f t="shared" si="47"/>
        <v>1829</v>
      </c>
      <c r="Z60" s="166">
        <f t="shared" si="47"/>
        <v>199781</v>
      </c>
      <c r="AA60" s="166">
        <f t="shared" si="47"/>
        <v>192</v>
      </c>
      <c r="AB60" s="471">
        <f t="shared" si="47"/>
        <v>236164</v>
      </c>
      <c r="AC60" s="166">
        <f t="shared" si="47"/>
        <v>4373</v>
      </c>
      <c r="AD60" s="166">
        <f t="shared" si="47"/>
        <v>1480</v>
      </c>
      <c r="AE60" s="166">
        <f t="shared" si="47"/>
        <v>2666</v>
      </c>
      <c r="AF60" s="166">
        <f t="shared" si="47"/>
        <v>269</v>
      </c>
      <c r="AG60" s="471">
        <f t="shared" si="47"/>
        <v>8788</v>
      </c>
      <c r="AH60" s="166">
        <f t="shared" si="47"/>
        <v>3374</v>
      </c>
      <c r="AI60" s="166">
        <f t="shared" si="47"/>
        <v>196247</v>
      </c>
      <c r="AJ60" s="166">
        <f t="shared" si="47"/>
        <v>2679</v>
      </c>
      <c r="AK60" s="166">
        <f t="shared" si="47"/>
        <v>-1375</v>
      </c>
      <c r="AL60" s="471">
        <f t="shared" si="47"/>
        <v>200925</v>
      </c>
      <c r="AM60" s="166">
        <f t="shared" si="47"/>
        <v>328572</v>
      </c>
      <c r="AN60" s="166">
        <f t="shared" ref="AN60:BK60" si="48">SUM(AN40:AN57)</f>
        <v>-5906</v>
      </c>
      <c r="AO60" s="166">
        <f t="shared" si="48"/>
        <v>-9246</v>
      </c>
      <c r="AP60" s="166">
        <f t="shared" si="48"/>
        <v>-49287</v>
      </c>
      <c r="AQ60" s="471">
        <f t="shared" si="48"/>
        <v>264133</v>
      </c>
      <c r="AR60" s="166">
        <f t="shared" si="48"/>
        <v>3208</v>
      </c>
      <c r="AS60" s="166">
        <f t="shared" si="48"/>
        <v>-1782</v>
      </c>
      <c r="AT60" s="166">
        <f t="shared" si="48"/>
        <v>5012</v>
      </c>
      <c r="AU60" s="166">
        <f t="shared" si="48"/>
        <v>978</v>
      </c>
      <c r="AV60" s="471">
        <f t="shared" si="48"/>
        <v>7416</v>
      </c>
      <c r="AW60" s="166">
        <f t="shared" si="48"/>
        <v>2838</v>
      </c>
      <c r="AX60" s="166">
        <f t="shared" si="48"/>
        <v>1177</v>
      </c>
      <c r="AY60" s="166">
        <f t="shared" si="48"/>
        <v>77780</v>
      </c>
      <c r="AZ60" s="166">
        <f t="shared" si="48"/>
        <v>-2198</v>
      </c>
      <c r="BA60" s="471">
        <f t="shared" si="48"/>
        <v>79597</v>
      </c>
      <c r="BB60" s="166">
        <f t="shared" si="48"/>
        <v>4362</v>
      </c>
      <c r="BC60" s="166">
        <f t="shared" si="48"/>
        <v>-1001</v>
      </c>
      <c r="BD60" s="166">
        <f t="shared" si="48"/>
        <v>3438</v>
      </c>
      <c r="BE60" s="166">
        <f t="shared" si="48"/>
        <v>-1217</v>
      </c>
      <c r="BF60" s="471">
        <f t="shared" si="48"/>
        <v>5582</v>
      </c>
      <c r="BG60" s="166">
        <f t="shared" si="48"/>
        <v>4732</v>
      </c>
      <c r="BH60" s="166">
        <f t="shared" si="48"/>
        <v>-47122</v>
      </c>
      <c r="BI60" s="166">
        <f t="shared" si="48"/>
        <v>2317</v>
      </c>
      <c r="BJ60" s="166">
        <f t="shared" si="48"/>
        <v>-4676</v>
      </c>
      <c r="BK60" s="471">
        <f t="shared" si="48"/>
        <v>-44749</v>
      </c>
      <c r="BL60" s="166">
        <f t="shared" ref="BL60:BU60" si="49">SUM(BL40:BL57)</f>
        <v>3500</v>
      </c>
      <c r="BM60" s="166">
        <f t="shared" si="49"/>
        <v>-550</v>
      </c>
      <c r="BN60" s="166">
        <f t="shared" si="49"/>
        <v>3950</v>
      </c>
      <c r="BO60" s="166">
        <f t="shared" si="49"/>
        <v>-550</v>
      </c>
      <c r="BP60" s="471">
        <f t="shared" si="49"/>
        <v>6350</v>
      </c>
      <c r="BQ60" s="166">
        <f t="shared" si="49"/>
        <v>3500</v>
      </c>
      <c r="BR60" s="166">
        <f t="shared" si="49"/>
        <v>-550</v>
      </c>
      <c r="BS60" s="166">
        <f t="shared" si="49"/>
        <v>3950</v>
      </c>
      <c r="BT60" s="166">
        <f t="shared" si="49"/>
        <v>-550</v>
      </c>
      <c r="BU60" s="471">
        <f t="shared" si="49"/>
        <v>6350</v>
      </c>
    </row>
    <row r="61" spans="2:73" ht="12.75">
      <c r="B61" s="260"/>
      <c r="C61" s="155"/>
      <c r="D61" s="167"/>
      <c r="E61" s="167"/>
      <c r="F61" s="167"/>
      <c r="G61" s="167"/>
      <c r="H61" s="472"/>
      <c r="I61" s="167"/>
      <c r="J61" s="167"/>
      <c r="K61" s="167"/>
      <c r="L61" s="167"/>
      <c r="M61" s="472"/>
      <c r="N61" s="167"/>
      <c r="O61" s="167"/>
      <c r="P61" s="167"/>
      <c r="Q61" s="167"/>
      <c r="R61" s="472"/>
      <c r="S61" s="167"/>
      <c r="T61" s="167"/>
      <c r="U61" s="167"/>
      <c r="V61" s="167"/>
      <c r="W61" s="472"/>
      <c r="X61" s="167"/>
      <c r="Y61" s="167"/>
      <c r="Z61" s="167"/>
      <c r="AA61" s="167"/>
      <c r="AB61" s="472"/>
      <c r="AC61" s="167"/>
      <c r="AD61" s="167"/>
      <c r="AE61" s="167"/>
      <c r="AF61" s="167"/>
      <c r="AG61" s="472"/>
      <c r="AH61" s="167"/>
      <c r="AI61" s="167"/>
      <c r="AJ61" s="167"/>
      <c r="AK61" s="167"/>
      <c r="AL61" s="472"/>
      <c r="AM61" s="167"/>
      <c r="AN61" s="167"/>
      <c r="AO61" s="167"/>
      <c r="AP61" s="167"/>
      <c r="AQ61" s="472"/>
      <c r="AR61" s="167"/>
      <c r="AS61" s="167"/>
      <c r="AT61" s="167"/>
      <c r="AU61" s="167"/>
      <c r="AV61" s="472"/>
      <c r="AW61" s="167"/>
      <c r="AX61" s="167"/>
      <c r="AY61" s="167"/>
      <c r="AZ61" s="167"/>
      <c r="BA61" s="472"/>
      <c r="BB61" s="167"/>
      <c r="BC61" s="167"/>
      <c r="BD61" s="167"/>
      <c r="BE61" s="167"/>
      <c r="BF61" s="472"/>
      <c r="BG61" s="167"/>
      <c r="BH61" s="167"/>
      <c r="BI61" s="167"/>
      <c r="BJ61" s="167"/>
      <c r="BK61" s="472"/>
      <c r="BL61" s="167"/>
      <c r="BM61" s="167"/>
      <c r="BN61" s="167"/>
      <c r="BO61" s="167"/>
      <c r="BP61" s="472"/>
      <c r="BQ61" s="167"/>
      <c r="BR61" s="167"/>
      <c r="BS61" s="167"/>
      <c r="BT61" s="167"/>
      <c r="BU61" s="472"/>
    </row>
    <row r="62" spans="2:73" ht="12.75">
      <c r="B62" s="262" t="s">
        <v>291</v>
      </c>
      <c r="C62" s="155"/>
      <c r="D62" s="167"/>
      <c r="E62" s="167"/>
      <c r="F62" s="167"/>
      <c r="G62" s="167"/>
      <c r="H62" s="472">
        <v>-20</v>
      </c>
      <c r="I62" s="167">
        <v>-244</v>
      </c>
      <c r="J62" s="167">
        <v>157</v>
      </c>
      <c r="K62" s="167">
        <v>-53</v>
      </c>
      <c r="L62" s="167">
        <v>-62</v>
      </c>
      <c r="M62" s="472">
        <v>-202</v>
      </c>
      <c r="N62" s="167">
        <v>151</v>
      </c>
      <c r="O62" s="167">
        <v>-77</v>
      </c>
      <c r="P62" s="167">
        <v>-14</v>
      </c>
      <c r="Q62" s="167">
        <v>-263</v>
      </c>
      <c r="R62" s="472">
        <v>-203</v>
      </c>
      <c r="S62" s="167">
        <v>-76</v>
      </c>
      <c r="T62" s="167">
        <v>220</v>
      </c>
      <c r="U62" s="167">
        <v>175</v>
      </c>
      <c r="V62" s="167">
        <v>-38</v>
      </c>
      <c r="W62" s="472">
        <f>+SUM(S62:V62)</f>
        <v>281</v>
      </c>
      <c r="X62" s="167">
        <v>-36</v>
      </c>
      <c r="Y62" s="167">
        <v>-278</v>
      </c>
      <c r="Z62" s="167">
        <v>-114</v>
      </c>
      <c r="AA62" s="167">
        <v>-266</v>
      </c>
      <c r="AB62" s="472">
        <f>+SUM(X62:AA62)</f>
        <v>-694</v>
      </c>
      <c r="AC62" s="167">
        <v>-148</v>
      </c>
      <c r="AD62" s="167">
        <v>-3</v>
      </c>
      <c r="AE62" s="167">
        <v>-497</v>
      </c>
      <c r="AF62" s="167">
        <v>317</v>
      </c>
      <c r="AG62" s="472">
        <f>+SUM(AC62:AF62)</f>
        <v>-331</v>
      </c>
      <c r="AH62" s="167">
        <v>-560</v>
      </c>
      <c r="AI62" s="167">
        <v>259</v>
      </c>
      <c r="AJ62" s="167">
        <f>461</f>
        <v>461</v>
      </c>
      <c r="AK62" s="167">
        <f>519</f>
        <v>519</v>
      </c>
      <c r="AL62" s="472">
        <f>+SUM(AH62:AK62)</f>
        <v>679</v>
      </c>
      <c r="AM62" s="167">
        <f>-500</f>
        <v>-500</v>
      </c>
      <c r="AN62" s="167">
        <v>207</v>
      </c>
      <c r="AO62" s="167">
        <f>-556</f>
        <v>-556</v>
      </c>
      <c r="AP62" s="167">
        <f>-423</f>
        <v>-423</v>
      </c>
      <c r="AQ62" s="472">
        <f>+SUM(AM62:AP62)</f>
        <v>-1272</v>
      </c>
      <c r="AR62" s="167">
        <f>-800</f>
        <v>-800</v>
      </c>
      <c r="AS62" s="167">
        <f>-2871</f>
        <v>-2871</v>
      </c>
      <c r="AT62" s="167">
        <f>-2036</f>
        <v>-2036</v>
      </c>
      <c r="AU62" s="167">
        <f>2862</f>
        <v>2862</v>
      </c>
      <c r="AV62" s="472">
        <f>+SUM(AR62:AU62)</f>
        <v>-2845</v>
      </c>
      <c r="AW62" s="167">
        <f>-33</f>
        <v>-33</v>
      </c>
      <c r="AX62" s="167">
        <f>-304</f>
        <v>-304</v>
      </c>
      <c r="AY62" s="167">
        <f>-1673</f>
        <v>-1673</v>
      </c>
      <c r="AZ62" s="167">
        <f>3212</f>
        <v>3212</v>
      </c>
      <c r="BA62" s="472">
        <f>+SUM(AW62:AZ62)</f>
        <v>1202</v>
      </c>
      <c r="BB62" s="167">
        <f>-1493</f>
        <v>-1493</v>
      </c>
      <c r="BC62" s="167">
        <f>-583</f>
        <v>-583</v>
      </c>
      <c r="BD62" s="167">
        <f>2846</f>
        <v>2846</v>
      </c>
      <c r="BE62" s="167">
        <v>-3529</v>
      </c>
      <c r="BF62" s="472">
        <f>+SUM(BB62:BE62)</f>
        <v>-2759</v>
      </c>
      <c r="BG62" s="167">
        <f>1334</f>
        <v>1334</v>
      </c>
      <c r="BH62" s="167">
        <f>3513</f>
        <v>3513</v>
      </c>
      <c r="BI62" s="167">
        <f>422</f>
        <v>422</v>
      </c>
      <c r="BJ62" s="167">
        <f>410</f>
        <v>410</v>
      </c>
      <c r="BK62" s="472">
        <f>+SUM(BG62:BJ62)</f>
        <v>5679</v>
      </c>
      <c r="BL62" s="167">
        <f>0</f>
        <v>0</v>
      </c>
      <c r="BM62" s="167">
        <f>0</f>
        <v>0</v>
      </c>
      <c r="BN62" s="167">
        <f>0</f>
        <v>0</v>
      </c>
      <c r="BO62" s="167">
        <f>0</f>
        <v>0</v>
      </c>
      <c r="BP62" s="472">
        <f>+SUM(BL62:BO62)</f>
        <v>0</v>
      </c>
      <c r="BQ62" s="167">
        <f>0</f>
        <v>0</v>
      </c>
      <c r="BR62" s="167">
        <f>0</f>
        <v>0</v>
      </c>
      <c r="BS62" s="167">
        <f>0</f>
        <v>0</v>
      </c>
      <c r="BT62" s="167">
        <f>0</f>
        <v>0</v>
      </c>
      <c r="BU62" s="472">
        <f>+SUM(BQ62:BT62)</f>
        <v>0</v>
      </c>
    </row>
    <row r="63" spans="2:73" ht="3.6" customHeight="1">
      <c r="B63" s="260"/>
      <c r="C63" s="263"/>
      <c r="D63" s="173" t="s">
        <v>1</v>
      </c>
      <c r="E63" s="173" t="s">
        <v>1</v>
      </c>
      <c r="F63" s="173" t="s">
        <v>1</v>
      </c>
      <c r="G63" s="173" t="s">
        <v>1</v>
      </c>
      <c r="H63" s="473" t="s">
        <v>1</v>
      </c>
      <c r="I63" s="173" t="s">
        <v>1</v>
      </c>
      <c r="J63" s="173" t="s">
        <v>1</v>
      </c>
      <c r="K63" s="173" t="s">
        <v>1</v>
      </c>
      <c r="L63" s="173" t="s">
        <v>1</v>
      </c>
      <c r="M63" s="473" t="s">
        <v>1</v>
      </c>
      <c r="N63" s="173" t="s">
        <v>1</v>
      </c>
      <c r="O63" s="173" t="s">
        <v>1</v>
      </c>
      <c r="P63" s="173" t="s">
        <v>1</v>
      </c>
      <c r="Q63" s="173" t="s">
        <v>1</v>
      </c>
      <c r="R63" s="473" t="s">
        <v>1</v>
      </c>
      <c r="S63" s="173" t="s">
        <v>1</v>
      </c>
      <c r="T63" s="173" t="s">
        <v>1</v>
      </c>
      <c r="U63" s="173" t="s">
        <v>1</v>
      </c>
      <c r="V63" s="173" t="s">
        <v>1</v>
      </c>
      <c r="W63" s="473" t="s">
        <v>1</v>
      </c>
      <c r="X63" s="173" t="s">
        <v>1</v>
      </c>
      <c r="Y63" s="173" t="s">
        <v>1</v>
      </c>
      <c r="Z63" s="173" t="s">
        <v>1</v>
      </c>
      <c r="AA63" s="173" t="s">
        <v>1</v>
      </c>
      <c r="AB63" s="473" t="s">
        <v>1</v>
      </c>
      <c r="AC63" s="173" t="s">
        <v>1</v>
      </c>
      <c r="AD63" s="173" t="s">
        <v>1</v>
      </c>
      <c r="AE63" s="173" t="s">
        <v>1</v>
      </c>
      <c r="AF63" s="173" t="s">
        <v>1</v>
      </c>
      <c r="AG63" s="473" t="s">
        <v>1</v>
      </c>
      <c r="AH63" s="173" t="s">
        <v>1</v>
      </c>
      <c r="AI63" s="173" t="s">
        <v>1</v>
      </c>
      <c r="AJ63" s="173" t="s">
        <v>1</v>
      </c>
      <c r="AK63" s="173" t="s">
        <v>1</v>
      </c>
      <c r="AL63" s="473" t="s">
        <v>1</v>
      </c>
      <c r="AM63" s="173" t="s">
        <v>1</v>
      </c>
      <c r="AN63" s="173" t="s">
        <v>1</v>
      </c>
      <c r="AO63" s="173" t="s">
        <v>1</v>
      </c>
      <c r="AP63" s="173" t="s">
        <v>1</v>
      </c>
      <c r="AQ63" s="473" t="s">
        <v>1</v>
      </c>
      <c r="AR63" s="173" t="s">
        <v>1</v>
      </c>
      <c r="AS63" s="173" t="s">
        <v>1</v>
      </c>
      <c r="AT63" s="173" t="s">
        <v>1</v>
      </c>
      <c r="AU63" s="173" t="s">
        <v>1</v>
      </c>
      <c r="AV63" s="473" t="s">
        <v>1</v>
      </c>
      <c r="AW63" s="173" t="s">
        <v>1</v>
      </c>
      <c r="AX63" s="173" t="s">
        <v>1</v>
      </c>
      <c r="AY63" s="173" t="s">
        <v>1</v>
      </c>
      <c r="AZ63" s="173" t="s">
        <v>1</v>
      </c>
      <c r="BA63" s="473" t="s">
        <v>1</v>
      </c>
      <c r="BB63" s="173" t="s">
        <v>1</v>
      </c>
      <c r="BC63" s="173" t="s">
        <v>1</v>
      </c>
      <c r="BD63" s="173" t="s">
        <v>1</v>
      </c>
      <c r="BE63" s="173" t="s">
        <v>1</v>
      </c>
      <c r="BF63" s="473" t="s">
        <v>1</v>
      </c>
      <c r="BG63" s="173" t="s">
        <v>1</v>
      </c>
      <c r="BH63" s="173" t="s">
        <v>1</v>
      </c>
      <c r="BI63" s="173" t="s">
        <v>1</v>
      </c>
      <c r="BJ63" s="173" t="s">
        <v>1</v>
      </c>
      <c r="BK63" s="473" t="s">
        <v>1</v>
      </c>
      <c r="BL63" s="173" t="s">
        <v>1</v>
      </c>
      <c r="BM63" s="173" t="s">
        <v>1</v>
      </c>
      <c r="BN63" s="173" t="s">
        <v>1</v>
      </c>
      <c r="BO63" s="173" t="s">
        <v>1</v>
      </c>
      <c r="BP63" s="473" t="s">
        <v>1</v>
      </c>
      <c r="BQ63" s="173" t="s">
        <v>1</v>
      </c>
      <c r="BR63" s="173" t="s">
        <v>1</v>
      </c>
      <c r="BS63" s="173" t="s">
        <v>1</v>
      </c>
      <c r="BT63" s="173" t="s">
        <v>1</v>
      </c>
      <c r="BU63" s="473" t="s">
        <v>1</v>
      </c>
    </row>
    <row r="64" spans="2:73" ht="13.15">
      <c r="B64" s="264" t="s">
        <v>117</v>
      </c>
      <c r="C64" s="166"/>
      <c r="D64" s="166"/>
      <c r="E64" s="166"/>
      <c r="F64" s="166"/>
      <c r="G64" s="166"/>
      <c r="H64" s="471">
        <f t="shared" ref="H64:AM64" si="50">SUM(H60:H62)+H37+H26</f>
        <v>16211</v>
      </c>
      <c r="I64" s="166">
        <f t="shared" si="50"/>
        <v>-3480</v>
      </c>
      <c r="J64" s="166">
        <f t="shared" si="50"/>
        <v>-6343</v>
      </c>
      <c r="K64" s="166">
        <f t="shared" si="50"/>
        <v>96984</v>
      </c>
      <c r="L64" s="166">
        <f t="shared" si="50"/>
        <v>-37431</v>
      </c>
      <c r="M64" s="471">
        <f t="shared" si="50"/>
        <v>49730</v>
      </c>
      <c r="N64" s="166">
        <f t="shared" si="50"/>
        <v>-3045</v>
      </c>
      <c r="O64" s="166">
        <f t="shared" si="50"/>
        <v>1247</v>
      </c>
      <c r="P64" s="166">
        <f t="shared" si="50"/>
        <v>2960</v>
      </c>
      <c r="Q64" s="166">
        <f t="shared" si="50"/>
        <v>-34567</v>
      </c>
      <c r="R64" s="471">
        <f t="shared" si="50"/>
        <v>-33405</v>
      </c>
      <c r="S64" s="166">
        <f t="shared" si="50"/>
        <v>-2486</v>
      </c>
      <c r="T64" s="166">
        <f t="shared" si="50"/>
        <v>2406</v>
      </c>
      <c r="U64" s="166">
        <f t="shared" si="50"/>
        <v>-4013</v>
      </c>
      <c r="V64" s="166">
        <f t="shared" si="50"/>
        <v>2507</v>
      </c>
      <c r="W64" s="471">
        <f t="shared" si="50"/>
        <v>-1586</v>
      </c>
      <c r="X64" s="166">
        <f t="shared" si="50"/>
        <v>48384</v>
      </c>
      <c r="Y64" s="166">
        <f t="shared" si="50"/>
        <v>1085</v>
      </c>
      <c r="Z64" s="166">
        <f t="shared" si="50"/>
        <v>29929</v>
      </c>
      <c r="AA64" s="166">
        <f t="shared" si="50"/>
        <v>-31595</v>
      </c>
      <c r="AB64" s="471">
        <f t="shared" si="50"/>
        <v>47803</v>
      </c>
      <c r="AC64" s="166">
        <f t="shared" si="50"/>
        <v>-9696</v>
      </c>
      <c r="AD64" s="166">
        <f t="shared" si="50"/>
        <v>36700</v>
      </c>
      <c r="AE64" s="166">
        <f t="shared" si="50"/>
        <v>-11644</v>
      </c>
      <c r="AF64" s="166">
        <f t="shared" si="50"/>
        <v>8488</v>
      </c>
      <c r="AG64" s="471">
        <f t="shared" si="50"/>
        <v>23848</v>
      </c>
      <c r="AH64" s="166">
        <f t="shared" si="50"/>
        <v>81021</v>
      </c>
      <c r="AI64" s="166">
        <f t="shared" si="50"/>
        <v>76192</v>
      </c>
      <c r="AJ64" s="166">
        <f t="shared" si="50"/>
        <v>-40917</v>
      </c>
      <c r="AK64" s="166">
        <f t="shared" si="50"/>
        <v>-66092</v>
      </c>
      <c r="AL64" s="471">
        <f t="shared" si="50"/>
        <v>50204</v>
      </c>
      <c r="AM64" s="166">
        <f t="shared" si="50"/>
        <v>330223</v>
      </c>
      <c r="AN64" s="166">
        <f t="shared" ref="AN64:BK64" si="51">SUM(AN60:AN62)+AN37+AN26</f>
        <v>-10235</v>
      </c>
      <c r="AO64" s="166">
        <f t="shared" si="51"/>
        <v>-266075</v>
      </c>
      <c r="AP64" s="166">
        <f t="shared" si="51"/>
        <v>-62513</v>
      </c>
      <c r="AQ64" s="471">
        <f t="shared" si="51"/>
        <v>-8600</v>
      </c>
      <c r="AR64" s="166">
        <f t="shared" si="51"/>
        <v>-23100</v>
      </c>
      <c r="AS64" s="166">
        <f t="shared" si="51"/>
        <v>24257</v>
      </c>
      <c r="AT64" s="166">
        <f t="shared" si="51"/>
        <v>2694</v>
      </c>
      <c r="AU64" s="166">
        <f t="shared" si="51"/>
        <v>38936</v>
      </c>
      <c r="AV64" s="471">
        <f t="shared" si="51"/>
        <v>42787</v>
      </c>
      <c r="AW64" s="166">
        <f t="shared" si="51"/>
        <v>-1530</v>
      </c>
      <c r="AX64" s="166">
        <f t="shared" si="51"/>
        <v>-19828</v>
      </c>
      <c r="AY64" s="166">
        <f t="shared" si="51"/>
        <v>-3231</v>
      </c>
      <c r="AZ64" s="166">
        <f t="shared" si="51"/>
        <v>30912</v>
      </c>
      <c r="BA64" s="471">
        <f t="shared" si="51"/>
        <v>6323</v>
      </c>
      <c r="BB64" s="166">
        <f t="shared" si="51"/>
        <v>-7755</v>
      </c>
      <c r="BC64" s="166">
        <f t="shared" si="51"/>
        <v>38173</v>
      </c>
      <c r="BD64" s="166">
        <f t="shared" si="51"/>
        <v>-14440</v>
      </c>
      <c r="BE64" s="166">
        <f t="shared" si="51"/>
        <v>111993</v>
      </c>
      <c r="BF64" s="471">
        <f t="shared" si="51"/>
        <v>127971</v>
      </c>
      <c r="BG64" s="166">
        <f t="shared" si="51"/>
        <v>-43390</v>
      </c>
      <c r="BH64" s="166">
        <f t="shared" si="51"/>
        <v>-37384</v>
      </c>
      <c r="BI64" s="166">
        <f t="shared" si="51"/>
        <v>-130714</v>
      </c>
      <c r="BJ64" s="166">
        <f t="shared" si="51"/>
        <v>116051</v>
      </c>
      <c r="BK64" s="471">
        <f t="shared" si="51"/>
        <v>-95437</v>
      </c>
      <c r="BL64" s="166">
        <f t="shared" ref="BL64:BU64" si="52">SUM(BL60:BL62)+BL37+BL26</f>
        <v>25230.316204027793</v>
      </c>
      <c r="BM64" s="166">
        <f t="shared" si="52"/>
        <v>34422.219245822227</v>
      </c>
      <c r="BN64" s="166">
        <f t="shared" si="52"/>
        <v>27619.974858971102</v>
      </c>
      <c r="BO64" s="166">
        <f t="shared" si="52"/>
        <v>49118.897060627249</v>
      </c>
      <c r="BP64" s="471">
        <f t="shared" si="52"/>
        <v>136391.40736944834</v>
      </c>
      <c r="BQ64" s="166">
        <f t="shared" si="52"/>
        <v>23928.766085881285</v>
      </c>
      <c r="BR64" s="166">
        <f t="shared" si="52"/>
        <v>30355.22829111194</v>
      </c>
      <c r="BS64" s="166">
        <f t="shared" si="52"/>
        <v>30300.211860919229</v>
      </c>
      <c r="BT64" s="166">
        <f t="shared" si="52"/>
        <v>52496.147467990595</v>
      </c>
      <c r="BU64" s="471">
        <f t="shared" si="52"/>
        <v>137080.35370590305</v>
      </c>
    </row>
    <row r="65" spans="2:73" ht="12.75">
      <c r="B65" s="260"/>
      <c r="C65" s="155"/>
      <c r="D65" s="168"/>
      <c r="E65" s="168"/>
      <c r="F65" s="168"/>
      <c r="G65" s="168"/>
      <c r="H65" s="472"/>
      <c r="I65" s="167"/>
      <c r="J65" s="167"/>
      <c r="K65" s="167"/>
      <c r="L65" s="167"/>
      <c r="M65" s="472"/>
      <c r="N65" s="167"/>
      <c r="O65" s="167"/>
      <c r="P65" s="167"/>
      <c r="Q65" s="167"/>
      <c r="R65" s="472"/>
      <c r="S65" s="167"/>
      <c r="T65" s="167"/>
      <c r="U65" s="167"/>
      <c r="V65" s="167"/>
      <c r="W65" s="472"/>
      <c r="X65" s="167"/>
      <c r="Y65" s="167"/>
      <c r="Z65" s="167"/>
      <c r="AA65" s="167"/>
      <c r="AB65" s="472"/>
      <c r="AC65" s="167"/>
      <c r="AD65" s="167"/>
      <c r="AE65" s="167"/>
      <c r="AF65" s="167"/>
      <c r="AG65" s="472"/>
      <c r="AH65" s="167"/>
      <c r="AI65" s="167"/>
      <c r="AJ65" s="167"/>
      <c r="AK65" s="167"/>
      <c r="AL65" s="472"/>
      <c r="AM65" s="167"/>
      <c r="AN65" s="167"/>
      <c r="AO65" s="167"/>
      <c r="AP65" s="167"/>
      <c r="AQ65" s="472"/>
      <c r="AR65" s="167"/>
      <c r="AS65" s="167"/>
      <c r="AT65" s="167"/>
      <c r="AU65" s="167"/>
      <c r="AV65" s="472"/>
      <c r="AW65" s="167"/>
      <c r="AX65" s="167"/>
      <c r="AY65" s="167"/>
      <c r="AZ65" s="167"/>
      <c r="BA65" s="472"/>
      <c r="BB65" s="167"/>
      <c r="BC65" s="167"/>
      <c r="BD65" s="167"/>
      <c r="BE65" s="167"/>
      <c r="BF65" s="472"/>
      <c r="BG65" s="167"/>
      <c r="BH65" s="167"/>
      <c r="BI65" s="167"/>
      <c r="BJ65" s="167"/>
      <c r="BK65" s="472"/>
      <c r="BL65" s="167"/>
      <c r="BM65" s="167"/>
      <c r="BN65" s="167"/>
      <c r="BO65" s="167"/>
      <c r="BP65" s="472"/>
      <c r="BQ65" s="167"/>
      <c r="BR65" s="167"/>
      <c r="BS65" s="167"/>
      <c r="BT65" s="167"/>
      <c r="BU65" s="472"/>
    </row>
    <row r="66" spans="2:73" ht="12.75">
      <c r="B66" s="260"/>
      <c r="C66" s="155"/>
      <c r="D66" s="168"/>
      <c r="E66" s="168"/>
      <c r="F66" s="168"/>
      <c r="G66" s="168"/>
      <c r="H66" s="472"/>
      <c r="I66" s="167"/>
      <c r="J66" s="167"/>
      <c r="K66" s="167"/>
      <c r="L66" s="167"/>
      <c r="M66" s="472"/>
      <c r="N66" s="167"/>
      <c r="O66" s="167"/>
      <c r="P66" s="167"/>
      <c r="Q66" s="167"/>
      <c r="R66" s="472"/>
      <c r="S66" s="167"/>
      <c r="T66" s="167"/>
      <c r="U66" s="167"/>
      <c r="V66" s="167"/>
      <c r="W66" s="472"/>
      <c r="X66" s="167"/>
      <c r="Y66" s="167"/>
      <c r="Z66" s="167"/>
      <c r="AA66" s="167"/>
      <c r="AB66" s="472"/>
      <c r="AC66" s="167"/>
      <c r="AD66" s="167"/>
      <c r="AE66" s="167"/>
      <c r="AF66" s="167"/>
      <c r="AG66" s="472"/>
      <c r="AH66" s="167"/>
      <c r="AI66" s="167"/>
      <c r="AJ66" s="167"/>
      <c r="AK66" s="167"/>
      <c r="AL66" s="472"/>
      <c r="AM66" s="167"/>
      <c r="AN66" s="167"/>
      <c r="AO66" s="167"/>
      <c r="AP66" s="167"/>
      <c r="AQ66" s="472"/>
      <c r="AR66" s="167"/>
      <c r="AS66" s="167"/>
      <c r="AT66" s="167"/>
      <c r="AU66" s="167"/>
      <c r="AV66" s="472"/>
      <c r="AW66" s="167"/>
      <c r="AX66" s="167"/>
      <c r="AY66" s="167"/>
      <c r="AZ66" s="167"/>
      <c r="BA66" s="472"/>
      <c r="BB66" s="167"/>
      <c r="BC66" s="167"/>
      <c r="BD66" s="167"/>
      <c r="BE66" s="167"/>
      <c r="BF66" s="472"/>
      <c r="BG66" s="167"/>
      <c r="BH66" s="167"/>
      <c r="BI66" s="167"/>
      <c r="BJ66" s="167"/>
      <c r="BK66" s="472"/>
      <c r="BL66" s="167"/>
      <c r="BM66" s="167"/>
      <c r="BN66" s="167"/>
      <c r="BO66" s="167"/>
      <c r="BP66" s="472"/>
      <c r="BQ66" s="167"/>
      <c r="BR66" s="167"/>
      <c r="BS66" s="167"/>
      <c r="BT66" s="167"/>
      <c r="BU66" s="472"/>
    </row>
    <row r="67" spans="2:73" ht="12.75">
      <c r="B67" s="260" t="s">
        <v>253</v>
      </c>
      <c r="C67" s="155"/>
      <c r="D67" s="167"/>
      <c r="E67" s="167"/>
      <c r="F67" s="167"/>
      <c r="G67" s="167"/>
      <c r="H67" s="503">
        <v>20612</v>
      </c>
      <c r="I67" s="167">
        <f>+H68</f>
        <v>36823</v>
      </c>
      <c r="J67" s="167">
        <f>+I68</f>
        <v>33343</v>
      </c>
      <c r="K67" s="167">
        <f>+J68</f>
        <v>27000</v>
      </c>
      <c r="L67" s="167">
        <f>+K68</f>
        <v>123984</v>
      </c>
      <c r="M67" s="472">
        <f>+H68</f>
        <v>36823</v>
      </c>
      <c r="N67" s="167">
        <f>+M68</f>
        <v>86553</v>
      </c>
      <c r="O67" s="167">
        <f>+N68</f>
        <v>83508</v>
      </c>
      <c r="P67" s="167">
        <f>+O68</f>
        <v>84755</v>
      </c>
      <c r="Q67" s="167">
        <f>+P68</f>
        <v>87715</v>
      </c>
      <c r="R67" s="472">
        <f>+M68</f>
        <v>86553</v>
      </c>
      <c r="S67" s="167">
        <f>+R68</f>
        <v>53148</v>
      </c>
      <c r="T67" s="167">
        <f>+S68</f>
        <v>50662</v>
      </c>
      <c r="U67" s="167">
        <f>+T68</f>
        <v>53068</v>
      </c>
      <c r="V67" s="167">
        <f>+U68</f>
        <v>49055</v>
      </c>
      <c r="W67" s="472">
        <f>+R68</f>
        <v>53148</v>
      </c>
      <c r="X67" s="167">
        <f>+W68</f>
        <v>51762</v>
      </c>
      <c r="Y67" s="167">
        <f>+X68</f>
        <v>100146</v>
      </c>
      <c r="Z67" s="167">
        <f>+Y68</f>
        <v>101231</v>
      </c>
      <c r="AA67" s="167">
        <f>+Z68</f>
        <v>131160</v>
      </c>
      <c r="AB67" s="472">
        <f>+W68</f>
        <v>51762</v>
      </c>
      <c r="AC67" s="167">
        <f>+AB68</f>
        <v>99565</v>
      </c>
      <c r="AD67" s="167">
        <f>+AC68</f>
        <v>89869</v>
      </c>
      <c r="AE67" s="167">
        <f>+AD68</f>
        <v>126569</v>
      </c>
      <c r="AF67" s="167">
        <f>+AE68</f>
        <v>114925</v>
      </c>
      <c r="AG67" s="472">
        <f>+AB68</f>
        <v>99565</v>
      </c>
      <c r="AH67" s="167">
        <f>+AG68</f>
        <v>123413</v>
      </c>
      <c r="AI67" s="167">
        <f>+AH68</f>
        <v>204434</v>
      </c>
      <c r="AJ67" s="167">
        <f>+AI68</f>
        <v>280626</v>
      </c>
      <c r="AK67" s="167">
        <f>+AJ68</f>
        <v>239709</v>
      </c>
      <c r="AL67" s="472">
        <f>+AG68</f>
        <v>123413</v>
      </c>
      <c r="AM67" s="167">
        <f>+AL68</f>
        <v>173617</v>
      </c>
      <c r="AN67" s="167">
        <f>+AM68</f>
        <v>503840</v>
      </c>
      <c r="AO67" s="167">
        <f>+AN68</f>
        <v>493605</v>
      </c>
      <c r="AP67" s="167">
        <f>+AO68</f>
        <v>227530</v>
      </c>
      <c r="AQ67" s="472">
        <f>+AL68</f>
        <v>173617</v>
      </c>
      <c r="AR67" s="167">
        <f>+AQ68</f>
        <v>165017</v>
      </c>
      <c r="AS67" s="167">
        <f>+AR68</f>
        <v>141917</v>
      </c>
      <c r="AT67" s="167">
        <f>+AS68</f>
        <v>166174</v>
      </c>
      <c r="AU67" s="167">
        <f>+AT68</f>
        <v>168868</v>
      </c>
      <c r="AV67" s="472">
        <f>+AQ68</f>
        <v>165017</v>
      </c>
      <c r="AW67" s="167">
        <f>+AV68</f>
        <v>207804</v>
      </c>
      <c r="AX67" s="167">
        <f>+AW68</f>
        <v>206274</v>
      </c>
      <c r="AY67" s="167">
        <f>+AX68</f>
        <v>186446</v>
      </c>
      <c r="AZ67" s="167">
        <f>+AY68</f>
        <v>183215</v>
      </c>
      <c r="BA67" s="472">
        <f>+AV68</f>
        <v>207804</v>
      </c>
      <c r="BB67" s="167">
        <f>+BA68+3</f>
        <v>214130</v>
      </c>
      <c r="BC67" s="167">
        <f>+BB68</f>
        <v>206375</v>
      </c>
      <c r="BD67" s="167">
        <f>+BC68</f>
        <v>244548</v>
      </c>
      <c r="BE67" s="167">
        <f>+BD68</f>
        <v>230108</v>
      </c>
      <c r="BF67" s="472">
        <f>+BA68</f>
        <v>214127</v>
      </c>
      <c r="BG67" s="167">
        <f>+BE68</f>
        <v>342101</v>
      </c>
      <c r="BH67" s="167">
        <f>+BG68</f>
        <v>298711</v>
      </c>
      <c r="BI67" s="167">
        <f>+BH68</f>
        <v>261327</v>
      </c>
      <c r="BJ67" s="167">
        <f>+BI68</f>
        <v>130613</v>
      </c>
      <c r="BK67" s="472">
        <f>+BF68</f>
        <v>342098</v>
      </c>
      <c r="BL67" s="167">
        <f>+BK68</f>
        <v>246661</v>
      </c>
      <c r="BM67" s="167">
        <f>+BL68</f>
        <v>271891.3162040278</v>
      </c>
      <c r="BN67" s="167">
        <f>+BM68</f>
        <v>306313.53544985002</v>
      </c>
      <c r="BO67" s="167">
        <f>+BN68</f>
        <v>333933.5103088211</v>
      </c>
      <c r="BP67" s="472">
        <f>+BK68</f>
        <v>246661</v>
      </c>
      <c r="BQ67" s="167">
        <f>+BP68</f>
        <v>383052.40736944834</v>
      </c>
      <c r="BR67" s="167">
        <f>+BQ68</f>
        <v>406981.17345532961</v>
      </c>
      <c r="BS67" s="167">
        <f>+BR68</f>
        <v>437336.40174644155</v>
      </c>
      <c r="BT67" s="167">
        <f>+BS68</f>
        <v>467636.61360736081</v>
      </c>
      <c r="BU67" s="472">
        <f>+BP68</f>
        <v>383052.40736944834</v>
      </c>
    </row>
    <row r="68" spans="2:73" ht="13.15">
      <c r="B68" s="261" t="s">
        <v>254</v>
      </c>
      <c r="C68" s="158"/>
      <c r="D68" s="166"/>
      <c r="E68" s="166"/>
      <c r="F68" s="166"/>
      <c r="G68" s="166"/>
      <c r="H68" s="471">
        <f t="shared" ref="H68:V68" si="53">+H67+H64</f>
        <v>36823</v>
      </c>
      <c r="I68" s="166">
        <f t="shared" si="53"/>
        <v>33343</v>
      </c>
      <c r="J68" s="166">
        <f t="shared" si="53"/>
        <v>27000</v>
      </c>
      <c r="K68" s="166">
        <f t="shared" si="53"/>
        <v>123984</v>
      </c>
      <c r="L68" s="166">
        <f t="shared" si="53"/>
        <v>86553</v>
      </c>
      <c r="M68" s="471">
        <f t="shared" si="53"/>
        <v>86553</v>
      </c>
      <c r="N68" s="166">
        <f t="shared" si="53"/>
        <v>83508</v>
      </c>
      <c r="O68" s="166">
        <f t="shared" si="53"/>
        <v>84755</v>
      </c>
      <c r="P68" s="166">
        <f t="shared" si="53"/>
        <v>87715</v>
      </c>
      <c r="Q68" s="166">
        <f t="shared" si="53"/>
        <v>53148</v>
      </c>
      <c r="R68" s="471">
        <f t="shared" si="53"/>
        <v>53148</v>
      </c>
      <c r="S68" s="166">
        <f t="shared" si="53"/>
        <v>50662</v>
      </c>
      <c r="T68" s="166">
        <f t="shared" si="53"/>
        <v>53068</v>
      </c>
      <c r="U68" s="166">
        <f t="shared" si="53"/>
        <v>49055</v>
      </c>
      <c r="V68" s="166">
        <f t="shared" si="53"/>
        <v>51562</v>
      </c>
      <c r="W68" s="776">
        <v>51762</v>
      </c>
      <c r="X68" s="166">
        <f t="shared" ref="X68:BP68" si="54">+X67+X64</f>
        <v>100146</v>
      </c>
      <c r="Y68" s="166">
        <f t="shared" si="54"/>
        <v>101231</v>
      </c>
      <c r="Z68" s="166">
        <f t="shared" si="54"/>
        <v>131160</v>
      </c>
      <c r="AA68" s="166">
        <f t="shared" si="54"/>
        <v>99565</v>
      </c>
      <c r="AB68" s="471">
        <f t="shared" si="54"/>
        <v>99565</v>
      </c>
      <c r="AC68" s="166">
        <f t="shared" si="54"/>
        <v>89869</v>
      </c>
      <c r="AD68" s="166">
        <f t="shared" si="54"/>
        <v>126569</v>
      </c>
      <c r="AE68" s="166">
        <f t="shared" si="54"/>
        <v>114925</v>
      </c>
      <c r="AF68" s="166">
        <f t="shared" si="54"/>
        <v>123413</v>
      </c>
      <c r="AG68" s="471">
        <f t="shared" si="54"/>
        <v>123413</v>
      </c>
      <c r="AH68" s="166">
        <f t="shared" si="54"/>
        <v>204434</v>
      </c>
      <c r="AI68" s="166">
        <f t="shared" si="54"/>
        <v>280626</v>
      </c>
      <c r="AJ68" s="166">
        <f t="shared" si="54"/>
        <v>239709</v>
      </c>
      <c r="AK68" s="166">
        <f t="shared" si="54"/>
        <v>173617</v>
      </c>
      <c r="AL68" s="471">
        <f t="shared" si="54"/>
        <v>173617</v>
      </c>
      <c r="AM68" s="166">
        <f t="shared" si="54"/>
        <v>503840</v>
      </c>
      <c r="AN68" s="166">
        <f t="shared" si="54"/>
        <v>493605</v>
      </c>
      <c r="AO68" s="166">
        <f t="shared" si="54"/>
        <v>227530</v>
      </c>
      <c r="AP68" s="166">
        <f t="shared" si="54"/>
        <v>165017</v>
      </c>
      <c r="AQ68" s="471">
        <f t="shared" si="54"/>
        <v>165017</v>
      </c>
      <c r="AR68" s="166">
        <f t="shared" si="54"/>
        <v>141917</v>
      </c>
      <c r="AS68" s="166">
        <f t="shared" si="54"/>
        <v>166174</v>
      </c>
      <c r="AT68" s="166">
        <f t="shared" si="54"/>
        <v>168868</v>
      </c>
      <c r="AU68" s="166">
        <f t="shared" si="54"/>
        <v>207804</v>
      </c>
      <c r="AV68" s="471">
        <f t="shared" si="54"/>
        <v>207804</v>
      </c>
      <c r="AW68" s="166">
        <f t="shared" si="54"/>
        <v>206274</v>
      </c>
      <c r="AX68" s="166">
        <f t="shared" si="54"/>
        <v>186446</v>
      </c>
      <c r="AY68" s="166">
        <f t="shared" si="54"/>
        <v>183215</v>
      </c>
      <c r="AZ68" s="166">
        <f t="shared" si="54"/>
        <v>214127</v>
      </c>
      <c r="BA68" s="471">
        <f t="shared" si="54"/>
        <v>214127</v>
      </c>
      <c r="BB68" s="166">
        <f t="shared" si="54"/>
        <v>206375</v>
      </c>
      <c r="BC68" s="166">
        <f t="shared" si="54"/>
        <v>244548</v>
      </c>
      <c r="BD68" s="166">
        <f t="shared" si="54"/>
        <v>230108</v>
      </c>
      <c r="BE68" s="166">
        <f t="shared" si="54"/>
        <v>342101</v>
      </c>
      <c r="BF68" s="471">
        <f t="shared" si="54"/>
        <v>342098</v>
      </c>
      <c r="BG68" s="166">
        <f t="shared" si="54"/>
        <v>298711</v>
      </c>
      <c r="BH68" s="166">
        <f t="shared" si="54"/>
        <v>261327</v>
      </c>
      <c r="BI68" s="166">
        <f t="shared" si="54"/>
        <v>130613</v>
      </c>
      <c r="BJ68" s="166">
        <f t="shared" si="54"/>
        <v>246664</v>
      </c>
      <c r="BK68" s="471">
        <f t="shared" si="54"/>
        <v>246661</v>
      </c>
      <c r="BL68" s="166">
        <f t="shared" si="54"/>
        <v>271891.3162040278</v>
      </c>
      <c r="BM68" s="166">
        <f t="shared" si="54"/>
        <v>306313.53544985002</v>
      </c>
      <c r="BN68" s="166">
        <f t="shared" si="54"/>
        <v>333933.5103088211</v>
      </c>
      <c r="BO68" s="166">
        <f t="shared" si="54"/>
        <v>383052.40736944834</v>
      </c>
      <c r="BP68" s="471">
        <f t="shared" si="54"/>
        <v>383052.40736944834</v>
      </c>
      <c r="BQ68" s="166">
        <f t="shared" ref="BQ68:BU68" si="55">+BQ67+BQ64</f>
        <v>406981.17345532961</v>
      </c>
      <c r="BR68" s="166">
        <f t="shared" si="55"/>
        <v>437336.40174644155</v>
      </c>
      <c r="BS68" s="166">
        <f t="shared" si="55"/>
        <v>467636.61360736081</v>
      </c>
      <c r="BT68" s="166">
        <f t="shared" si="55"/>
        <v>520132.76107535139</v>
      </c>
      <c r="BU68" s="471">
        <f t="shared" si="55"/>
        <v>520132.76107535139</v>
      </c>
    </row>
    <row r="69" spans="2:73" ht="12.75">
      <c r="B69" s="260"/>
      <c r="C69" s="155"/>
      <c r="D69" s="167"/>
      <c r="E69" s="167"/>
      <c r="F69" s="167"/>
      <c r="G69" s="167"/>
      <c r="H69" s="472"/>
      <c r="I69" s="167"/>
      <c r="J69" s="167"/>
      <c r="K69" s="167"/>
      <c r="L69" s="167"/>
      <c r="M69" s="472"/>
      <c r="N69" s="167"/>
      <c r="O69" s="167"/>
      <c r="P69" s="167"/>
      <c r="Q69" s="167"/>
      <c r="R69" s="472"/>
      <c r="S69" s="167"/>
      <c r="T69" s="167"/>
      <c r="U69" s="167"/>
      <c r="V69" s="167"/>
      <c r="W69" s="472"/>
      <c r="X69" s="167"/>
      <c r="Y69" s="167"/>
      <c r="Z69" s="167"/>
      <c r="AA69" s="167"/>
      <c r="AB69" s="472"/>
      <c r="AC69" s="167"/>
      <c r="AD69" s="167"/>
      <c r="AE69" s="167"/>
      <c r="AF69" s="167"/>
      <c r="AG69" s="472"/>
      <c r="AH69" s="167"/>
      <c r="AI69" s="167"/>
      <c r="AJ69" s="167"/>
      <c r="AK69" s="167"/>
      <c r="AL69" s="472"/>
      <c r="AM69" s="167"/>
      <c r="AN69" s="167"/>
      <c r="AO69" s="167"/>
      <c r="AP69" s="167"/>
      <c r="AQ69" s="472"/>
      <c r="AR69" s="167"/>
      <c r="AS69" s="167"/>
      <c r="AT69" s="167"/>
      <c r="AU69" s="167"/>
      <c r="AV69" s="472"/>
      <c r="AW69" s="167"/>
      <c r="AX69" s="167"/>
      <c r="AY69" s="167"/>
      <c r="AZ69" s="167"/>
      <c r="BA69" s="472"/>
      <c r="BB69" s="167"/>
      <c r="BC69" s="167"/>
      <c r="BD69" s="167"/>
      <c r="BE69" s="167"/>
      <c r="BF69" s="472"/>
      <c r="BG69" s="167"/>
      <c r="BH69" s="167"/>
      <c r="BI69" s="167"/>
      <c r="BJ69" s="167"/>
      <c r="BK69" s="472"/>
      <c r="BL69" s="167"/>
      <c r="BM69" s="167"/>
      <c r="BN69" s="167"/>
      <c r="BO69" s="167"/>
      <c r="BP69" s="472"/>
      <c r="BQ69" s="167"/>
      <c r="BR69" s="167"/>
      <c r="BS69" s="167"/>
      <c r="BT69" s="167"/>
      <c r="BU69" s="472"/>
    </row>
    <row r="70" spans="2:73" ht="13.15">
      <c r="B70" s="321" t="s">
        <v>188</v>
      </c>
      <c r="C70" s="155"/>
      <c r="D70" s="167"/>
      <c r="E70" s="167"/>
      <c r="F70" s="167"/>
      <c r="G70" s="167"/>
      <c r="H70" s="472"/>
      <c r="I70" s="167"/>
      <c r="J70" s="167"/>
      <c r="K70" s="167"/>
      <c r="L70" s="167"/>
      <c r="M70" s="472"/>
      <c r="N70" s="167"/>
      <c r="O70" s="167"/>
      <c r="P70" s="167"/>
      <c r="Q70" s="167"/>
      <c r="R70" s="472"/>
      <c r="S70" s="167"/>
      <c r="T70" s="167"/>
      <c r="U70" s="167"/>
      <c r="V70" s="167"/>
      <c r="W70" s="472"/>
      <c r="X70" s="167"/>
      <c r="Y70" s="167"/>
      <c r="Z70" s="167"/>
      <c r="AA70" s="167"/>
      <c r="AB70" s="472"/>
      <c r="AC70" s="167"/>
      <c r="AD70" s="167"/>
      <c r="AE70" s="167"/>
      <c r="AF70" s="167"/>
      <c r="AG70" s="472"/>
      <c r="AH70" s="167"/>
      <c r="AI70" s="167"/>
      <c r="AJ70" s="167"/>
      <c r="AK70" s="167"/>
      <c r="AL70" s="472"/>
      <c r="AM70" s="167"/>
      <c r="AN70" s="167"/>
      <c r="AO70" s="167"/>
      <c r="AP70" s="167"/>
      <c r="AQ70" s="472"/>
      <c r="AR70" s="167"/>
      <c r="AS70" s="167"/>
      <c r="AT70" s="167"/>
      <c r="AU70" s="167"/>
      <c r="AV70" s="472"/>
      <c r="AW70" s="167"/>
      <c r="AX70" s="167"/>
      <c r="AY70" s="167"/>
      <c r="AZ70" s="167"/>
      <c r="BA70" s="472"/>
      <c r="BB70" s="167"/>
      <c r="BC70" s="167"/>
      <c r="BD70" s="167"/>
      <c r="BE70" s="167"/>
      <c r="BF70" s="472"/>
      <c r="BG70" s="167"/>
      <c r="BH70" s="167"/>
      <c r="BI70" s="167"/>
      <c r="BJ70" s="167"/>
      <c r="BK70" s="472"/>
      <c r="BL70" s="167"/>
      <c r="BM70" s="167"/>
      <c r="BN70" s="167"/>
      <c r="BO70" s="167"/>
      <c r="BP70" s="472"/>
      <c r="BQ70" s="167"/>
      <c r="BR70" s="167"/>
      <c r="BS70" s="167"/>
      <c r="BT70" s="167"/>
      <c r="BU70" s="472"/>
    </row>
    <row r="71" spans="2:73" ht="12.75">
      <c r="B71" s="262" t="s">
        <v>255</v>
      </c>
      <c r="C71" s="155"/>
      <c r="D71" s="167"/>
      <c r="E71" s="167"/>
      <c r="F71" s="167"/>
      <c r="G71" s="167"/>
      <c r="H71" s="472">
        <f t="shared" ref="H71:AM71" si="56">+H26</f>
        <v>-3356</v>
      </c>
      <c r="I71" s="167">
        <f t="shared" si="56"/>
        <v>-3012</v>
      </c>
      <c r="J71" s="167">
        <f t="shared" si="56"/>
        <v>-1241</v>
      </c>
      <c r="K71" s="167">
        <f t="shared" si="56"/>
        <v>2273</v>
      </c>
      <c r="L71" s="167">
        <f t="shared" si="56"/>
        <v>73</v>
      </c>
      <c r="M71" s="472">
        <f t="shared" si="56"/>
        <v>-1907</v>
      </c>
      <c r="N71" s="167">
        <f t="shared" si="56"/>
        <v>-1592</v>
      </c>
      <c r="O71" s="167">
        <f t="shared" si="56"/>
        <v>1863</v>
      </c>
      <c r="P71" s="167">
        <f t="shared" si="56"/>
        <v>1790</v>
      </c>
      <c r="Q71" s="167">
        <f t="shared" si="56"/>
        <v>7051</v>
      </c>
      <c r="R71" s="472">
        <f t="shared" si="56"/>
        <v>9112</v>
      </c>
      <c r="S71" s="167">
        <f t="shared" si="56"/>
        <v>3321</v>
      </c>
      <c r="T71" s="167">
        <f t="shared" si="56"/>
        <v>-3981</v>
      </c>
      <c r="U71" s="167">
        <f t="shared" si="56"/>
        <v>5744</v>
      </c>
      <c r="V71" s="167">
        <f t="shared" si="56"/>
        <v>8202</v>
      </c>
      <c r="W71" s="472">
        <f t="shared" si="56"/>
        <v>13286</v>
      </c>
      <c r="X71" s="167">
        <f t="shared" si="56"/>
        <v>7296</v>
      </c>
      <c r="Y71" s="167">
        <f t="shared" si="56"/>
        <v>-9114</v>
      </c>
      <c r="Z71" s="167">
        <f t="shared" si="56"/>
        <v>-4050</v>
      </c>
      <c r="AA71" s="167">
        <f t="shared" si="56"/>
        <v>11934</v>
      </c>
      <c r="AB71" s="472">
        <f t="shared" si="56"/>
        <v>6066</v>
      </c>
      <c r="AC71" s="167">
        <f t="shared" si="56"/>
        <v>-13566</v>
      </c>
      <c r="AD71" s="167">
        <f t="shared" si="56"/>
        <v>2483</v>
      </c>
      <c r="AE71" s="167">
        <f t="shared" si="56"/>
        <v>1839</v>
      </c>
      <c r="AF71" s="167">
        <f t="shared" si="56"/>
        <v>7824</v>
      </c>
      <c r="AG71" s="472">
        <f t="shared" si="56"/>
        <v>-1420</v>
      </c>
      <c r="AH71" s="167">
        <f t="shared" si="56"/>
        <v>-7215</v>
      </c>
      <c r="AI71" s="167">
        <f t="shared" si="56"/>
        <v>442</v>
      </c>
      <c r="AJ71" s="167">
        <f t="shared" si="56"/>
        <v>11078</v>
      </c>
      <c r="AK71" s="167">
        <f t="shared" si="56"/>
        <v>582</v>
      </c>
      <c r="AL71" s="472">
        <f t="shared" si="56"/>
        <v>4887</v>
      </c>
      <c r="AM71" s="167">
        <f t="shared" si="56"/>
        <v>20595</v>
      </c>
      <c r="AN71" s="167">
        <f t="shared" ref="AN71:BK71" si="57">+AN26</f>
        <v>9186</v>
      </c>
      <c r="AO71" s="167">
        <f t="shared" si="57"/>
        <v>19448</v>
      </c>
      <c r="AP71" s="167">
        <f t="shared" si="57"/>
        <v>4688</v>
      </c>
      <c r="AQ71" s="472">
        <f t="shared" si="57"/>
        <v>53917</v>
      </c>
      <c r="AR71" s="167">
        <f t="shared" si="57"/>
        <v>10403</v>
      </c>
      <c r="AS71" s="167">
        <f t="shared" si="57"/>
        <v>7449</v>
      </c>
      <c r="AT71" s="167">
        <f t="shared" si="57"/>
        <v>20110</v>
      </c>
      <c r="AU71" s="167">
        <f t="shared" si="57"/>
        <v>40242</v>
      </c>
      <c r="AV71" s="472">
        <f t="shared" si="57"/>
        <v>78204</v>
      </c>
      <c r="AW71" s="167">
        <f t="shared" si="57"/>
        <v>5842</v>
      </c>
      <c r="AX71" s="167">
        <f t="shared" si="57"/>
        <v>31305</v>
      </c>
      <c r="AY71" s="167">
        <f t="shared" si="57"/>
        <v>3665</v>
      </c>
      <c r="AZ71" s="167">
        <f t="shared" si="57"/>
        <v>63466</v>
      </c>
      <c r="BA71" s="472">
        <f t="shared" si="57"/>
        <v>104278</v>
      </c>
      <c r="BB71" s="167">
        <f t="shared" si="57"/>
        <v>31070</v>
      </c>
      <c r="BC71" s="167">
        <f t="shared" si="57"/>
        <v>32858</v>
      </c>
      <c r="BD71" s="167">
        <f t="shared" si="57"/>
        <v>43969</v>
      </c>
      <c r="BE71" s="167">
        <f t="shared" si="57"/>
        <v>63773</v>
      </c>
      <c r="BF71" s="472">
        <f t="shared" si="57"/>
        <v>171670</v>
      </c>
      <c r="BG71" s="167">
        <f t="shared" si="57"/>
        <v>29757</v>
      </c>
      <c r="BH71" s="167">
        <f t="shared" si="57"/>
        <v>47542</v>
      </c>
      <c r="BI71" s="167">
        <f t="shared" si="57"/>
        <v>38199</v>
      </c>
      <c r="BJ71" s="167">
        <f t="shared" si="57"/>
        <v>37574</v>
      </c>
      <c r="BK71" s="472">
        <f t="shared" si="57"/>
        <v>153072</v>
      </c>
      <c r="BL71" s="167">
        <f t="shared" ref="BL71:BU71" si="58">+BL26</f>
        <v>27932.013454027794</v>
      </c>
      <c r="BM71" s="167">
        <f t="shared" si="58"/>
        <v>41183.557045822228</v>
      </c>
      <c r="BN71" s="167">
        <f t="shared" si="58"/>
        <v>29894.4658589711</v>
      </c>
      <c r="BO71" s="167">
        <f t="shared" si="58"/>
        <v>55908.113860627251</v>
      </c>
      <c r="BP71" s="472">
        <f t="shared" si="58"/>
        <v>154918.15021944835</v>
      </c>
      <c r="BQ71" s="167">
        <f t="shared" si="58"/>
        <v>26665.992000881284</v>
      </c>
      <c r="BR71" s="167">
        <f t="shared" si="58"/>
        <v>37152.354383111939</v>
      </c>
      <c r="BS71" s="167">
        <f t="shared" si="58"/>
        <v>32609.06370491923</v>
      </c>
      <c r="BT71" s="167">
        <f t="shared" si="58"/>
        <v>59319.599459990597</v>
      </c>
      <c r="BU71" s="472">
        <f t="shared" si="58"/>
        <v>155747.00954890306</v>
      </c>
    </row>
    <row r="72" spans="2:73" ht="12.75">
      <c r="B72" s="262" t="s">
        <v>391</v>
      </c>
      <c r="C72" s="155"/>
      <c r="D72" s="167"/>
      <c r="E72" s="167"/>
      <c r="F72" s="167"/>
      <c r="G72" s="167"/>
      <c r="H72" s="472">
        <f t="shared" ref="H72:AG72" si="59">+H30</f>
        <v>-7082</v>
      </c>
      <c r="I72" s="167">
        <f t="shared" si="59"/>
        <v>-573</v>
      </c>
      <c r="J72" s="167">
        <f t="shared" si="59"/>
        <v>-622</v>
      </c>
      <c r="K72" s="167">
        <f t="shared" si="59"/>
        <v>-1644</v>
      </c>
      <c r="L72" s="167">
        <f t="shared" si="59"/>
        <v>-1297</v>
      </c>
      <c r="M72" s="472">
        <f t="shared" si="59"/>
        <v>-4136</v>
      </c>
      <c r="N72" s="167">
        <f t="shared" si="59"/>
        <v>-1092</v>
      </c>
      <c r="O72" s="167">
        <f t="shared" si="59"/>
        <v>-750</v>
      </c>
      <c r="P72" s="167">
        <f t="shared" si="59"/>
        <v>-1465</v>
      </c>
      <c r="Q72" s="167">
        <f t="shared" si="59"/>
        <v>-1192</v>
      </c>
      <c r="R72" s="472">
        <f t="shared" si="59"/>
        <v>-4499</v>
      </c>
      <c r="S72" s="167">
        <f t="shared" si="59"/>
        <v>-1335</v>
      </c>
      <c r="T72" s="167">
        <f t="shared" si="59"/>
        <v>-1243</v>
      </c>
      <c r="U72" s="167">
        <f t="shared" si="59"/>
        <v>-928</v>
      </c>
      <c r="V72" s="167">
        <f t="shared" si="59"/>
        <v>-1318</v>
      </c>
      <c r="W72" s="472">
        <f t="shared" si="59"/>
        <v>-4824</v>
      </c>
      <c r="X72" s="167">
        <f t="shared" si="59"/>
        <v>-2147</v>
      </c>
      <c r="Y72" s="167">
        <f t="shared" si="59"/>
        <v>-3503</v>
      </c>
      <c r="Z72" s="167">
        <f t="shared" si="59"/>
        <v>-2754</v>
      </c>
      <c r="AA72" s="167">
        <f t="shared" si="59"/>
        <v>-4409</v>
      </c>
      <c r="AB72" s="472">
        <f t="shared" si="59"/>
        <v>-12813</v>
      </c>
      <c r="AC72" s="167">
        <f t="shared" si="59"/>
        <v>-8463</v>
      </c>
      <c r="AD72" s="167">
        <f t="shared" si="59"/>
        <v>-9249</v>
      </c>
      <c r="AE72" s="167">
        <f t="shared" si="59"/>
        <v>-9341</v>
      </c>
      <c r="AF72" s="167">
        <f t="shared" si="59"/>
        <v>-2375</v>
      </c>
      <c r="AG72" s="472">
        <f t="shared" si="59"/>
        <v>-29428</v>
      </c>
      <c r="AH72" s="167">
        <f t="shared" ref="AH72:BK72" si="60">SUM(AH30,,AH31)</f>
        <v>-4230</v>
      </c>
      <c r="AI72" s="167">
        <f t="shared" si="60"/>
        <v>-2673</v>
      </c>
      <c r="AJ72" s="167">
        <f t="shared" si="60"/>
        <v>-4629</v>
      </c>
      <c r="AK72" s="167">
        <f t="shared" si="60"/>
        <v>-8400</v>
      </c>
      <c r="AL72" s="472">
        <f t="shared" si="60"/>
        <v>-19932</v>
      </c>
      <c r="AM72" s="167">
        <f t="shared" si="60"/>
        <v>-2730</v>
      </c>
      <c r="AN72" s="167">
        <f t="shared" si="60"/>
        <v>-4146</v>
      </c>
      <c r="AO72" s="167">
        <f t="shared" si="60"/>
        <v>-5121</v>
      </c>
      <c r="AP72" s="167">
        <f t="shared" si="60"/>
        <v>-6867</v>
      </c>
      <c r="AQ72" s="472">
        <f t="shared" si="60"/>
        <v>-18864</v>
      </c>
      <c r="AR72" s="167">
        <f t="shared" si="60"/>
        <v>-6575</v>
      </c>
      <c r="AS72" s="167">
        <f t="shared" si="60"/>
        <v>-8707</v>
      </c>
      <c r="AT72" s="167">
        <f t="shared" si="60"/>
        <v>-10453</v>
      </c>
      <c r="AU72" s="167">
        <f t="shared" si="60"/>
        <v>-11792</v>
      </c>
      <c r="AV72" s="472">
        <f t="shared" si="60"/>
        <v>-37527</v>
      </c>
      <c r="AW72" s="167">
        <f t="shared" si="60"/>
        <v>-7061</v>
      </c>
      <c r="AX72" s="167">
        <f t="shared" si="60"/>
        <v>-5724</v>
      </c>
      <c r="AY72" s="167">
        <f t="shared" si="60"/>
        <v>-4247</v>
      </c>
      <c r="AZ72" s="167">
        <f t="shared" si="60"/>
        <v>-3212</v>
      </c>
      <c r="BA72" s="472">
        <f t="shared" si="60"/>
        <v>-20244</v>
      </c>
      <c r="BB72" s="167">
        <f t="shared" si="60"/>
        <v>-3536</v>
      </c>
      <c r="BC72" s="167">
        <f t="shared" si="60"/>
        <v>-3653</v>
      </c>
      <c r="BD72" s="167">
        <f t="shared" si="60"/>
        <v>-5467</v>
      </c>
      <c r="BE72" s="167">
        <f t="shared" si="60"/>
        <v>-4931</v>
      </c>
      <c r="BF72" s="472">
        <f t="shared" si="60"/>
        <v>-17587</v>
      </c>
      <c r="BG72" s="167">
        <f t="shared" si="60"/>
        <v>-5080</v>
      </c>
      <c r="BH72" s="167">
        <f t="shared" si="60"/>
        <v>-5262</v>
      </c>
      <c r="BI72" s="167">
        <f t="shared" si="60"/>
        <v>-8088</v>
      </c>
      <c r="BJ72" s="167">
        <f t="shared" si="60"/>
        <v>-5275</v>
      </c>
      <c r="BK72" s="472">
        <f t="shared" si="60"/>
        <v>-23705</v>
      </c>
      <c r="BL72" s="167">
        <f t="shared" ref="BL72:BU72" si="61">SUM(BL30,,BL31)</f>
        <v>-6201.6972500000002</v>
      </c>
      <c r="BM72" s="167">
        <f t="shared" si="61"/>
        <v>-6211.3378000000002</v>
      </c>
      <c r="BN72" s="167">
        <f t="shared" si="61"/>
        <v>-6224.491</v>
      </c>
      <c r="BO72" s="167">
        <f t="shared" si="61"/>
        <v>-6239.2168000000001</v>
      </c>
      <c r="BP72" s="472">
        <f t="shared" si="61"/>
        <v>-24876.742850000002</v>
      </c>
      <c r="BQ72" s="167">
        <f t="shared" si="61"/>
        <v>-6237.225915</v>
      </c>
      <c r="BR72" s="167">
        <f t="shared" si="61"/>
        <v>-6247.1260920000004</v>
      </c>
      <c r="BS72" s="167">
        <f t="shared" si="61"/>
        <v>-6258.8518439999998</v>
      </c>
      <c r="BT72" s="167">
        <f t="shared" si="61"/>
        <v>-6273.4519920000002</v>
      </c>
      <c r="BU72" s="472">
        <f t="shared" si="61"/>
        <v>-25016.655843</v>
      </c>
    </row>
    <row r="73" spans="2:73" ht="4.5" customHeight="1">
      <c r="B73" s="262"/>
      <c r="C73" s="155"/>
      <c r="D73" s="173" t="s">
        <v>1</v>
      </c>
      <c r="E73" s="173" t="s">
        <v>1</v>
      </c>
      <c r="F73" s="173" t="s">
        <v>1</v>
      </c>
      <c r="G73" s="173" t="s">
        <v>1</v>
      </c>
      <c r="H73" s="473" t="s">
        <v>1</v>
      </c>
      <c r="I73" s="173" t="s">
        <v>1</v>
      </c>
      <c r="J73" s="173" t="s">
        <v>1</v>
      </c>
      <c r="K73" s="173" t="s">
        <v>1</v>
      </c>
      <c r="L73" s="173" t="s">
        <v>1</v>
      </c>
      <c r="M73" s="473" t="s">
        <v>1</v>
      </c>
      <c r="N73" s="173" t="s">
        <v>1</v>
      </c>
      <c r="O73" s="173" t="s">
        <v>1</v>
      </c>
      <c r="P73" s="173" t="s">
        <v>1</v>
      </c>
      <c r="Q73" s="173" t="s">
        <v>1</v>
      </c>
      <c r="R73" s="473" t="s">
        <v>1</v>
      </c>
      <c r="S73" s="173" t="s">
        <v>1</v>
      </c>
      <c r="T73" s="173" t="s">
        <v>1</v>
      </c>
      <c r="U73" s="173" t="s">
        <v>1</v>
      </c>
      <c r="V73" s="173" t="s">
        <v>1</v>
      </c>
      <c r="W73" s="473" t="s">
        <v>1</v>
      </c>
      <c r="X73" s="173" t="s">
        <v>1</v>
      </c>
      <c r="Y73" s="173" t="s">
        <v>1</v>
      </c>
      <c r="Z73" s="173" t="s">
        <v>1</v>
      </c>
      <c r="AA73" s="173" t="s">
        <v>1</v>
      </c>
      <c r="AB73" s="473" t="s">
        <v>1</v>
      </c>
      <c r="AC73" s="173" t="s">
        <v>1</v>
      </c>
      <c r="AD73" s="173" t="s">
        <v>1</v>
      </c>
      <c r="AE73" s="173" t="s">
        <v>1</v>
      </c>
      <c r="AF73" s="173" t="s">
        <v>1</v>
      </c>
      <c r="AG73" s="473" t="s">
        <v>1</v>
      </c>
      <c r="AH73" s="173" t="s">
        <v>1</v>
      </c>
      <c r="AI73" s="173" t="s">
        <v>1</v>
      </c>
      <c r="AJ73" s="173" t="s">
        <v>1</v>
      </c>
      <c r="AK73" s="173" t="s">
        <v>1</v>
      </c>
      <c r="AL73" s="473" t="s">
        <v>1</v>
      </c>
      <c r="AM73" s="173" t="s">
        <v>1</v>
      </c>
      <c r="AN73" s="173" t="s">
        <v>1</v>
      </c>
      <c r="AO73" s="173" t="s">
        <v>1</v>
      </c>
      <c r="AP73" s="173" t="s">
        <v>1</v>
      </c>
      <c r="AQ73" s="473" t="s">
        <v>1</v>
      </c>
      <c r="AR73" s="173" t="s">
        <v>1</v>
      </c>
      <c r="AS73" s="173" t="s">
        <v>1</v>
      </c>
      <c r="AT73" s="173" t="s">
        <v>1</v>
      </c>
      <c r="AU73" s="173" t="s">
        <v>1</v>
      </c>
      <c r="AV73" s="473" t="s">
        <v>1</v>
      </c>
      <c r="AW73" s="173" t="s">
        <v>1</v>
      </c>
      <c r="AX73" s="173" t="s">
        <v>1</v>
      </c>
      <c r="AY73" s="173" t="s">
        <v>1</v>
      </c>
      <c r="AZ73" s="173" t="s">
        <v>1</v>
      </c>
      <c r="BA73" s="473" t="s">
        <v>1</v>
      </c>
      <c r="BB73" s="173" t="s">
        <v>1</v>
      </c>
      <c r="BC73" s="173" t="s">
        <v>1</v>
      </c>
      <c r="BD73" s="173" t="s">
        <v>1</v>
      </c>
      <c r="BE73" s="173" t="s">
        <v>1</v>
      </c>
      <c r="BF73" s="473" t="s">
        <v>1</v>
      </c>
      <c r="BG73" s="173" t="s">
        <v>1</v>
      </c>
      <c r="BH73" s="173" t="s">
        <v>1</v>
      </c>
      <c r="BI73" s="173" t="s">
        <v>1</v>
      </c>
      <c r="BJ73" s="173" t="s">
        <v>1</v>
      </c>
      <c r="BK73" s="473" t="s">
        <v>1</v>
      </c>
      <c r="BL73" s="173" t="s">
        <v>1</v>
      </c>
      <c r="BM73" s="173" t="s">
        <v>1</v>
      </c>
      <c r="BN73" s="173" t="s">
        <v>1</v>
      </c>
      <c r="BO73" s="173" t="s">
        <v>1</v>
      </c>
      <c r="BP73" s="473" t="s">
        <v>1</v>
      </c>
      <c r="BQ73" s="173" t="s">
        <v>1</v>
      </c>
      <c r="BR73" s="173" t="s">
        <v>1</v>
      </c>
      <c r="BS73" s="173" t="s">
        <v>1</v>
      </c>
      <c r="BT73" s="173" t="s">
        <v>1</v>
      </c>
      <c r="BU73" s="473" t="s">
        <v>1</v>
      </c>
    </row>
    <row r="74" spans="2:73" ht="13.15">
      <c r="B74" s="264" t="s">
        <v>188</v>
      </c>
      <c r="C74" s="155"/>
      <c r="D74" s="166"/>
      <c r="E74" s="166"/>
      <c r="F74" s="166"/>
      <c r="G74" s="166"/>
      <c r="H74" s="471">
        <f t="shared" ref="H74:AB74" si="62">H71+H72</f>
        <v>-10438</v>
      </c>
      <c r="I74" s="166">
        <f t="shared" si="62"/>
        <v>-3585</v>
      </c>
      <c r="J74" s="166">
        <f t="shared" si="62"/>
        <v>-1863</v>
      </c>
      <c r="K74" s="166">
        <f t="shared" si="62"/>
        <v>629</v>
      </c>
      <c r="L74" s="166">
        <f t="shared" si="62"/>
        <v>-1224</v>
      </c>
      <c r="M74" s="471">
        <f t="shared" si="62"/>
        <v>-6043</v>
      </c>
      <c r="N74" s="166">
        <f t="shared" si="62"/>
        <v>-2684</v>
      </c>
      <c r="O74" s="166">
        <f t="shared" si="62"/>
        <v>1113</v>
      </c>
      <c r="P74" s="166">
        <f t="shared" si="62"/>
        <v>325</v>
      </c>
      <c r="Q74" s="166">
        <f t="shared" si="62"/>
        <v>5859</v>
      </c>
      <c r="R74" s="471">
        <f t="shared" si="62"/>
        <v>4613</v>
      </c>
      <c r="S74" s="166">
        <f t="shared" si="62"/>
        <v>1986</v>
      </c>
      <c r="T74" s="166">
        <f t="shared" si="62"/>
        <v>-5224</v>
      </c>
      <c r="U74" s="166">
        <f t="shared" si="62"/>
        <v>4816</v>
      </c>
      <c r="V74" s="166">
        <f t="shared" si="62"/>
        <v>6884</v>
      </c>
      <c r="W74" s="471">
        <f t="shared" si="62"/>
        <v>8462</v>
      </c>
      <c r="X74" s="166">
        <f t="shared" si="62"/>
        <v>5149</v>
      </c>
      <c r="Y74" s="166">
        <f t="shared" si="62"/>
        <v>-12617</v>
      </c>
      <c r="Z74" s="166">
        <f t="shared" si="62"/>
        <v>-6804</v>
      </c>
      <c r="AA74" s="166">
        <f t="shared" si="62"/>
        <v>7525</v>
      </c>
      <c r="AB74" s="471">
        <f t="shared" si="62"/>
        <v>-6747</v>
      </c>
      <c r="AC74" s="166">
        <f t="shared" ref="AC74:BP74" si="63">AC71+AC72</f>
        <v>-22029</v>
      </c>
      <c r="AD74" s="166">
        <f t="shared" si="63"/>
        <v>-6766</v>
      </c>
      <c r="AE74" s="166">
        <f t="shared" si="63"/>
        <v>-7502</v>
      </c>
      <c r="AF74" s="166">
        <f t="shared" si="63"/>
        <v>5449</v>
      </c>
      <c r="AG74" s="471">
        <f t="shared" si="63"/>
        <v>-30848</v>
      </c>
      <c r="AH74" s="166">
        <f t="shared" si="63"/>
        <v>-11445</v>
      </c>
      <c r="AI74" s="166">
        <f t="shared" si="63"/>
        <v>-2231</v>
      </c>
      <c r="AJ74" s="166">
        <f t="shared" si="63"/>
        <v>6449</v>
      </c>
      <c r="AK74" s="166">
        <f t="shared" si="63"/>
        <v>-7818</v>
      </c>
      <c r="AL74" s="471">
        <f t="shared" si="63"/>
        <v>-15045</v>
      </c>
      <c r="AM74" s="166">
        <f t="shared" si="63"/>
        <v>17865</v>
      </c>
      <c r="AN74" s="166">
        <f t="shared" si="63"/>
        <v>5040</v>
      </c>
      <c r="AO74" s="166">
        <f t="shared" si="63"/>
        <v>14327</v>
      </c>
      <c r="AP74" s="166">
        <f t="shared" si="63"/>
        <v>-2179</v>
      </c>
      <c r="AQ74" s="471">
        <f t="shared" si="63"/>
        <v>35053</v>
      </c>
      <c r="AR74" s="166">
        <f t="shared" si="63"/>
        <v>3828</v>
      </c>
      <c r="AS74" s="166">
        <f t="shared" si="63"/>
        <v>-1258</v>
      </c>
      <c r="AT74" s="166">
        <f t="shared" si="63"/>
        <v>9657</v>
      </c>
      <c r="AU74" s="166">
        <f t="shared" si="63"/>
        <v>28450</v>
      </c>
      <c r="AV74" s="471">
        <f t="shared" si="63"/>
        <v>40677</v>
      </c>
      <c r="AW74" s="166">
        <f t="shared" si="63"/>
        <v>-1219</v>
      </c>
      <c r="AX74" s="166">
        <f t="shared" si="63"/>
        <v>25581</v>
      </c>
      <c r="AY74" s="166">
        <f t="shared" si="63"/>
        <v>-582</v>
      </c>
      <c r="AZ74" s="166">
        <f t="shared" si="63"/>
        <v>60254</v>
      </c>
      <c r="BA74" s="471">
        <f t="shared" si="63"/>
        <v>84034</v>
      </c>
      <c r="BB74" s="166">
        <f t="shared" si="63"/>
        <v>27534</v>
      </c>
      <c r="BC74" s="166">
        <f t="shared" si="63"/>
        <v>29205</v>
      </c>
      <c r="BD74" s="166">
        <f t="shared" si="63"/>
        <v>38502</v>
      </c>
      <c r="BE74" s="166">
        <f t="shared" si="63"/>
        <v>58842</v>
      </c>
      <c r="BF74" s="471">
        <f t="shared" si="63"/>
        <v>154083</v>
      </c>
      <c r="BG74" s="166">
        <f t="shared" si="63"/>
        <v>24677</v>
      </c>
      <c r="BH74" s="166">
        <f t="shared" si="63"/>
        <v>42280</v>
      </c>
      <c r="BI74" s="166">
        <f t="shared" si="63"/>
        <v>30111</v>
      </c>
      <c r="BJ74" s="166">
        <f t="shared" si="63"/>
        <v>32299</v>
      </c>
      <c r="BK74" s="471">
        <f t="shared" si="63"/>
        <v>129367</v>
      </c>
      <c r="BL74" s="166">
        <f t="shared" si="63"/>
        <v>21730.316204027793</v>
      </c>
      <c r="BM74" s="166">
        <f t="shared" si="63"/>
        <v>34972.219245822227</v>
      </c>
      <c r="BN74" s="166">
        <f t="shared" si="63"/>
        <v>23669.974858971102</v>
      </c>
      <c r="BO74" s="166">
        <f t="shared" si="63"/>
        <v>49668.897060627249</v>
      </c>
      <c r="BP74" s="471">
        <f t="shared" si="63"/>
        <v>130041.40736944834</v>
      </c>
      <c r="BQ74" s="166">
        <f t="shared" ref="BQ74:BU74" si="64">BQ71+BQ72</f>
        <v>20428.766085881285</v>
      </c>
      <c r="BR74" s="166">
        <f t="shared" si="64"/>
        <v>30905.22829111194</v>
      </c>
      <c r="BS74" s="166">
        <f t="shared" si="64"/>
        <v>26350.211860919229</v>
      </c>
      <c r="BT74" s="166">
        <f t="shared" si="64"/>
        <v>53046.147467990595</v>
      </c>
      <c r="BU74" s="471">
        <f t="shared" si="64"/>
        <v>130730.35370590306</v>
      </c>
    </row>
    <row r="75" spans="2:73" ht="12.75">
      <c r="B75" s="227" t="s">
        <v>126</v>
      </c>
      <c r="C75" s="155"/>
      <c r="D75" s="167"/>
      <c r="E75" s="167"/>
      <c r="F75" s="167"/>
      <c r="G75" s="167"/>
      <c r="H75" s="502"/>
      <c r="I75" s="233"/>
      <c r="J75" s="233"/>
      <c r="K75" s="233"/>
      <c r="L75" s="233"/>
      <c r="M75" s="502">
        <f t="shared" ref="M75:AQ75" si="65">+M74/H74-1</f>
        <v>-0.42105767388388582</v>
      </c>
      <c r="N75" s="233">
        <f t="shared" si="65"/>
        <v>-0.25132496513249647</v>
      </c>
      <c r="O75" s="233">
        <f t="shared" si="65"/>
        <v>-1.5974235104669887</v>
      </c>
      <c r="P75" s="233">
        <f t="shared" si="65"/>
        <v>-0.48330683624801274</v>
      </c>
      <c r="Q75" s="233">
        <f t="shared" si="65"/>
        <v>-5.7867647058823533</v>
      </c>
      <c r="R75" s="502">
        <f t="shared" si="65"/>
        <v>-1.7633625682607976</v>
      </c>
      <c r="S75" s="233">
        <f t="shared" si="65"/>
        <v>-1.7399403874813713</v>
      </c>
      <c r="T75" s="233">
        <f t="shared" si="65"/>
        <v>-5.6936208445642409</v>
      </c>
      <c r="U75" s="233">
        <f t="shared" si="65"/>
        <v>13.818461538461538</v>
      </c>
      <c r="V75" s="233">
        <f t="shared" si="65"/>
        <v>0.17494452978323949</v>
      </c>
      <c r="W75" s="502">
        <f t="shared" si="65"/>
        <v>0.83438109690006512</v>
      </c>
      <c r="X75" s="233">
        <f t="shared" si="65"/>
        <v>1.5926485397784491</v>
      </c>
      <c r="Y75" s="233">
        <f t="shared" si="65"/>
        <v>1.4151990811638591</v>
      </c>
      <c r="Z75" s="233">
        <f t="shared" si="65"/>
        <v>-2.4127906976744189</v>
      </c>
      <c r="AA75" s="233">
        <f t="shared" si="65"/>
        <v>9.3114468332364808E-2</v>
      </c>
      <c r="AB75" s="502">
        <f t="shared" si="65"/>
        <v>-1.7973292365870952</v>
      </c>
      <c r="AC75" s="233">
        <f t="shared" si="65"/>
        <v>-5.2783064672751987</v>
      </c>
      <c r="AD75" s="233">
        <f t="shared" si="65"/>
        <v>-0.46373939922327023</v>
      </c>
      <c r="AE75" s="233">
        <f t="shared" si="65"/>
        <v>0.10258671369782491</v>
      </c>
      <c r="AF75" s="233">
        <f t="shared" si="65"/>
        <v>-0.27588039867109637</v>
      </c>
      <c r="AG75" s="502">
        <f t="shared" si="65"/>
        <v>3.5721061212390692</v>
      </c>
      <c r="AH75" s="233">
        <f t="shared" si="65"/>
        <v>-0.48045757864632987</v>
      </c>
      <c r="AI75" s="233">
        <f t="shared" si="65"/>
        <v>-0.67026308010641444</v>
      </c>
      <c r="AJ75" s="233">
        <f t="shared" si="65"/>
        <v>-1.8596374300186618</v>
      </c>
      <c r="AK75" s="233">
        <f t="shared" si="65"/>
        <v>-2.434758671315838</v>
      </c>
      <c r="AL75" s="502">
        <f t="shared" si="65"/>
        <v>-0.51228604771784236</v>
      </c>
      <c r="AM75" s="233">
        <f t="shared" si="65"/>
        <v>-2.5609436435124509</v>
      </c>
      <c r="AN75" s="233">
        <f t="shared" si="65"/>
        <v>-3.2590766472433885</v>
      </c>
      <c r="AO75" s="233">
        <f t="shared" si="65"/>
        <v>1.2215847418204371</v>
      </c>
      <c r="AP75" s="233">
        <f t="shared" si="65"/>
        <v>-0.72128421591199787</v>
      </c>
      <c r="AQ75" s="502">
        <f t="shared" si="65"/>
        <v>-3.3298770355599867</v>
      </c>
      <c r="AR75" s="233">
        <f t="shared" ref="AR75:BP75" si="66">+AR74/AM74-1</f>
        <v>-0.78572628043660786</v>
      </c>
      <c r="AS75" s="233">
        <f t="shared" si="66"/>
        <v>-1.2496031746031746</v>
      </c>
      <c r="AT75" s="233">
        <f t="shared" si="66"/>
        <v>-0.32595798143365673</v>
      </c>
      <c r="AU75" s="233">
        <f t="shared" si="66"/>
        <v>-14.056447911886186</v>
      </c>
      <c r="AV75" s="502">
        <f t="shared" si="66"/>
        <v>0.16044275810914899</v>
      </c>
      <c r="AW75" s="233">
        <f t="shared" si="66"/>
        <v>-1.3184430512016718</v>
      </c>
      <c r="AX75" s="233">
        <f t="shared" si="66"/>
        <v>-21.334658187599363</v>
      </c>
      <c r="AY75" s="233">
        <f t="shared" si="66"/>
        <v>-1.0602671637154395</v>
      </c>
      <c r="AZ75" s="233">
        <f t="shared" si="66"/>
        <v>1.1178910369068542</v>
      </c>
      <c r="BA75" s="502">
        <f t="shared" si="66"/>
        <v>1.0658848980996631</v>
      </c>
      <c r="BB75" s="233">
        <f t="shared" si="66"/>
        <v>-23.587366694011486</v>
      </c>
      <c r="BC75" s="233">
        <f t="shared" si="66"/>
        <v>0.14166764395449749</v>
      </c>
      <c r="BD75" s="233">
        <f t="shared" si="66"/>
        <v>-67.154639175257728</v>
      </c>
      <c r="BE75" s="233">
        <f t="shared" si="66"/>
        <v>-2.3434128854515901E-2</v>
      </c>
      <c r="BF75" s="502">
        <f t="shared" si="66"/>
        <v>0.83357926553537864</v>
      </c>
      <c r="BG75" s="233">
        <f t="shared" si="66"/>
        <v>-0.10376262075978793</v>
      </c>
      <c r="BH75" s="233">
        <f t="shared" si="66"/>
        <v>0.44769731210409169</v>
      </c>
      <c r="BI75" s="233">
        <f t="shared" si="66"/>
        <v>-0.21793673055945151</v>
      </c>
      <c r="BJ75" s="233">
        <f t="shared" si="66"/>
        <v>-0.45108935794160632</v>
      </c>
      <c r="BK75" s="502">
        <f t="shared" si="66"/>
        <v>-0.16040705334138095</v>
      </c>
      <c r="BL75" s="233">
        <f t="shared" si="66"/>
        <v>-0.11941013072789264</v>
      </c>
      <c r="BM75" s="233">
        <f t="shared" si="66"/>
        <v>-0.17284249655103534</v>
      </c>
      <c r="BN75" s="233">
        <f t="shared" si="66"/>
        <v>-0.21390937335289095</v>
      </c>
      <c r="BO75" s="233">
        <f t="shared" si="66"/>
        <v>0.53778436052593737</v>
      </c>
      <c r="BP75" s="502">
        <f t="shared" si="66"/>
        <v>5.2131329430871176E-3</v>
      </c>
      <c r="BQ75" s="233">
        <f t="shared" ref="BQ75" si="67">+BQ74/BL74-1</f>
        <v>-5.9895590378259644E-2</v>
      </c>
      <c r="BR75" s="233">
        <f t="shared" ref="BR75" si="68">+BR74/BM74-1</f>
        <v>-0.11629204672780746</v>
      </c>
      <c r="BS75" s="233">
        <f t="shared" ref="BS75" si="69">+BS74/BN74-1</f>
        <v>0.11323362267671766</v>
      </c>
      <c r="BT75" s="233">
        <f t="shared" ref="BT75" si="70">+BT74/BO74-1</f>
        <v>6.7995276867955701E-2</v>
      </c>
      <c r="BU75" s="502">
        <f t="shared" ref="BU75" si="71">+BU74/BP74-1</f>
        <v>5.2978997258728011E-3</v>
      </c>
    </row>
    <row r="76" spans="2:73" ht="12.75">
      <c r="B76" s="227" t="s">
        <v>141</v>
      </c>
      <c r="C76" s="155"/>
      <c r="D76" s="167"/>
      <c r="E76" s="233"/>
      <c r="F76" s="233"/>
      <c r="G76" s="233"/>
      <c r="H76" s="472"/>
      <c r="I76" s="233"/>
      <c r="J76" s="233">
        <f>+J74/I74-1</f>
        <v>-0.48033472803347277</v>
      </c>
      <c r="K76" s="233">
        <f>+K74/J74-1</f>
        <v>-1.3376274825550187</v>
      </c>
      <c r="L76" s="233">
        <f>+L74/K74-1</f>
        <v>-2.9459459459459461</v>
      </c>
      <c r="M76" s="472"/>
      <c r="N76" s="233">
        <f>+N74/L74-1</f>
        <v>1.1928104575163401</v>
      </c>
      <c r="O76" s="233">
        <f>+O74/N74-1</f>
        <v>-1.4146795827123695</v>
      </c>
      <c r="P76" s="233">
        <f>+P74/O74-1</f>
        <v>-0.70799640610961367</v>
      </c>
      <c r="Q76" s="233">
        <f>+Q74/P74-1</f>
        <v>17.027692307692309</v>
      </c>
      <c r="R76" s="472"/>
      <c r="S76" s="233">
        <f>+S74/Q74-1</f>
        <v>-0.66103430619559655</v>
      </c>
      <c r="T76" s="233">
        <f>+T74/S74-1</f>
        <v>-3.6304128902316215</v>
      </c>
      <c r="U76" s="233">
        <f>+U74/T74-1</f>
        <v>-1.9218989280245022</v>
      </c>
      <c r="V76" s="233">
        <f>+V74/U74-1</f>
        <v>0.42940199335548179</v>
      </c>
      <c r="W76" s="472"/>
      <c r="X76" s="233">
        <f>+X74/V74-1</f>
        <v>-0.25203370133643233</v>
      </c>
      <c r="Y76" s="233">
        <f>+Y74/X74-1</f>
        <v>-3.4503787143134588</v>
      </c>
      <c r="Z76" s="233">
        <f>+Z74/Y74-1</f>
        <v>-0.46072758975984784</v>
      </c>
      <c r="AA76" s="233">
        <f>+AA74/Z74-1</f>
        <v>-2.1059670781893005</v>
      </c>
      <c r="AB76" s="472"/>
      <c r="AC76" s="233">
        <f>+AC74/AA74-1</f>
        <v>-3.9274418604651165</v>
      </c>
      <c r="AD76" s="233">
        <f>+AD74/AC74-1</f>
        <v>-0.69285941259249173</v>
      </c>
      <c r="AE76" s="233">
        <f>+AE74/AD74-1</f>
        <v>0.10877919006798709</v>
      </c>
      <c r="AF76" s="233">
        <f>+AF74/AE74-1</f>
        <v>-1.7263396427619302</v>
      </c>
      <c r="AG76" s="472"/>
      <c r="AH76" s="233">
        <f>+AH74/AF74-1</f>
        <v>-3.1003853918150117</v>
      </c>
      <c r="AI76" s="233">
        <f>+AI74/AH74-1</f>
        <v>-0.8050677151594583</v>
      </c>
      <c r="AJ76" s="233">
        <f>+AJ74/AI74-1</f>
        <v>-3.8906320035858362</v>
      </c>
      <c r="AK76" s="233">
        <f>+AK74/AJ74-1</f>
        <v>-2.2122809737943867</v>
      </c>
      <c r="AL76" s="472"/>
      <c r="AM76" s="233">
        <f>+AM74/AK74-1</f>
        <v>-3.2851112816577128</v>
      </c>
      <c r="AN76" s="233">
        <f>+AN74/AM74-1</f>
        <v>-0.71788413098236781</v>
      </c>
      <c r="AO76" s="233">
        <f>+AO74/AN74-1</f>
        <v>1.8426587301587301</v>
      </c>
      <c r="AP76" s="233">
        <f>+AP74/AO74-1</f>
        <v>-1.1520904585747191</v>
      </c>
      <c r="AQ76" s="472"/>
      <c r="AR76" s="233">
        <f>+AR74/AP74-1</f>
        <v>-2.7567691601652133</v>
      </c>
      <c r="AS76" s="233">
        <f>+AS74/AR74-1</f>
        <v>-1.3286311389759666</v>
      </c>
      <c r="AT76" s="233">
        <f>+AT74/AS74-1</f>
        <v>-8.6764705882352935</v>
      </c>
      <c r="AU76" s="233">
        <f>+AU74/AT74-1</f>
        <v>1.9460494977736356</v>
      </c>
      <c r="AV76" s="472"/>
      <c r="AW76" s="233">
        <f>+AW74/AU74-1</f>
        <v>-1.0428471001757469</v>
      </c>
      <c r="AX76" s="233">
        <f>+AX74/AW74-1</f>
        <v>-21.985233798195242</v>
      </c>
      <c r="AY76" s="233">
        <f>+AY74/AX74-1</f>
        <v>-1.0227512607013018</v>
      </c>
      <c r="AZ76" s="233">
        <f>+AZ74/AY74-1</f>
        <v>-104.52920962199313</v>
      </c>
      <c r="BA76" s="472"/>
      <c r="BB76" s="233">
        <f>+BB74/AZ74-1</f>
        <v>-0.54303448733694026</v>
      </c>
      <c r="BC76" s="233">
        <f>+BC74/BB74-1</f>
        <v>6.0688603181521028E-2</v>
      </c>
      <c r="BD76" s="233">
        <f>+BD74/BC74-1</f>
        <v>0.31833590138674883</v>
      </c>
      <c r="BE76" s="233">
        <f>+BE74/BD74-1</f>
        <v>0.52828424497428705</v>
      </c>
      <c r="BF76" s="472"/>
      <c r="BG76" s="233">
        <f>+BG74/BE74-1</f>
        <v>-0.58062268447707421</v>
      </c>
      <c r="BH76" s="233">
        <f>+BH74/BG74-1</f>
        <v>0.71333630506139323</v>
      </c>
      <c r="BI76" s="233">
        <f>+BI74/BH74-1</f>
        <v>-0.28781929990539257</v>
      </c>
      <c r="BJ76" s="233">
        <f>+BJ74/BI74-1</f>
        <v>7.2664474776659604E-2</v>
      </c>
      <c r="BK76" s="472"/>
      <c r="BL76" s="233">
        <f>+BL74/BJ74-1</f>
        <v>-0.32721396315589357</v>
      </c>
      <c r="BM76" s="233">
        <f>+BM74/BL74-1</f>
        <v>0.60937461367175128</v>
      </c>
      <c r="BN76" s="233">
        <f>+BN74/BM74-1</f>
        <v>-0.3231777859851227</v>
      </c>
      <c r="BO76" s="233">
        <f>+BO74/BN74-1</f>
        <v>1.0983924721746106</v>
      </c>
      <c r="BP76" s="472"/>
      <c r="BQ76" s="233">
        <f>+BQ74/BO74-1</f>
        <v>-0.5887010323393056</v>
      </c>
      <c r="BR76" s="233">
        <f>+BR74/BQ74-1</f>
        <v>0.51282892765956833</v>
      </c>
      <c r="BS76" s="233">
        <f>+BS74/BR74-1</f>
        <v>-0.14738659709246316</v>
      </c>
      <c r="BT76" s="233">
        <f>+BT74/BS74-1</f>
        <v>1.0131203402832933</v>
      </c>
      <c r="BU76" s="472"/>
    </row>
    <row r="77" spans="2:73" ht="13.15">
      <c r="B77" s="262" t="s">
        <v>189</v>
      </c>
      <c r="C77" s="158"/>
      <c r="D77" s="233"/>
      <c r="E77" s="233"/>
      <c r="F77" s="233"/>
      <c r="G77" s="233"/>
      <c r="H77" s="502">
        <f t="shared" ref="H77:AV77" si="72">+H74/H84</f>
        <v>-0.1357700312174818</v>
      </c>
      <c r="I77" s="233">
        <f t="shared" si="72"/>
        <v>-0.15209367443044419</v>
      </c>
      <c r="J77" s="233">
        <f t="shared" si="72"/>
        <v>-7.2237301279565722E-2</v>
      </c>
      <c r="K77" s="233">
        <f t="shared" si="72"/>
        <v>2.2216727889234247E-2</v>
      </c>
      <c r="L77" s="233">
        <f t="shared" si="72"/>
        <v>-3.7256871518582778E-2</v>
      </c>
      <c r="M77" s="502">
        <f t="shared" si="72"/>
        <v>-5.467491811881367E-2</v>
      </c>
      <c r="N77" s="233">
        <f t="shared" si="72"/>
        <v>-7.7135302908380277E-2</v>
      </c>
      <c r="O77" s="233">
        <f t="shared" si="72"/>
        <v>2.9864763335837714E-2</v>
      </c>
      <c r="P77" s="233">
        <f t="shared" si="72"/>
        <v>8.0567193038994529E-3</v>
      </c>
      <c r="Q77" s="233">
        <f t="shared" si="72"/>
        <v>0.13010170093706977</v>
      </c>
      <c r="R77" s="502">
        <f t="shared" si="72"/>
        <v>2.9300609132541906E-2</v>
      </c>
      <c r="S77" s="233">
        <f t="shared" si="72"/>
        <v>4.3894352967178696E-2</v>
      </c>
      <c r="T77" s="233">
        <f t="shared" si="72"/>
        <v>-0.11011108066521931</v>
      </c>
      <c r="U77" s="233">
        <f t="shared" si="72"/>
        <v>9.5326695829457062E-2</v>
      </c>
      <c r="V77" s="233">
        <f t="shared" si="72"/>
        <v>0.11924269456617761</v>
      </c>
      <c r="W77" s="502">
        <f t="shared" si="72"/>
        <v>4.2112073255698219E-2</v>
      </c>
      <c r="X77" s="233">
        <f t="shared" si="72"/>
        <v>9.4451068513253231E-2</v>
      </c>
      <c r="Y77" s="233">
        <f t="shared" si="72"/>
        <v>-0.21589295186598451</v>
      </c>
      <c r="Z77" s="233">
        <f t="shared" si="72"/>
        <v>-0.10909965525535156</v>
      </c>
      <c r="AA77" s="233">
        <f t="shared" si="72"/>
        <v>0.10942271339246765</v>
      </c>
      <c r="AB77" s="502">
        <f t="shared" si="72"/>
        <v>-2.7641330487400192E-2</v>
      </c>
      <c r="AC77" s="233">
        <f t="shared" si="72"/>
        <v>-0.30100430416068868</v>
      </c>
      <c r="AD77" s="233">
        <f t="shared" si="72"/>
        <v>-8.5690041667194364E-2</v>
      </c>
      <c r="AE77" s="233">
        <f t="shared" si="72"/>
        <v>-9.0217064518068671E-2</v>
      </c>
      <c r="AF77" s="233">
        <f t="shared" si="72"/>
        <v>5.9455743715083796E-2</v>
      </c>
      <c r="AG77" s="502">
        <f t="shared" si="72"/>
        <v>-9.4351683912071382E-2</v>
      </c>
      <c r="AH77" s="233">
        <f t="shared" si="72"/>
        <v>-0.12131651473394106</v>
      </c>
      <c r="AI77" s="233">
        <f t="shared" si="72"/>
        <v>-2.2555402782271111E-2</v>
      </c>
      <c r="AJ77" s="233">
        <f t="shared" si="72"/>
        <v>6.1375208184630027E-2</v>
      </c>
      <c r="AK77" s="233">
        <f t="shared" si="72"/>
        <v>-6.908862750642901E-2</v>
      </c>
      <c r="AL77" s="502">
        <f t="shared" si="72"/>
        <v>-3.6562604803079574E-2</v>
      </c>
      <c r="AM77" s="233">
        <f t="shared" si="72"/>
        <v>0.15210598462337485</v>
      </c>
      <c r="AN77" s="233">
        <f t="shared" si="72"/>
        <v>3.9866794282595458E-2</v>
      </c>
      <c r="AO77" s="233">
        <f t="shared" si="72"/>
        <v>0.10241325575078274</v>
      </c>
      <c r="AP77" s="233">
        <f t="shared" si="72"/>
        <v>-1.4369749007504715E-2</v>
      </c>
      <c r="AQ77" s="502">
        <f t="shared" si="72"/>
        <v>6.5470186998976471E-2</v>
      </c>
      <c r="AR77" s="233">
        <f t="shared" si="72"/>
        <v>2.4322675748487774E-2</v>
      </c>
      <c r="AS77" s="233">
        <f t="shared" si="72"/>
        <v>-7.5124660356513688E-3</v>
      </c>
      <c r="AT77" s="233">
        <f t="shared" si="72"/>
        <v>5.4942679145449889E-2</v>
      </c>
      <c r="AU77" s="233">
        <f t="shared" si="72"/>
        <v>0.15421809528455813</v>
      </c>
      <c r="AV77" s="502">
        <f t="shared" si="72"/>
        <v>5.9375287373938629E-2</v>
      </c>
      <c r="AW77" s="233">
        <f t="shared" ref="AW77:BP77" si="73">+AW74/AW84</f>
        <v>-6.6548746001070021E-3</v>
      </c>
      <c r="AX77" s="233">
        <f t="shared" si="73"/>
        <v>0.13433846929451429</v>
      </c>
      <c r="AY77" s="233">
        <f t="shared" si="73"/>
        <v>-2.9269323033750245E-3</v>
      </c>
      <c r="AZ77" s="233">
        <f t="shared" si="73"/>
        <v>0.29353820371416878</v>
      </c>
      <c r="BA77" s="502">
        <f t="shared" si="73"/>
        <v>0.10805354715850571</v>
      </c>
      <c r="BB77" s="233">
        <f t="shared" si="73"/>
        <v>0.13424605438296255</v>
      </c>
      <c r="BC77" s="233">
        <f t="shared" si="73"/>
        <v>0.14041472948348727</v>
      </c>
      <c r="BD77" s="233">
        <f t="shared" si="73"/>
        <v>0.17936772666710146</v>
      </c>
      <c r="BE77" s="233">
        <f t="shared" si="73"/>
        <v>0.2720878937949977</v>
      </c>
      <c r="BF77" s="502">
        <f t="shared" si="73"/>
        <v>0.18256128207467473</v>
      </c>
      <c r="BG77" s="233">
        <f t="shared" si="73"/>
        <v>0.11736812316590013</v>
      </c>
      <c r="BH77" s="233">
        <f t="shared" si="73"/>
        <v>0.19739207163632799</v>
      </c>
      <c r="BI77" s="233">
        <f t="shared" si="73"/>
        <v>0.13814920168838318</v>
      </c>
      <c r="BJ77" s="233">
        <f t="shared" si="73"/>
        <v>0.14857765838040737</v>
      </c>
      <c r="BK77" s="502">
        <f t="shared" si="73"/>
        <v>0.15046278527182091</v>
      </c>
      <c r="BL77" s="233">
        <f t="shared" si="73"/>
        <v>0.10448788257054142</v>
      </c>
      <c r="BM77" s="233">
        <f t="shared" si="73"/>
        <v>0.16738422693459251</v>
      </c>
      <c r="BN77" s="233">
        <f t="shared" si="73"/>
        <v>0.11258062393118973</v>
      </c>
      <c r="BO77" s="233">
        <f t="shared" si="73"/>
        <v>0.23459523399128163</v>
      </c>
      <c r="BP77" s="502">
        <f t="shared" si="73"/>
        <v>0.15501894585962703</v>
      </c>
      <c r="BQ77" s="233">
        <f t="shared" ref="BQ77:BU77" si="74">+BQ74/BQ84</f>
        <v>9.6579594363948987E-2</v>
      </c>
      <c r="BR77" s="233">
        <f t="shared" si="74"/>
        <v>0.14542773912312371</v>
      </c>
      <c r="BS77" s="233">
        <f t="shared" si="74"/>
        <v>0.1233132373444943</v>
      </c>
      <c r="BT77" s="233">
        <f t="shared" si="74"/>
        <v>0.24655975436699679</v>
      </c>
      <c r="BU77" s="502">
        <f t="shared" si="74"/>
        <v>0.15328365467250227</v>
      </c>
    </row>
    <row r="78" spans="2:73" s="409" customFormat="1" ht="13.15">
      <c r="B78" s="262" t="s">
        <v>430</v>
      </c>
      <c r="C78" s="407"/>
      <c r="D78" s="408"/>
      <c r="E78" s="408"/>
      <c r="F78" s="408"/>
      <c r="G78" s="408"/>
      <c r="H78" s="732">
        <f t="shared" ref="H78:R78" si="75">H77+H85</f>
        <v>-0.1357700312174818</v>
      </c>
      <c r="I78" s="732">
        <f t="shared" si="75"/>
        <v>0.25630737719479479</v>
      </c>
      <c r="J78" s="732">
        <f t="shared" si="75"/>
        <v>0.37015643473833137</v>
      </c>
      <c r="K78" s="732">
        <f t="shared" si="75"/>
        <v>0.41490697335138194</v>
      </c>
      <c r="L78" s="732">
        <f t="shared" si="75"/>
        <v>0.4604864610549298</v>
      </c>
      <c r="M78" s="732">
        <f t="shared" si="75"/>
        <v>0.38296816200605621</v>
      </c>
      <c r="N78" s="732">
        <f t="shared" si="75"/>
        <v>0.3990854768633732</v>
      </c>
      <c r="O78" s="732">
        <f t="shared" si="75"/>
        <v>0.47492098667821842</v>
      </c>
      <c r="P78" s="732">
        <f t="shared" si="75"/>
        <v>0.4328589233163323</v>
      </c>
      <c r="Q78" s="732">
        <f t="shared" si="75"/>
        <v>0.50087453751211619</v>
      </c>
      <c r="R78" s="732">
        <f t="shared" si="75"/>
        <v>0.45373467894416991</v>
      </c>
      <c r="S78" s="405" t="s">
        <v>320</v>
      </c>
      <c r="T78" s="406" t="s">
        <v>324</v>
      </c>
      <c r="U78" s="405"/>
      <c r="V78" s="405"/>
      <c r="W78" s="405"/>
      <c r="X78" s="405" t="s">
        <v>321</v>
      </c>
      <c r="Y78" s="732">
        <f>Y77+Y85</f>
        <v>1.5922068263433953E-2</v>
      </c>
      <c r="Z78" s="732">
        <f t="shared" ref="Z78:BK78" si="76">Z77+Z85</f>
        <v>0.1253375094880225</v>
      </c>
      <c r="AA78" s="732">
        <f t="shared" si="76"/>
        <v>0.30063713891774868</v>
      </c>
      <c r="AB78" s="732">
        <f t="shared" si="76"/>
        <v>0.18710436474500741</v>
      </c>
      <c r="AC78" s="732">
        <f t="shared" si="76"/>
        <v>4.1470244128772871E-2</v>
      </c>
      <c r="AD78" s="732">
        <f t="shared" si="76"/>
        <v>0.26539909096229525</v>
      </c>
      <c r="AE78" s="732">
        <f t="shared" si="76"/>
        <v>0.2431429932066167</v>
      </c>
      <c r="AF78" s="732">
        <f t="shared" si="76"/>
        <v>0.39212987487692752</v>
      </c>
      <c r="AG78" s="732">
        <f t="shared" si="76"/>
        <v>0.24509548947818061</v>
      </c>
      <c r="AH78" s="732">
        <f t="shared" si="76"/>
        <v>0.16774545151597348</v>
      </c>
      <c r="AI78" s="732">
        <f t="shared" si="76"/>
        <v>0.23014536597113264</v>
      </c>
      <c r="AJ78" s="732">
        <f t="shared" si="76"/>
        <v>0.32497932098602511</v>
      </c>
      <c r="AK78" s="732">
        <f t="shared" si="76"/>
        <v>0.16562462319189503</v>
      </c>
      <c r="AL78" s="732">
        <f t="shared" si="76"/>
        <v>0.22200835623953588</v>
      </c>
      <c r="AM78" s="732">
        <f t="shared" si="76"/>
        <v>0.3970816047208946</v>
      </c>
      <c r="AN78" s="732">
        <f t="shared" si="76"/>
        <v>0.31798269528550716</v>
      </c>
      <c r="AO78" s="732">
        <f t="shared" si="76"/>
        <v>0.43378608468249824</v>
      </c>
      <c r="AP78" s="732">
        <f t="shared" si="76"/>
        <v>0.3256739063800474</v>
      </c>
      <c r="AQ78" s="732">
        <f t="shared" si="76"/>
        <v>0.36661773515371321</v>
      </c>
      <c r="AR78" s="732">
        <f t="shared" si="76"/>
        <v>0.36431978092426331</v>
      </c>
      <c r="AS78" s="732">
        <f t="shared" si="76"/>
        <v>0.31706968408181324</v>
      </c>
      <c r="AT78" s="732">
        <f t="shared" si="76"/>
        <v>0.31135825093551944</v>
      </c>
      <c r="AU78" s="732">
        <f t="shared" si="76"/>
        <v>0.37079309627375612</v>
      </c>
      <c r="AV78" s="732">
        <f t="shared" si="76"/>
        <v>0.33893801010294333</v>
      </c>
      <c r="AW78" s="732">
        <f t="shared" si="76"/>
        <v>0.15721184628638712</v>
      </c>
      <c r="AX78" s="732">
        <f t="shared" si="76"/>
        <v>0.27149173435079799</v>
      </c>
      <c r="AY78" s="732">
        <f t="shared" si="76"/>
        <v>0.12837338345914887</v>
      </c>
      <c r="AZ78" s="732">
        <f t="shared" si="76"/>
        <v>0.40622853703124001</v>
      </c>
      <c r="BA78" s="732">
        <f t="shared" si="76"/>
        <v>0.24325468337119829</v>
      </c>
      <c r="BB78" s="732">
        <f t="shared" si="76"/>
        <v>0.25395190783377986</v>
      </c>
      <c r="BC78" s="732">
        <f t="shared" si="76"/>
        <v>0.23267822844894287</v>
      </c>
      <c r="BD78" s="732">
        <f t="shared" si="76"/>
        <v>0.25888272090878961</v>
      </c>
      <c r="BE78" s="732">
        <f t="shared" si="76"/>
        <v>0.32564227148660091</v>
      </c>
      <c r="BF78" s="732">
        <f t="shared" si="76"/>
        <v>0.26781189702349217</v>
      </c>
      <c r="BG78" s="732">
        <f t="shared" si="76"/>
        <v>0.14248745461723394</v>
      </c>
      <c r="BH78" s="732">
        <f t="shared" si="76"/>
        <v>0.22721066955643021</v>
      </c>
      <c r="BI78" s="732">
        <f t="shared" si="76"/>
        <v>0.15355073159232169</v>
      </c>
      <c r="BJ78" s="732">
        <f t="shared" si="76"/>
        <v>0.15378895399080406</v>
      </c>
      <c r="BK78" s="732">
        <f t="shared" si="76"/>
        <v>0.16916760644036569</v>
      </c>
      <c r="BL78" s="732">
        <f t="shared" ref="BL78:BU78" si="77">BL77+BL85</f>
        <v>9.36282277737015E-2</v>
      </c>
      <c r="BM78" s="732">
        <f t="shared" si="77"/>
        <v>0.14283057672193386</v>
      </c>
      <c r="BN78" s="732">
        <f t="shared" si="77"/>
        <v>7.7203031712434034E-2</v>
      </c>
      <c r="BO78" s="732">
        <f t="shared" si="77"/>
        <v>0.20852976579616506</v>
      </c>
      <c r="BP78" s="732">
        <f t="shared" si="77"/>
        <v>0.13068786771765348</v>
      </c>
      <c r="BQ78" s="732">
        <f t="shared" si="77"/>
        <v>0.11366316986995113</v>
      </c>
      <c r="BR78" s="732">
        <f t="shared" si="77"/>
        <v>0.16255675100430436</v>
      </c>
      <c r="BS78" s="732">
        <f t="shared" si="77"/>
        <v>0.13965615819409605</v>
      </c>
      <c r="BT78" s="732">
        <f t="shared" si="77"/>
        <v>0.2627296581765643</v>
      </c>
      <c r="BU78" s="732">
        <f t="shared" si="77"/>
        <v>0.1699623150512739</v>
      </c>
    </row>
    <row r="79" spans="2:73" ht="7.5" customHeight="1">
      <c r="B79" s="262"/>
      <c r="C79" s="158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  <c r="BG79" s="155"/>
      <c r="BH79" s="155"/>
      <c r="BI79" s="155"/>
      <c r="BJ79" s="155"/>
      <c r="BK79" s="155"/>
      <c r="BL79" s="155"/>
      <c r="BM79" s="155"/>
      <c r="BN79" s="155"/>
      <c r="BO79" s="155"/>
      <c r="BP79" s="155"/>
      <c r="BQ79" s="155"/>
      <c r="BR79" s="155"/>
      <c r="BS79" s="155"/>
      <c r="BT79" s="155"/>
      <c r="BU79" s="155"/>
    </row>
    <row r="80" spans="2:73" ht="13.15" thickBot="1">
      <c r="B80" s="178" t="s">
        <v>364</v>
      </c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179"/>
      <c r="AZ80" s="179"/>
      <c r="BA80" s="179"/>
      <c r="BB80" s="179"/>
      <c r="BC80" s="179"/>
      <c r="BD80" s="179"/>
      <c r="BE80" s="179"/>
      <c r="BF80" s="179"/>
      <c r="BG80" s="179"/>
      <c r="BH80" s="179"/>
      <c r="BI80" s="179"/>
      <c r="BJ80" s="179"/>
      <c r="BK80" s="179"/>
      <c r="BL80" s="179"/>
      <c r="BM80" s="179"/>
      <c r="BN80" s="179"/>
      <c r="BO80" s="179"/>
      <c r="BP80" s="179"/>
      <c r="BQ80" s="179"/>
      <c r="BR80" s="179"/>
      <c r="BS80" s="179"/>
      <c r="BT80" s="179"/>
      <c r="BU80" s="179"/>
    </row>
    <row r="81" spans="2:73" ht="12.75">
      <c r="B81" s="584"/>
      <c r="C81" s="585"/>
      <c r="D81" s="585"/>
      <c r="E81" s="585"/>
      <c r="F81" s="585"/>
      <c r="G81" s="585"/>
      <c r="H81" s="585"/>
      <c r="I81" s="585"/>
      <c r="J81" s="585"/>
      <c r="K81" s="585"/>
      <c r="L81" s="585"/>
      <c r="M81" s="585"/>
      <c r="N81" s="585"/>
      <c r="O81" s="585"/>
      <c r="P81" s="585"/>
      <c r="Q81" s="585"/>
      <c r="R81" s="585"/>
      <c r="S81" s="585"/>
      <c r="T81" s="585"/>
      <c r="U81" s="585"/>
      <c r="V81" s="585"/>
      <c r="W81" s="585"/>
      <c r="X81" s="585"/>
      <c r="Y81" s="585"/>
      <c r="Z81" s="585"/>
      <c r="AA81" s="585"/>
      <c r="AB81" s="585"/>
      <c r="AC81" s="585"/>
      <c r="AD81" s="585"/>
      <c r="AE81" s="585"/>
      <c r="AF81" s="585"/>
      <c r="AG81" s="585"/>
      <c r="AH81" s="585"/>
      <c r="AI81" s="585"/>
      <c r="AJ81" s="585"/>
      <c r="AK81" s="585"/>
      <c r="AL81" s="585"/>
      <c r="AM81" s="585"/>
      <c r="AN81" s="585"/>
      <c r="AO81" s="585"/>
      <c r="AP81" s="585"/>
      <c r="AQ81" s="585"/>
      <c r="AR81" s="585"/>
      <c r="AS81" s="585"/>
      <c r="AT81" s="585"/>
      <c r="AU81" s="585"/>
      <c r="AV81" s="585"/>
      <c r="AW81" s="585"/>
      <c r="AX81" s="585"/>
      <c r="AY81" s="585"/>
      <c r="AZ81" s="585"/>
      <c r="BA81" s="585"/>
      <c r="BB81" s="585"/>
      <c r="BC81" s="585"/>
      <c r="BD81" s="585"/>
      <c r="BE81" s="585"/>
      <c r="BF81" s="585"/>
      <c r="BG81" s="585"/>
      <c r="BH81" s="585"/>
      <c r="BI81" s="585"/>
      <c r="BJ81" s="585"/>
      <c r="BK81" s="585"/>
      <c r="BL81" s="585"/>
      <c r="BM81" s="585"/>
      <c r="BN81" s="585"/>
      <c r="BO81" s="585"/>
      <c r="BP81" s="585"/>
      <c r="BQ81" s="585"/>
      <c r="BR81" s="585"/>
      <c r="BS81" s="585"/>
      <c r="BT81" s="585"/>
      <c r="BU81" s="585"/>
    </row>
    <row r="82" spans="2:73" s="155" customFormat="1" ht="13.15" thickBot="1">
      <c r="B82" s="370"/>
      <c r="C82" s="168"/>
    </row>
    <row r="83" spans="2:73" s="155" customFormat="1" ht="13.15">
      <c r="B83" s="352" t="s">
        <v>239</v>
      </c>
      <c r="C83" s="365"/>
      <c r="D83" s="367"/>
      <c r="E83" s="367"/>
      <c r="F83" s="367"/>
      <c r="G83" s="367"/>
      <c r="H83" s="367"/>
      <c r="I83" s="367"/>
      <c r="J83" s="367"/>
      <c r="K83" s="367"/>
      <c r="L83" s="367"/>
      <c r="M83" s="367"/>
      <c r="N83" s="367"/>
      <c r="O83" s="367"/>
      <c r="P83" s="367"/>
      <c r="Q83" s="367"/>
      <c r="R83" s="367"/>
      <c r="S83" s="367"/>
      <c r="T83" s="367"/>
      <c r="U83" s="367"/>
      <c r="V83" s="367"/>
      <c r="W83" s="367"/>
      <c r="X83" s="367"/>
      <c r="Y83" s="367"/>
      <c r="Z83" s="367"/>
      <c r="AA83" s="367"/>
      <c r="AB83" s="367"/>
      <c r="AC83" s="367"/>
      <c r="AD83" s="367"/>
      <c r="AE83" s="367"/>
      <c r="AF83" s="367"/>
      <c r="AG83" s="367"/>
      <c r="AH83" s="367"/>
      <c r="AI83" s="367"/>
      <c r="AJ83" s="367"/>
      <c r="AK83" s="367"/>
      <c r="AL83" s="367"/>
      <c r="AM83" s="367"/>
      <c r="AN83" s="367"/>
      <c r="AO83" s="367"/>
      <c r="AP83" s="367"/>
      <c r="AQ83" s="367"/>
      <c r="AR83" s="367"/>
      <c r="AS83" s="367"/>
      <c r="AT83" s="367"/>
      <c r="AU83" s="367"/>
      <c r="AV83" s="367"/>
      <c r="AW83" s="367"/>
      <c r="AX83" s="367"/>
      <c r="AY83" s="367"/>
      <c r="AZ83" s="367"/>
      <c r="BA83" s="367"/>
      <c r="BB83" s="367"/>
      <c r="BC83" s="367"/>
      <c r="BD83" s="367"/>
      <c r="BE83" s="367"/>
      <c r="BF83" s="367"/>
      <c r="BG83" s="367"/>
      <c r="BH83" s="367"/>
      <c r="BI83" s="367"/>
      <c r="BJ83" s="367"/>
      <c r="BK83" s="367"/>
      <c r="BL83" s="367"/>
      <c r="BM83" s="367"/>
      <c r="BN83" s="367"/>
      <c r="BO83" s="367"/>
      <c r="BP83" s="367"/>
      <c r="BQ83" s="367"/>
      <c r="BR83" s="367"/>
      <c r="BS83" s="367"/>
      <c r="BT83" s="367"/>
      <c r="BU83" s="367"/>
    </row>
    <row r="84" spans="2:73" s="155" customFormat="1" ht="12.75">
      <c r="B84" s="262" t="s">
        <v>4</v>
      </c>
      <c r="D84" s="355">
        <f>+IS!D52</f>
        <v>16736</v>
      </c>
      <c r="E84" s="355">
        <f>+IS!E52</f>
        <v>17880</v>
      </c>
      <c r="F84" s="355">
        <f>+IS!F52</f>
        <v>20329</v>
      </c>
      <c r="G84" s="355">
        <f>+IS!G52</f>
        <v>21935</v>
      </c>
      <c r="H84" s="479">
        <f>+IS!H52</f>
        <v>76880</v>
      </c>
      <c r="I84" s="355">
        <f>+IS!I52</f>
        <v>23571</v>
      </c>
      <c r="J84" s="355">
        <f>+IS!J52</f>
        <v>25790</v>
      </c>
      <c r="K84" s="355">
        <f>+IS!K52</f>
        <v>28312</v>
      </c>
      <c r="L84" s="355">
        <f>+IS!L52</f>
        <v>32853</v>
      </c>
      <c r="M84" s="479">
        <f>+IS!M52</f>
        <v>110526</v>
      </c>
      <c r="N84" s="355">
        <f>+IS!N52</f>
        <v>34796</v>
      </c>
      <c r="O84" s="355">
        <f>+IS!O52</f>
        <v>37268</v>
      </c>
      <c r="P84" s="355">
        <f>+IS!P52</f>
        <v>40339</v>
      </c>
      <c r="Q84" s="355">
        <f>+IS!Q52</f>
        <v>45034</v>
      </c>
      <c r="R84" s="479">
        <f>+IS!R52</f>
        <v>157437</v>
      </c>
      <c r="S84" s="355">
        <f>+IS!S52</f>
        <v>45245</v>
      </c>
      <c r="T84" s="355">
        <f>+IS!T52</f>
        <v>47443</v>
      </c>
      <c r="U84" s="355">
        <f>+IS!U52</f>
        <v>50521</v>
      </c>
      <c r="V84" s="355">
        <f>+IS!V52</f>
        <v>57731</v>
      </c>
      <c r="W84" s="479">
        <f>+IS!W52</f>
        <v>200940</v>
      </c>
      <c r="X84" s="355">
        <f>+IS!X52</f>
        <v>54515</v>
      </c>
      <c r="Y84" s="355">
        <f>+IS!Y52</f>
        <v>58441</v>
      </c>
      <c r="Z84" s="355">
        <f>+IS!Z52</f>
        <v>62365</v>
      </c>
      <c r="AA84" s="355">
        <f>+IS!AA52</f>
        <v>68770</v>
      </c>
      <c r="AB84" s="479">
        <f>+IS!AB52</f>
        <v>244091</v>
      </c>
      <c r="AC84" s="355">
        <f>+IS!AC52</f>
        <v>73185</v>
      </c>
      <c r="AD84" s="355">
        <f>+IS!AD52</f>
        <v>78959</v>
      </c>
      <c r="AE84" s="355">
        <f>+IS!AE52</f>
        <v>83155</v>
      </c>
      <c r="AF84" s="355">
        <f>+IS!AF52</f>
        <v>91648</v>
      </c>
      <c r="AG84" s="479">
        <f>+IS!AG52</f>
        <v>326947</v>
      </c>
      <c r="AH84" s="355">
        <f>+IS!AH52</f>
        <v>94340</v>
      </c>
      <c r="AI84" s="355">
        <f>+IS!AI52</f>
        <v>98912</v>
      </c>
      <c r="AJ84" s="355">
        <f>+IS!AJ52</f>
        <v>105075</v>
      </c>
      <c r="AK84" s="355">
        <f>+IS!AK52</f>
        <v>113159</v>
      </c>
      <c r="AL84" s="479">
        <f>+IS!AL52</f>
        <v>411486</v>
      </c>
      <c r="AM84" s="355">
        <f>+IS!AM52</f>
        <v>117451</v>
      </c>
      <c r="AN84" s="355">
        <f>+IS!AN52</f>
        <v>126421</v>
      </c>
      <c r="AO84" s="355">
        <f>+IS!AO52</f>
        <v>139894</v>
      </c>
      <c r="AP84" s="355">
        <f>+IS!AP52</f>
        <v>151638</v>
      </c>
      <c r="AQ84" s="479">
        <f>+IS!AQ52</f>
        <v>535404</v>
      </c>
      <c r="AR84" s="355">
        <f>+IS!AR52</f>
        <v>157384</v>
      </c>
      <c r="AS84" s="355">
        <f>+IS!AS52</f>
        <v>167455</v>
      </c>
      <c r="AT84" s="355">
        <f>+IS!AT52</f>
        <v>175765</v>
      </c>
      <c r="AU84" s="355">
        <f>+IS!AU52</f>
        <v>184479</v>
      </c>
      <c r="AV84" s="479">
        <f>+IS!AV52</f>
        <v>685083</v>
      </c>
      <c r="AW84" s="355">
        <f>+IS!AW52</f>
        <v>183174</v>
      </c>
      <c r="AX84" s="355">
        <f>+IS!AX52</f>
        <v>190422</v>
      </c>
      <c r="AY84" s="355">
        <f>+IS!AY52</f>
        <v>198843</v>
      </c>
      <c r="AZ84" s="355">
        <f>+IS!AZ52</f>
        <v>205268</v>
      </c>
      <c r="BA84" s="479">
        <f>+IS!BA52</f>
        <v>777707</v>
      </c>
      <c r="BB84" s="355">
        <f>+IS!BB52</f>
        <v>205101</v>
      </c>
      <c r="BC84" s="355">
        <f>+IS!BC52</f>
        <v>207991</v>
      </c>
      <c r="BD84" s="355">
        <f>+IS!BD52</f>
        <v>214654</v>
      </c>
      <c r="BE84" s="355">
        <f>+IS!BE52</f>
        <v>216261</v>
      </c>
      <c r="BF84" s="479">
        <f>+IS!BF52</f>
        <v>844007</v>
      </c>
      <c r="BG84" s="355">
        <f>+IS!BG52</f>
        <v>210253</v>
      </c>
      <c r="BH84" s="355">
        <f>+IS!BH52</f>
        <v>214193</v>
      </c>
      <c r="BI84" s="355">
        <f>+IS!BI52</f>
        <v>217960</v>
      </c>
      <c r="BJ84" s="355">
        <f>+IS!BJ52</f>
        <v>217388</v>
      </c>
      <c r="BK84" s="479">
        <f>+IS!BK52</f>
        <v>859794</v>
      </c>
      <c r="BL84" s="355">
        <f>+IS!BL52</f>
        <v>207969.72500000001</v>
      </c>
      <c r="BM84" s="355">
        <f>+IS!BM52</f>
        <v>208933.78</v>
      </c>
      <c r="BN84" s="355">
        <f>+IS!BN52</f>
        <v>210249.1</v>
      </c>
      <c r="BO84" s="355">
        <f>+IS!BO52</f>
        <v>211721.68</v>
      </c>
      <c r="BP84" s="479">
        <f>+IS!BP52</f>
        <v>838874.28500000003</v>
      </c>
      <c r="BQ84" s="355">
        <f>+IS!BQ52</f>
        <v>211522.59150000001</v>
      </c>
      <c r="BR84" s="355">
        <f>+IS!BR52</f>
        <v>212512.60920000001</v>
      </c>
      <c r="BS84" s="355">
        <f>+IS!BS52</f>
        <v>213685.1844</v>
      </c>
      <c r="BT84" s="355">
        <f>+IS!BT52</f>
        <v>215145.1992</v>
      </c>
      <c r="BU84" s="479">
        <f>+IS!BU52</f>
        <v>852865.58429999999</v>
      </c>
    </row>
    <row r="85" spans="2:73" s="155" customFormat="1" ht="12.75">
      <c r="B85" s="224" t="s">
        <v>126</v>
      </c>
      <c r="D85" s="237"/>
      <c r="E85" s="237"/>
      <c r="F85" s="237"/>
      <c r="G85" s="237"/>
      <c r="H85" s="480"/>
      <c r="I85" s="237">
        <f t="shared" ref="I85:AB85" si="78">+I84/D84-1</f>
        <v>0.40840105162523899</v>
      </c>
      <c r="J85" s="237">
        <f t="shared" si="78"/>
        <v>0.44239373601789711</v>
      </c>
      <c r="K85" s="237">
        <f t="shared" si="78"/>
        <v>0.3926902454621477</v>
      </c>
      <c r="L85" s="237">
        <f t="shared" si="78"/>
        <v>0.49774333257351255</v>
      </c>
      <c r="M85" s="480">
        <f t="shared" si="78"/>
        <v>0.43764308012486985</v>
      </c>
      <c r="N85" s="237">
        <f t="shared" si="78"/>
        <v>0.47622077977175348</v>
      </c>
      <c r="O85" s="237">
        <f t="shared" si="78"/>
        <v>0.44505622334238071</v>
      </c>
      <c r="P85" s="237">
        <f t="shared" si="78"/>
        <v>0.42480220401243285</v>
      </c>
      <c r="Q85" s="237">
        <f t="shared" si="78"/>
        <v>0.37077283657504645</v>
      </c>
      <c r="R85" s="480">
        <f t="shared" si="78"/>
        <v>0.42443406981162801</v>
      </c>
      <c r="S85" s="237">
        <f t="shared" si="78"/>
        <v>0.30029313714220018</v>
      </c>
      <c r="T85" s="237">
        <f t="shared" si="78"/>
        <v>0.27302243211334121</v>
      </c>
      <c r="U85" s="237">
        <f t="shared" si="78"/>
        <v>0.25241081831478218</v>
      </c>
      <c r="V85" s="237">
        <f t="shared" si="78"/>
        <v>0.28194253230892219</v>
      </c>
      <c r="W85" s="480">
        <f t="shared" si="78"/>
        <v>0.27632005183025599</v>
      </c>
      <c r="X85" s="237">
        <f t="shared" si="78"/>
        <v>0.20488451762625703</v>
      </c>
      <c r="Y85" s="237">
        <f t="shared" si="78"/>
        <v>0.23181502012941846</v>
      </c>
      <c r="Z85" s="237">
        <f t="shared" si="78"/>
        <v>0.23443716474337406</v>
      </c>
      <c r="AA85" s="237">
        <f t="shared" si="78"/>
        <v>0.19121442552528101</v>
      </c>
      <c r="AB85" s="480">
        <f t="shared" si="78"/>
        <v>0.21474569523240761</v>
      </c>
      <c r="AC85" s="237">
        <f t="shared" ref="AC85:BP85" si="79">+AC84/X84-1</f>
        <v>0.34247454828946156</v>
      </c>
      <c r="AD85" s="237">
        <f t="shared" si="79"/>
        <v>0.3510891326294896</v>
      </c>
      <c r="AE85" s="237">
        <f t="shared" si="79"/>
        <v>0.33336005772468535</v>
      </c>
      <c r="AF85" s="237">
        <f t="shared" si="79"/>
        <v>0.33267413116184374</v>
      </c>
      <c r="AG85" s="480">
        <f t="shared" si="79"/>
        <v>0.33944717339025199</v>
      </c>
      <c r="AH85" s="237">
        <f t="shared" si="79"/>
        <v>0.28906196624991454</v>
      </c>
      <c r="AI85" s="237">
        <f t="shared" si="79"/>
        <v>0.25270076875340375</v>
      </c>
      <c r="AJ85" s="237">
        <f t="shared" si="79"/>
        <v>0.26360411280139506</v>
      </c>
      <c r="AK85" s="237">
        <f t="shared" si="79"/>
        <v>0.23471325069832405</v>
      </c>
      <c r="AL85" s="480">
        <f t="shared" si="79"/>
        <v>0.25857096104261545</v>
      </c>
      <c r="AM85" s="237">
        <f t="shared" si="79"/>
        <v>0.24497562009751972</v>
      </c>
      <c r="AN85" s="237">
        <f t="shared" si="79"/>
        <v>0.27811590100291173</v>
      </c>
      <c r="AO85" s="237">
        <f t="shared" si="79"/>
        <v>0.33137282893171549</v>
      </c>
      <c r="AP85" s="237">
        <f t="shared" si="79"/>
        <v>0.3400436553875521</v>
      </c>
      <c r="AQ85" s="480">
        <f t="shared" si="79"/>
        <v>0.30114754815473677</v>
      </c>
      <c r="AR85" s="237">
        <f t="shared" si="79"/>
        <v>0.33999710517577553</v>
      </c>
      <c r="AS85" s="237">
        <f t="shared" si="79"/>
        <v>0.32458215011746461</v>
      </c>
      <c r="AT85" s="237">
        <f t="shared" si="79"/>
        <v>0.25641557179006957</v>
      </c>
      <c r="AU85" s="237">
        <f t="shared" si="79"/>
        <v>0.21657500098919802</v>
      </c>
      <c r="AV85" s="480">
        <f t="shared" si="79"/>
        <v>0.27956272272900473</v>
      </c>
      <c r="AW85" s="237">
        <f t="shared" si="79"/>
        <v>0.16386672088649412</v>
      </c>
      <c r="AX85" s="237">
        <f t="shared" si="79"/>
        <v>0.13715326505628367</v>
      </c>
      <c r="AY85" s="237">
        <f t="shared" si="79"/>
        <v>0.13130031576252388</v>
      </c>
      <c r="AZ85" s="237">
        <f t="shared" si="79"/>
        <v>0.11269033331707123</v>
      </c>
      <c r="BA85" s="480">
        <f t="shared" si="79"/>
        <v>0.13520113621269259</v>
      </c>
      <c r="BB85" s="237">
        <f t="shared" si="79"/>
        <v>0.1197058534508173</v>
      </c>
      <c r="BC85" s="237">
        <f t="shared" si="79"/>
        <v>9.2263498965455604E-2</v>
      </c>
      <c r="BD85" s="237">
        <f t="shared" si="79"/>
        <v>7.9514994241688175E-2</v>
      </c>
      <c r="BE85" s="237">
        <f t="shared" si="79"/>
        <v>5.3554377691603205E-2</v>
      </c>
      <c r="BF85" s="480">
        <f t="shared" si="79"/>
        <v>8.5250614948817471E-2</v>
      </c>
      <c r="BG85" s="237">
        <f t="shared" si="79"/>
        <v>2.5119331451333826E-2</v>
      </c>
      <c r="BH85" s="237">
        <f t="shared" si="79"/>
        <v>2.9818597920102219E-2</v>
      </c>
      <c r="BI85" s="237">
        <f t="shared" si="79"/>
        <v>1.5401529903938505E-2</v>
      </c>
      <c r="BJ85" s="237">
        <f t="shared" si="79"/>
        <v>5.2112956103966823E-3</v>
      </c>
      <c r="BK85" s="480">
        <f t="shared" si="79"/>
        <v>1.8704821168544772E-2</v>
      </c>
      <c r="BL85" s="237">
        <f t="shared" si="79"/>
        <v>-1.0859654796839924E-2</v>
      </c>
      <c r="BM85" s="237">
        <f t="shared" si="79"/>
        <v>-2.4553650212658651E-2</v>
      </c>
      <c r="BN85" s="237">
        <f t="shared" si="79"/>
        <v>-3.5377592218755693E-2</v>
      </c>
      <c r="BO85" s="237">
        <f t="shared" si="79"/>
        <v>-2.606546819511657E-2</v>
      </c>
      <c r="BP85" s="480">
        <f t="shared" si="79"/>
        <v>-2.433107814197355E-2</v>
      </c>
      <c r="BQ85" s="237">
        <f t="shared" ref="BQ85" si="80">+BQ84/BL84-1</f>
        <v>1.7083575506002147E-2</v>
      </c>
      <c r="BR85" s="237">
        <f t="shared" ref="BR85" si="81">+BR84/BM84-1</f>
        <v>1.7129011881180656E-2</v>
      </c>
      <c r="BS85" s="237">
        <f t="shared" ref="BS85" si="82">+BS84/BN84-1</f>
        <v>1.6342920849601761E-2</v>
      </c>
      <c r="BT85" s="237">
        <f t="shared" ref="BT85" si="83">+BT84/BO84-1</f>
        <v>1.616990380956751E-2</v>
      </c>
      <c r="BU85" s="480">
        <f t="shared" ref="BU85" si="84">+BU84/BP84-1</f>
        <v>1.6678660378771637E-2</v>
      </c>
    </row>
    <row r="86" spans="2:73" s="155" customFormat="1" ht="12.75">
      <c r="B86" s="224" t="s">
        <v>127</v>
      </c>
      <c r="D86" s="237"/>
      <c r="E86" s="237">
        <f>+E84/D84-1</f>
        <v>6.8355640535372908E-2</v>
      </c>
      <c r="F86" s="237">
        <f>+F84/E84-1</f>
        <v>0.13696868008948537</v>
      </c>
      <c r="G86" s="237">
        <f>+G84/F84-1</f>
        <v>7.9000442717300334E-2</v>
      </c>
      <c r="H86" s="480"/>
      <c r="I86" s="237">
        <f>+I84/G84-1</f>
        <v>7.4583998176430466E-2</v>
      </c>
      <c r="J86" s="237">
        <f>+J84/I84-1</f>
        <v>9.414110559585942E-2</v>
      </c>
      <c r="K86" s="237">
        <f>+K84/J84-1</f>
        <v>9.7789841023652624E-2</v>
      </c>
      <c r="L86" s="237">
        <f>+L84/K84-1</f>
        <v>0.16039135348968636</v>
      </c>
      <c r="M86" s="480"/>
      <c r="N86" s="237">
        <f>+N84/L84-1</f>
        <v>5.9142239673698027E-2</v>
      </c>
      <c r="O86" s="237">
        <f>+O84/N84-1</f>
        <v>7.104264858029663E-2</v>
      </c>
      <c r="P86" s="237">
        <f>+P84/O84-1</f>
        <v>8.2403134056026728E-2</v>
      </c>
      <c r="Q86" s="237">
        <f>+Q84/P84-1</f>
        <v>0.11638860655940908</v>
      </c>
      <c r="R86" s="480"/>
      <c r="S86" s="237">
        <f>+S84/Q84-1</f>
        <v>4.6853488475373517E-3</v>
      </c>
      <c r="T86" s="237">
        <f>+T84/S84-1</f>
        <v>4.8579953586031621E-2</v>
      </c>
      <c r="U86" s="237">
        <f>+U84/T84-1</f>
        <v>6.4877853424109011E-2</v>
      </c>
      <c r="V86" s="237">
        <f>+V84/U84-1</f>
        <v>0.14271293125630935</v>
      </c>
      <c r="W86" s="480"/>
      <c r="X86" s="237">
        <f>+X84/V84-1</f>
        <v>-5.5706639413833137E-2</v>
      </c>
      <c r="Y86" s="237">
        <f>+Y84/X84-1</f>
        <v>7.2016876089149751E-2</v>
      </c>
      <c r="Z86" s="237">
        <f>+Z84/Y84-1</f>
        <v>6.7144641604353072E-2</v>
      </c>
      <c r="AA86" s="237">
        <f>+AA84/Z84-1</f>
        <v>0.10270183596568594</v>
      </c>
      <c r="AB86" s="480"/>
      <c r="AC86" s="237">
        <f>+AC84/AA84-1</f>
        <v>6.4199505598371287E-2</v>
      </c>
      <c r="AD86" s="237">
        <f>+AD84/AC84-1</f>
        <v>7.8895948623351808E-2</v>
      </c>
      <c r="AE86" s="237">
        <f>+AE84/AD84-1</f>
        <v>5.3141503818437519E-2</v>
      </c>
      <c r="AF86" s="237">
        <f>+AF84/AE84-1</f>
        <v>0.10213456797546749</v>
      </c>
      <c r="AG86" s="480"/>
      <c r="AH86" s="237">
        <f>+AH84/AF84-1</f>
        <v>2.9373254189944076E-2</v>
      </c>
      <c r="AI86" s="237">
        <f>+AI84/AH84-1</f>
        <v>4.8463006147975385E-2</v>
      </c>
      <c r="AJ86" s="237">
        <f>+AJ84/AI84-1</f>
        <v>6.2307910061468741E-2</v>
      </c>
      <c r="AK86" s="237">
        <f>+AK84/AJ84-1</f>
        <v>7.6935522246014854E-2</v>
      </c>
      <c r="AL86" s="480"/>
      <c r="AM86" s="237">
        <f>+AM84/AK84-1</f>
        <v>3.7928931856944681E-2</v>
      </c>
      <c r="AN86" s="237">
        <f>+AN84/AM84-1</f>
        <v>7.6372274395279716E-2</v>
      </c>
      <c r="AO86" s="237">
        <f>+AO84/AN84-1</f>
        <v>0.1065724840018667</v>
      </c>
      <c r="AP86" s="237">
        <f>+AP84/AO84-1</f>
        <v>8.3949275880309315E-2</v>
      </c>
      <c r="AQ86" s="480"/>
      <c r="AR86" s="237">
        <f>+AR84/AP84-1</f>
        <v>3.7892876455769553E-2</v>
      </c>
      <c r="AS86" s="237">
        <f>+AS84/AR84-1</f>
        <v>6.3989986275606148E-2</v>
      </c>
      <c r="AT86" s="237">
        <f>+AT84/AS84-1</f>
        <v>4.9625272461258252E-2</v>
      </c>
      <c r="AU86" s="237">
        <f>+AU84/AT84-1</f>
        <v>4.9577560947856592E-2</v>
      </c>
      <c r="AV86" s="480"/>
      <c r="AW86" s="237">
        <f>+AW84/AU84-1</f>
        <v>-7.073975899695939E-3</v>
      </c>
      <c r="AX86" s="237">
        <f>+AX84/AW84-1</f>
        <v>3.9568934455763483E-2</v>
      </c>
      <c r="AY86" s="237">
        <f>+AY84/AX84-1</f>
        <v>4.4222831395531959E-2</v>
      </c>
      <c r="AZ86" s="237">
        <f>+AZ84/AY84-1</f>
        <v>3.2311924483134913E-2</v>
      </c>
      <c r="BA86" s="480"/>
      <c r="BB86" s="237">
        <f>+BB84/AZ84-1</f>
        <v>-8.1357055166908498E-4</v>
      </c>
      <c r="BC86" s="237">
        <f>+BC84/BB84-1</f>
        <v>1.4090618768314078E-2</v>
      </c>
      <c r="BD86" s="237">
        <f>+BD84/BC84-1</f>
        <v>3.2035039977691415E-2</v>
      </c>
      <c r="BE86" s="237">
        <f>+BE84/BD84-1</f>
        <v>7.486466592749208E-3</v>
      </c>
      <c r="BF86" s="480"/>
      <c r="BG86" s="237">
        <f>+BG84/BE84-1</f>
        <v>-2.778124580946173E-2</v>
      </c>
      <c r="BH86" s="237">
        <f>+BH84/BG84-1</f>
        <v>1.8739328333008398E-2</v>
      </c>
      <c r="BI86" s="237">
        <f>+BI84/BH84-1</f>
        <v>1.7586942617172419E-2</v>
      </c>
      <c r="BJ86" s="237">
        <f>+BJ84/BI84-1</f>
        <v>-2.6243347403193118E-3</v>
      </c>
      <c r="BK86" s="480"/>
      <c r="BL86" s="237">
        <f>+BL84/BJ84-1</f>
        <v>-4.3324723535797749E-2</v>
      </c>
      <c r="BM86" s="237">
        <f>+BM84/BL84-1</f>
        <v>4.6355545260252651E-3</v>
      </c>
      <c r="BN86" s="237">
        <f>+BN84/BM84-1</f>
        <v>6.295391774369774E-3</v>
      </c>
      <c r="BO86" s="237">
        <f>+BO84/BN84-1</f>
        <v>7.0039776626866779E-3</v>
      </c>
      <c r="BP86" s="480"/>
      <c r="BQ86" s="237">
        <f>+BQ84/BO84-1</f>
        <v>-9.4033119329106629E-4</v>
      </c>
      <c r="BR86" s="237">
        <f>+BR84/BQ84-1</f>
        <v>4.6804348083073766E-3</v>
      </c>
      <c r="BS86" s="237">
        <f>+BS84/BR84-1</f>
        <v>5.5176735367097329E-3</v>
      </c>
      <c r="BT86" s="237">
        <f>+BT84/BS84-1</f>
        <v>6.8325504367536816E-3</v>
      </c>
      <c r="BU86" s="480"/>
    </row>
    <row r="87" spans="2:73" s="155" customFormat="1" ht="13.15">
      <c r="B87" s="158"/>
      <c r="C87" s="158"/>
      <c r="D87" s="158"/>
      <c r="E87" s="158"/>
      <c r="F87" s="158"/>
      <c r="G87" s="158"/>
      <c r="H87" s="504"/>
      <c r="I87" s="158"/>
      <c r="J87" s="158"/>
      <c r="K87" s="158"/>
      <c r="L87" s="158"/>
      <c r="M87" s="504"/>
      <c r="N87" s="158"/>
      <c r="O87" s="158"/>
      <c r="P87" s="158"/>
      <c r="Q87" s="158"/>
      <c r="R87" s="504"/>
      <c r="S87" s="158"/>
      <c r="T87" s="158"/>
      <c r="U87" s="158"/>
      <c r="V87" s="158"/>
      <c r="W87" s="504"/>
      <c r="X87" s="158"/>
      <c r="Y87" s="158"/>
      <c r="Z87" s="158"/>
      <c r="AA87" s="158"/>
      <c r="AB87" s="504"/>
      <c r="AC87" s="158"/>
      <c r="AD87" s="158"/>
      <c r="AE87" s="158"/>
      <c r="AF87" s="158"/>
      <c r="AG87" s="504"/>
      <c r="AH87" s="158"/>
      <c r="AI87" s="158"/>
      <c r="AJ87" s="158"/>
      <c r="AK87" s="158"/>
      <c r="AL87" s="504"/>
      <c r="AM87" s="158"/>
      <c r="AN87" s="158"/>
      <c r="AO87" s="158"/>
      <c r="AP87" s="158"/>
      <c r="AQ87" s="504"/>
      <c r="AR87" s="158"/>
      <c r="AS87" s="158"/>
      <c r="AT87" s="158"/>
      <c r="AU87" s="158"/>
      <c r="AV87" s="504"/>
      <c r="AW87" s="158"/>
      <c r="AX87" s="158"/>
      <c r="AY87" s="158"/>
      <c r="AZ87" s="158"/>
      <c r="BA87" s="504"/>
      <c r="BB87" s="158"/>
      <c r="BC87" s="158"/>
      <c r="BD87" s="158"/>
      <c r="BE87" s="158"/>
      <c r="BF87" s="504"/>
      <c r="BG87" s="158"/>
      <c r="BH87" s="158"/>
      <c r="BI87" s="158"/>
      <c r="BJ87" s="158"/>
      <c r="BK87" s="504"/>
      <c r="BL87" s="158"/>
      <c r="BM87" s="158"/>
      <c r="BN87" s="158"/>
      <c r="BO87" s="158"/>
      <c r="BP87" s="504"/>
      <c r="BQ87" s="158"/>
      <c r="BR87" s="158"/>
      <c r="BS87" s="158"/>
      <c r="BT87" s="158"/>
      <c r="BU87" s="504"/>
    </row>
    <row r="88" spans="2:73" s="155" customFormat="1" ht="12.75">
      <c r="B88" s="262" t="s">
        <v>140</v>
      </c>
      <c r="D88" s="167"/>
      <c r="E88" s="167"/>
      <c r="F88" s="167"/>
      <c r="G88" s="167"/>
      <c r="H88" s="472">
        <f>+'Billings &amp; Recs'!H92</f>
        <v>-22842</v>
      </c>
      <c r="I88" s="167">
        <f>+'Billings &amp; Recs'!I92</f>
        <v>-4853</v>
      </c>
      <c r="J88" s="167">
        <f>+'Billings &amp; Recs'!J92</f>
        <v>-6155</v>
      </c>
      <c r="K88" s="167">
        <f>+'Billings &amp; Recs'!K92</f>
        <v>-6698</v>
      </c>
      <c r="L88" s="167">
        <f>+'Billings &amp; Recs'!L92</f>
        <v>-10992</v>
      </c>
      <c r="M88" s="472">
        <f>+'Billings &amp; Recs'!M92</f>
        <v>-28698</v>
      </c>
      <c r="N88" s="167">
        <f>+'Billings &amp; Recs'!N92</f>
        <v>-8389</v>
      </c>
      <c r="O88" s="167">
        <f>+'Billings &amp; Recs'!O92</f>
        <v>-7932</v>
      </c>
      <c r="P88" s="167">
        <f>+'Billings &amp; Recs'!P92</f>
        <v>-4116</v>
      </c>
      <c r="Q88" s="167">
        <f>+'Billings &amp; Recs'!Q92</f>
        <v>-4571</v>
      </c>
      <c r="R88" s="472">
        <f>+'Billings &amp; Recs'!R92</f>
        <v>-25008</v>
      </c>
      <c r="S88" s="167">
        <f>+'Billings &amp; Recs'!S92</f>
        <v>-4567</v>
      </c>
      <c r="T88" s="167">
        <f>+'Billings &amp; Recs'!T92</f>
        <v>-5033</v>
      </c>
      <c r="U88" s="167">
        <f>+'Billings &amp; Recs'!U92</f>
        <v>-5600</v>
      </c>
      <c r="V88" s="167">
        <f>+'Billings &amp; Recs'!V92</f>
        <v>-6258</v>
      </c>
      <c r="W88" s="472">
        <f>+'Billings &amp; Recs'!W92</f>
        <v>-21458</v>
      </c>
      <c r="X88" s="167">
        <f>+'Billings &amp; Recs'!X92</f>
        <v>-7421</v>
      </c>
      <c r="Y88" s="167">
        <f>+'Billings &amp; Recs'!Y92</f>
        <v>-4247</v>
      </c>
      <c r="Z88" s="167">
        <f>+'Billings &amp; Recs'!Z92</f>
        <v>-1102</v>
      </c>
      <c r="AA88" s="167">
        <f>+'Billings &amp; Recs'!AA92</f>
        <v>-658</v>
      </c>
      <c r="AB88" s="472">
        <f>+'Billings &amp; Recs'!AB92</f>
        <v>-13428</v>
      </c>
      <c r="AC88" s="167">
        <f>+'Billings &amp; Recs'!AC92</f>
        <v>2607</v>
      </c>
      <c r="AD88" s="167">
        <f>+'Billings &amp; Recs'!AD92</f>
        <v>2746</v>
      </c>
      <c r="AE88" s="167">
        <f>+'Billings &amp; Recs'!AE92</f>
        <v>3446</v>
      </c>
      <c r="AF88" s="167">
        <f>+'Billings &amp; Recs'!AF92</f>
        <v>3654</v>
      </c>
      <c r="AG88" s="472">
        <f>+'Billings &amp; Recs'!AG92</f>
        <v>12453</v>
      </c>
      <c r="AH88" s="167">
        <f>+'Billings &amp; Recs'!AH92</f>
        <v>-780</v>
      </c>
      <c r="AI88" s="167">
        <f>+'Billings &amp; Recs'!AI92</f>
        <v>7556</v>
      </c>
      <c r="AJ88" s="167">
        <f>+'Billings &amp; Recs'!AJ92</f>
        <v>5791</v>
      </c>
      <c r="AK88" s="167">
        <f>+'Billings &amp; Recs'!AK92</f>
        <v>2958</v>
      </c>
      <c r="AL88" s="472">
        <f>+'Billings &amp; Recs'!AL92</f>
        <v>15525</v>
      </c>
      <c r="AM88" s="167">
        <f>+'Billings &amp; Recs'!AM92</f>
        <v>5757</v>
      </c>
      <c r="AN88" s="167">
        <f>+'Billings &amp; Recs'!AN92</f>
        <v>10030</v>
      </c>
      <c r="AO88" s="167">
        <f>+'Billings &amp; Recs'!AO92</f>
        <v>9911</v>
      </c>
      <c r="AP88" s="167">
        <f>+'Billings &amp; Recs'!AP92</f>
        <v>-1903</v>
      </c>
      <c r="AQ88" s="472">
        <f>+'Billings &amp; Recs'!AQ92</f>
        <v>23795</v>
      </c>
      <c r="AR88" s="167">
        <f>+'Billings &amp; Recs'!AR92</f>
        <v>-1173</v>
      </c>
      <c r="AS88" s="167">
        <f>+'Billings &amp; Recs'!AS92</f>
        <v>7983</v>
      </c>
      <c r="AT88" s="167">
        <f>+'Billings &amp; Recs'!AT92</f>
        <v>17930</v>
      </c>
      <c r="AU88" s="167">
        <f>+'Billings &amp; Recs'!AU92</f>
        <v>24700</v>
      </c>
      <c r="AV88" s="472">
        <f>+'Billings &amp; Recs'!AV92</f>
        <v>47780</v>
      </c>
      <c r="AW88" s="167">
        <f>+'Billings &amp; Recs'!AW92</f>
        <v>16821</v>
      </c>
      <c r="AX88" s="167">
        <f>+'Billings &amp; Recs'!AX92</f>
        <v>19049</v>
      </c>
      <c r="AY88" s="167">
        <f>+'Billings &amp; Recs'!AY92</f>
        <v>42925</v>
      </c>
      <c r="AZ88" s="167">
        <f>+'Billings &amp; Recs'!AZ92</f>
        <v>47412</v>
      </c>
      <c r="BA88" s="472">
        <f>+'Billings &amp; Recs'!BA92</f>
        <v>126722</v>
      </c>
      <c r="BB88" s="167">
        <f>+'Billings &amp; Recs'!BB92</f>
        <v>46619</v>
      </c>
      <c r="BC88" s="167">
        <f>+'Billings &amp; Recs'!BC92</f>
        <v>45438</v>
      </c>
      <c r="BD88" s="167">
        <f>+'Billings &amp; Recs'!BD92</f>
        <v>50083</v>
      </c>
      <c r="BE88" s="167">
        <f>+'Billings &amp; Recs'!BE92</f>
        <v>46310</v>
      </c>
      <c r="BF88" s="472">
        <f>+'Billings &amp; Recs'!BF92</f>
        <v>183911</v>
      </c>
      <c r="BG88" s="167">
        <f>+'Billings &amp; Recs'!BG92</f>
        <v>38898</v>
      </c>
      <c r="BH88" s="167">
        <f>+'Billings &amp; Recs'!BH92</f>
        <v>42648</v>
      </c>
      <c r="BI88" s="167">
        <f>+'Billings &amp; Recs'!BI92</f>
        <v>43514</v>
      </c>
      <c r="BJ88" s="167">
        <f>+'Billings &amp; Recs'!BJ92</f>
        <v>36812</v>
      </c>
      <c r="BK88" s="472">
        <f>+'Billings &amp; Recs'!BK92</f>
        <v>161872</v>
      </c>
      <c r="BL88" s="167">
        <f>+'Billings &amp; Recs'!BL92</f>
        <v>26099.856375000018</v>
      </c>
      <c r="BM88" s="167">
        <f>+'Billings &amp; Recs'!BM92</f>
        <v>33154.701260000002</v>
      </c>
      <c r="BN88" s="167">
        <f>+'Billings &amp; Recs'!BN92</f>
        <v>35536.131050600015</v>
      </c>
      <c r="BO88" s="167">
        <f>+'Billings &amp; Recs'!BO92</f>
        <v>35369.125623461994</v>
      </c>
      <c r="BP88" s="472">
        <f>+'Billings &amp; Recs'!BP92</f>
        <v>130159.81430906203</v>
      </c>
      <c r="BQ88" s="167">
        <f>+'Billings &amp; Recs'!BQ92</f>
        <v>31148.155309252441</v>
      </c>
      <c r="BR88" s="167">
        <f>+'Billings &amp; Recs'!BR92</f>
        <v>30668.213365584583</v>
      </c>
      <c r="BS88" s="167">
        <f>+'Billings &amp; Recs'!BS92</f>
        <v>31127.71312120607</v>
      </c>
      <c r="BT88" s="167">
        <f>+'Billings &amp; Recs'!BT92</f>
        <v>30884.240876085976</v>
      </c>
      <c r="BU88" s="472">
        <f>+'Billings &amp; Recs'!BU92</f>
        <v>123828.32267212906</v>
      </c>
    </row>
    <row r="89" spans="2:73" s="155" customFormat="1" ht="12.75">
      <c r="B89" s="224" t="s">
        <v>126</v>
      </c>
      <c r="D89" s="237"/>
      <c r="E89" s="237"/>
      <c r="F89" s="237"/>
      <c r="G89" s="237"/>
      <c r="H89" s="480"/>
      <c r="I89" s="237"/>
      <c r="J89" s="237"/>
      <c r="K89" s="237"/>
      <c r="L89" s="237"/>
      <c r="M89" s="480">
        <f t="shared" ref="M89:AB89" si="85">+M88/H88-1</f>
        <v>0.25636984502232729</v>
      </c>
      <c r="N89" s="237">
        <f t="shared" si="85"/>
        <v>0.72862147125489396</v>
      </c>
      <c r="O89" s="237">
        <f t="shared" si="85"/>
        <v>0.28870836718115345</v>
      </c>
      <c r="P89" s="237">
        <f t="shared" si="85"/>
        <v>-0.38548820543445805</v>
      </c>
      <c r="Q89" s="237">
        <f t="shared" si="85"/>
        <v>-0.58415211062590977</v>
      </c>
      <c r="R89" s="480">
        <f t="shared" si="85"/>
        <v>-0.12858038887727363</v>
      </c>
      <c r="S89" s="237">
        <f t="shared" si="85"/>
        <v>-0.45559661461437595</v>
      </c>
      <c r="T89" s="237">
        <f t="shared" si="85"/>
        <v>-0.36548159354513365</v>
      </c>
      <c r="U89" s="237">
        <f t="shared" si="85"/>
        <v>0.36054421768707479</v>
      </c>
      <c r="V89" s="237">
        <f t="shared" si="85"/>
        <v>0.36906584992343028</v>
      </c>
      <c r="W89" s="480">
        <f t="shared" si="85"/>
        <v>-0.14195457453614846</v>
      </c>
      <c r="X89" s="237">
        <f t="shared" si="85"/>
        <v>0.62491788920516744</v>
      </c>
      <c r="Y89" s="237">
        <f t="shared" si="85"/>
        <v>-0.15616928273395592</v>
      </c>
      <c r="Z89" s="237">
        <f t="shared" si="85"/>
        <v>-0.80321428571428566</v>
      </c>
      <c r="AA89" s="237">
        <f t="shared" si="85"/>
        <v>-0.89485458612975388</v>
      </c>
      <c r="AB89" s="480">
        <f t="shared" si="85"/>
        <v>-0.37421940534998599</v>
      </c>
      <c r="AC89" s="237">
        <f t="shared" ref="AC89:BP89" si="86">+AC88/X88-1</f>
        <v>-1.3513003638323675</v>
      </c>
      <c r="AD89" s="237">
        <f t="shared" si="86"/>
        <v>-1.6465740522721921</v>
      </c>
      <c r="AE89" s="237">
        <f t="shared" si="86"/>
        <v>-4.1270417422867514</v>
      </c>
      <c r="AF89" s="237">
        <f t="shared" si="86"/>
        <v>-6.5531914893617023</v>
      </c>
      <c r="AG89" s="480">
        <f t="shared" si="86"/>
        <v>-1.9273905272564789</v>
      </c>
      <c r="AH89" s="237">
        <f t="shared" si="86"/>
        <v>-1.2991944764096663</v>
      </c>
      <c r="AI89" s="237">
        <f t="shared" si="86"/>
        <v>1.7516387472687547</v>
      </c>
      <c r="AJ89" s="237">
        <f t="shared" si="86"/>
        <v>0.68049912942542079</v>
      </c>
      <c r="AK89" s="237">
        <f t="shared" si="86"/>
        <v>-0.19047619047619047</v>
      </c>
      <c r="AL89" s="480">
        <f t="shared" si="86"/>
        <v>0.24668754516983848</v>
      </c>
      <c r="AM89" s="237">
        <f t="shared" si="86"/>
        <v>-8.3807692307692321</v>
      </c>
      <c r="AN89" s="237">
        <f t="shared" si="86"/>
        <v>0.32742191635786133</v>
      </c>
      <c r="AO89" s="237">
        <f t="shared" si="86"/>
        <v>0.71144879986185461</v>
      </c>
      <c r="AP89" s="237">
        <f t="shared" si="86"/>
        <v>-1.6433400946585532</v>
      </c>
      <c r="AQ89" s="480">
        <f t="shared" si="86"/>
        <v>0.53268921095008048</v>
      </c>
      <c r="AR89" s="237">
        <f t="shared" si="86"/>
        <v>-1.2037519541427826</v>
      </c>
      <c r="AS89" s="237">
        <f t="shared" si="86"/>
        <v>-0.2040877367896311</v>
      </c>
      <c r="AT89" s="237">
        <f t="shared" si="86"/>
        <v>0.8091009988901221</v>
      </c>
      <c r="AU89" s="237">
        <f t="shared" si="86"/>
        <v>-13.979506043089858</v>
      </c>
      <c r="AV89" s="480">
        <f t="shared" si="86"/>
        <v>1.0079848707711703</v>
      </c>
      <c r="AW89" s="237">
        <f t="shared" si="86"/>
        <v>-15.340153452685422</v>
      </c>
      <c r="AX89" s="237">
        <f t="shared" si="86"/>
        <v>1.3861956657898031</v>
      </c>
      <c r="AY89" s="237">
        <f t="shared" si="86"/>
        <v>1.3940323480200782</v>
      </c>
      <c r="AZ89" s="237">
        <f t="shared" si="86"/>
        <v>0.91951417004048586</v>
      </c>
      <c r="BA89" s="480">
        <f t="shared" si="86"/>
        <v>1.6521975722059441</v>
      </c>
      <c r="BB89" s="237">
        <f t="shared" si="86"/>
        <v>1.7714761310266929</v>
      </c>
      <c r="BC89" s="237">
        <f t="shared" si="86"/>
        <v>1.385322064150349</v>
      </c>
      <c r="BD89" s="237">
        <f t="shared" si="86"/>
        <v>0.16675596971461859</v>
      </c>
      <c r="BE89" s="237">
        <f t="shared" si="86"/>
        <v>-2.3243060828482265E-2</v>
      </c>
      <c r="BF89" s="480">
        <f t="shared" si="86"/>
        <v>0.45129496062246499</v>
      </c>
      <c r="BG89" s="237">
        <f t="shared" si="86"/>
        <v>-0.16561916815032496</v>
      </c>
      <c r="BH89" s="237">
        <f t="shared" si="86"/>
        <v>-6.1402350455565857E-2</v>
      </c>
      <c r="BI89" s="237">
        <f t="shared" si="86"/>
        <v>-0.13116227063075292</v>
      </c>
      <c r="BJ89" s="237">
        <f t="shared" si="86"/>
        <v>-0.20509609155689912</v>
      </c>
      <c r="BK89" s="480">
        <f t="shared" si="86"/>
        <v>-0.1198351376481015</v>
      </c>
      <c r="BL89" s="237">
        <f t="shared" si="86"/>
        <v>-0.32901803755977121</v>
      </c>
      <c r="BM89" s="237">
        <f t="shared" si="86"/>
        <v>-0.22259657522040888</v>
      </c>
      <c r="BN89" s="237">
        <f t="shared" si="86"/>
        <v>-0.18334028012593617</v>
      </c>
      <c r="BO89" s="237">
        <f t="shared" si="86"/>
        <v>-3.9195761614093438E-2</v>
      </c>
      <c r="BP89" s="480">
        <f t="shared" si="86"/>
        <v>-0.19590902497614149</v>
      </c>
      <c r="BQ89" s="237">
        <f t="shared" ref="BQ89" si="87">+BQ88/BL88-1</f>
        <v>0.19342247948490554</v>
      </c>
      <c r="BR89" s="237">
        <f t="shared" ref="BR89" si="88">+BR88/BM88-1</f>
        <v>-7.4996540457907268E-2</v>
      </c>
      <c r="BS89" s="237">
        <f t="shared" ref="BS89" si="89">+BS88/BN88-1</f>
        <v>-0.12405452701411934</v>
      </c>
      <c r="BT89" s="237">
        <f t="shared" ref="BT89" si="90">+BT88/BO88-1</f>
        <v>-0.12680225106840026</v>
      </c>
      <c r="BU89" s="480">
        <f t="shared" ref="BU89" si="91">+BU88/BP88-1</f>
        <v>-4.864398178917928E-2</v>
      </c>
    </row>
    <row r="90" spans="2:73" s="155" customFormat="1" ht="13.15" thickBot="1">
      <c r="B90" s="311" t="s">
        <v>127</v>
      </c>
      <c r="C90" s="368"/>
      <c r="D90" s="341"/>
      <c r="E90" s="341"/>
      <c r="F90" s="341"/>
      <c r="G90" s="341"/>
      <c r="H90" s="505"/>
      <c r="I90" s="341"/>
      <c r="J90" s="341">
        <f>+J88/I88-1</f>
        <v>0.26828765711930758</v>
      </c>
      <c r="K90" s="341">
        <f>+K88/J88-1</f>
        <v>8.8220958570268015E-2</v>
      </c>
      <c r="L90" s="341">
        <f>+L88/K88-1</f>
        <v>0.64108689160943566</v>
      </c>
      <c r="M90" s="505"/>
      <c r="N90" s="341">
        <f>+N88/L88-1</f>
        <v>-0.23680858806404659</v>
      </c>
      <c r="O90" s="341">
        <f>+O88/N88-1</f>
        <v>-5.4476099654309218E-2</v>
      </c>
      <c r="P90" s="341">
        <f>+P88/O88-1</f>
        <v>-0.48108925869894104</v>
      </c>
      <c r="Q90" s="341">
        <f>+Q88/P88-1</f>
        <v>0.11054421768707479</v>
      </c>
      <c r="R90" s="505"/>
      <c r="S90" s="341">
        <f>+S88/Q88-1</f>
        <v>-8.750820389411551E-4</v>
      </c>
      <c r="T90" s="341">
        <f>+T88/S88-1</f>
        <v>0.10203634771184578</v>
      </c>
      <c r="U90" s="341">
        <f>+U88/T88-1</f>
        <v>0.11265646731571621</v>
      </c>
      <c r="V90" s="341">
        <f>+V88/U88-1</f>
        <v>0.11749999999999994</v>
      </c>
      <c r="W90" s="505"/>
      <c r="X90" s="341">
        <f>+X88/V88-1</f>
        <v>0.18584212208373274</v>
      </c>
      <c r="Y90" s="341">
        <f>+Y88/X88-1</f>
        <v>-0.42770516102951084</v>
      </c>
      <c r="Z90" s="341">
        <f>+Z88/Y88-1</f>
        <v>-0.74052272192135626</v>
      </c>
      <c r="AA90" s="341">
        <f>+AA88/Z88-1</f>
        <v>-0.4029038112522686</v>
      </c>
      <c r="AB90" s="505"/>
      <c r="AC90" s="341">
        <f>+AC88/AA88-1</f>
        <v>-4.9620060790273559</v>
      </c>
      <c r="AD90" s="341">
        <f>+AD88/AC88-1</f>
        <v>5.3317990026850781E-2</v>
      </c>
      <c r="AE90" s="341">
        <f>+AE88/AD88-1</f>
        <v>0.2549162418062636</v>
      </c>
      <c r="AF90" s="341">
        <f>+AF88/AE88-1</f>
        <v>6.0359837492745205E-2</v>
      </c>
      <c r="AG90" s="505"/>
      <c r="AH90" s="341">
        <f>+AH88/AF88-1</f>
        <v>-1.2134646962233169</v>
      </c>
      <c r="AI90" s="341">
        <f>+AI88/AH88-1</f>
        <v>-10.687179487179487</v>
      </c>
      <c r="AJ90" s="341">
        <f>+AJ88/AI88-1</f>
        <v>-0.23358920063525679</v>
      </c>
      <c r="AK90" s="341">
        <f>+AK88/AJ88-1</f>
        <v>-0.48920739077879472</v>
      </c>
      <c r="AL90" s="505"/>
      <c r="AM90" s="341">
        <f>+AM88/AK88-1</f>
        <v>0.94624746450304253</v>
      </c>
      <c r="AN90" s="341">
        <f>+AN88/AM88-1</f>
        <v>0.74222685426437374</v>
      </c>
      <c r="AO90" s="341">
        <f>+AO88/AN88-1</f>
        <v>-1.1864406779661052E-2</v>
      </c>
      <c r="AP90" s="341">
        <f>+AP88/AO88-1</f>
        <v>-1.1920088790233074</v>
      </c>
      <c r="AQ90" s="505"/>
      <c r="AR90" s="341">
        <f>+AR88/AP88-1</f>
        <v>-0.38360483447188654</v>
      </c>
      <c r="AS90" s="341">
        <f>+AS88/AR88-1</f>
        <v>-7.8056265984654729</v>
      </c>
      <c r="AT90" s="341">
        <f>+AT88/AS88-1</f>
        <v>1.2460227984466994</v>
      </c>
      <c r="AU90" s="341">
        <f>+AU88/AT88-1</f>
        <v>0.37757947573898498</v>
      </c>
      <c r="AV90" s="505"/>
      <c r="AW90" s="341">
        <f>+AW88/AU88-1</f>
        <v>-0.31898785425101217</v>
      </c>
      <c r="AX90" s="341">
        <f>+AX88/AW88-1</f>
        <v>0.13245348076808749</v>
      </c>
      <c r="AY90" s="341">
        <f>+AY88/AX88-1</f>
        <v>1.2533991285631791</v>
      </c>
      <c r="AZ90" s="341">
        <f>+AZ88/AY88-1</f>
        <v>0.10453115899825272</v>
      </c>
      <c r="BA90" s="505"/>
      <c r="BB90" s="341">
        <f>+BB88/AZ88-1</f>
        <v>-1.6725723445541241E-2</v>
      </c>
      <c r="BC90" s="341">
        <f>+BC88/BB88-1</f>
        <v>-2.5333018726270362E-2</v>
      </c>
      <c r="BD90" s="341">
        <f>+BD88/BC88-1</f>
        <v>0.10222721070469643</v>
      </c>
      <c r="BE90" s="341">
        <f>+BE88/BD88-1</f>
        <v>-7.5334943992971692E-2</v>
      </c>
      <c r="BF90" s="505"/>
      <c r="BG90" s="341">
        <f>+BG88/BE88-1</f>
        <v>-0.16005182465990064</v>
      </c>
      <c r="BH90" s="341">
        <f>+BH88/BG88-1</f>
        <v>9.6405984883541462E-2</v>
      </c>
      <c r="BI90" s="341">
        <f>+BI88/BH88-1</f>
        <v>2.0305758769461724E-2</v>
      </c>
      <c r="BJ90" s="341">
        <f>+BJ88/BI88-1</f>
        <v>-0.15401939605644166</v>
      </c>
      <c r="BK90" s="505"/>
      <c r="BL90" s="341">
        <f>+BL88/BJ88-1</f>
        <v>-0.29099596938498273</v>
      </c>
      <c r="BM90" s="341">
        <f>+BM88/BL88-1</f>
        <v>0.27030205774456029</v>
      </c>
      <c r="BN90" s="341">
        <f>+BN88/BM88-1</f>
        <v>7.1827816270301437E-2</v>
      </c>
      <c r="BO90" s="341">
        <f>+BO88/BN88-1</f>
        <v>-4.6995950937996911E-3</v>
      </c>
      <c r="BP90" s="505"/>
      <c r="BQ90" s="341">
        <f>+BQ88/BO88-1</f>
        <v>-0.11934053329861194</v>
      </c>
      <c r="BR90" s="341">
        <f>+BR88/BQ88-1</f>
        <v>-1.5408358501580177E-2</v>
      </c>
      <c r="BS90" s="341">
        <f>+BS88/BR88-1</f>
        <v>1.4982932006633698E-2</v>
      </c>
      <c r="BT90" s="341">
        <f>+BT88/BS88-1</f>
        <v>-7.8217196416600077E-3</v>
      </c>
      <c r="BU90" s="505"/>
    </row>
    <row r="91" spans="2:73">
      <c r="R91" s="506"/>
    </row>
    <row r="93" spans="2:73">
      <c r="B93" s="100" t="s">
        <v>386</v>
      </c>
      <c r="AH93" s="704">
        <f>'Billings &amp; Recs'!AH111</f>
        <v>13347</v>
      </c>
      <c r="AI93" s="704">
        <f>'Billings &amp; Recs'!AI111</f>
        <v>16446</v>
      </c>
      <c r="AJ93" s="704">
        <f>'Billings &amp; Recs'!AJ111</f>
        <v>17128</v>
      </c>
      <c r="AK93" s="704">
        <f>'Billings &amp; Recs'!AK111</f>
        <v>16967</v>
      </c>
      <c r="AL93" s="704">
        <f>'Billings &amp; Recs'!AL111</f>
        <v>63888</v>
      </c>
      <c r="AM93" s="704">
        <f>'Billings &amp; Recs'!AM111</f>
        <v>20862</v>
      </c>
      <c r="AN93" s="704">
        <f>'Billings &amp; Recs'!AN111</f>
        <v>23814</v>
      </c>
      <c r="AO93" s="704">
        <f>'Billings &amp; Recs'!AO111</f>
        <v>29196</v>
      </c>
      <c r="AP93" s="704">
        <f>'Billings &amp; Recs'!AP111</f>
        <v>28707</v>
      </c>
      <c r="AQ93" s="704">
        <f>'Billings &amp; Recs'!AQ111</f>
        <v>102579</v>
      </c>
      <c r="AR93" s="704">
        <f>'Billings &amp; Recs'!AR111</f>
        <v>28922</v>
      </c>
      <c r="AS93" s="704">
        <f>'Billings &amp; Recs'!AS111</f>
        <v>32411</v>
      </c>
      <c r="AT93" s="704">
        <f>'Billings &amp; Recs'!AT111</f>
        <v>30971</v>
      </c>
      <c r="AU93" s="704">
        <f>'Billings &amp; Recs'!AU111</f>
        <v>27598</v>
      </c>
      <c r="AV93" s="704">
        <f>'Billings &amp; Recs'!AV111</f>
        <v>119902</v>
      </c>
      <c r="AW93" s="704">
        <f>'Billings &amp; Recs'!AW111</f>
        <v>29373</v>
      </c>
      <c r="AX93" s="704">
        <f>'Billings &amp; Recs'!AX111</f>
        <v>31695</v>
      </c>
      <c r="AY93" s="704">
        <f>'Billings &amp; Recs'!AY111</f>
        <v>23768</v>
      </c>
      <c r="AZ93" s="704">
        <f>'Billings &amp; Recs'!AZ111</f>
        <v>23245</v>
      </c>
      <c r="BA93" s="704">
        <f>'Billings &amp; Recs'!BA111</f>
        <v>108081</v>
      </c>
      <c r="BB93" s="704">
        <f>'Billings &amp; Recs'!BB111</f>
        <v>24893</v>
      </c>
      <c r="BC93" s="704">
        <f>'Billings &amp; Recs'!BC111</f>
        <v>27409</v>
      </c>
      <c r="BD93" s="704">
        <f>'Billings &amp; Recs'!BD111</f>
        <v>24594</v>
      </c>
      <c r="BE93" s="704">
        <f>'Billings &amp; Recs'!BE111</f>
        <v>27412</v>
      </c>
      <c r="BF93" s="704">
        <f>'Billings &amp; Recs'!BF111</f>
        <v>104308</v>
      </c>
      <c r="BG93" s="704">
        <f>'Billings &amp; Recs'!BG111</f>
        <v>27151</v>
      </c>
      <c r="BH93" s="704">
        <f>'Billings &amp; Recs'!BH111</f>
        <v>27581</v>
      </c>
      <c r="BI93" s="704">
        <f>'Billings &amp; Recs'!BI111</f>
        <v>26327</v>
      </c>
      <c r="BJ93" s="704">
        <f>'Billings &amp; Recs'!BJ111</f>
        <v>23276</v>
      </c>
      <c r="BK93" s="704">
        <f>'Billings &amp; Recs'!BK111</f>
        <v>104335</v>
      </c>
      <c r="BL93" s="704">
        <f>'Billings &amp; Recs'!BL111</f>
        <v>29115.761500000004</v>
      </c>
      <c r="BM93" s="704">
        <f>'Billings &amp; Recs'!BM111</f>
        <v>27161.3914</v>
      </c>
      <c r="BN93" s="704">
        <f>'Billings &amp; Recs'!BN111</f>
        <v>29434.874000000003</v>
      </c>
      <c r="BO93" s="704">
        <f>'Billings &amp; Recs'!BO111</f>
        <v>29641.035200000002</v>
      </c>
      <c r="BP93" s="704">
        <f>'Billings &amp; Recs'!BP111</f>
        <v>115353.0621</v>
      </c>
      <c r="BQ93" s="704">
        <f>'Billings &amp; Recs'!BQ111</f>
        <v>29613.162810000005</v>
      </c>
      <c r="BR93" s="704">
        <f>'Billings &amp; Recs'!BR111</f>
        <v>27626.639196</v>
      </c>
      <c r="BS93" s="704">
        <f>'Billings &amp; Recs'!BS111</f>
        <v>29915.925816000003</v>
      </c>
      <c r="BT93" s="704">
        <f>'Billings &amp; Recs'!BT111</f>
        <v>30120.327888000003</v>
      </c>
      <c r="BU93" s="704">
        <f>'Billings &amp; Recs'!BU111</f>
        <v>117276.05571000002</v>
      </c>
    </row>
    <row r="94" spans="2:73">
      <c r="B94" s="100" t="s">
        <v>387</v>
      </c>
      <c r="AH94" s="705">
        <f>AH93/AH74</f>
        <v>-1.1661861074705111</v>
      </c>
      <c r="AI94" s="705">
        <f t="shared" ref="AI94:BF94" si="92">AI93/AI74</f>
        <v>-7.3715822501120574</v>
      </c>
      <c r="AJ94" s="705">
        <f t="shared" si="92"/>
        <v>2.6559156458365636</v>
      </c>
      <c r="AK94" s="705">
        <f t="shared" si="92"/>
        <v>-2.1702481453057048</v>
      </c>
      <c r="AL94" s="705">
        <f t="shared" si="92"/>
        <v>-4.2464606181455631</v>
      </c>
      <c r="AM94" s="705">
        <f t="shared" si="92"/>
        <v>1.1677581863979849</v>
      </c>
      <c r="AN94" s="705">
        <f t="shared" si="92"/>
        <v>4.7249999999999996</v>
      </c>
      <c r="AO94" s="705">
        <f t="shared" si="92"/>
        <v>2.0378306693655337</v>
      </c>
      <c r="AP94" s="705">
        <f t="shared" si="92"/>
        <v>-13.174391922900414</v>
      </c>
      <c r="AQ94" s="705">
        <f t="shared" si="92"/>
        <v>2.9263971699997149</v>
      </c>
      <c r="AR94" s="705">
        <f t="shared" si="92"/>
        <v>7.5553814002089865</v>
      </c>
      <c r="AS94" s="705">
        <f t="shared" si="92"/>
        <v>-25.763910969793322</v>
      </c>
      <c r="AT94" s="705">
        <f t="shared" si="92"/>
        <v>3.2071036553795174</v>
      </c>
      <c r="AU94" s="705">
        <f t="shared" si="92"/>
        <v>0.97005272407732868</v>
      </c>
      <c r="AV94" s="705">
        <f t="shared" si="92"/>
        <v>2.94766084027829</v>
      </c>
      <c r="AW94" s="705">
        <f t="shared" si="92"/>
        <v>-24.095980311730926</v>
      </c>
      <c r="AX94" s="705">
        <f t="shared" si="92"/>
        <v>1.2390055119033658</v>
      </c>
      <c r="AY94" s="705">
        <f t="shared" si="92"/>
        <v>-40.838487972508588</v>
      </c>
      <c r="AZ94" s="705">
        <f t="shared" si="92"/>
        <v>0.38578351644704084</v>
      </c>
      <c r="BA94" s="705">
        <f t="shared" si="92"/>
        <v>1.2861579836732751</v>
      </c>
      <c r="BB94" s="705">
        <f t="shared" si="92"/>
        <v>0.9040822256119706</v>
      </c>
      <c r="BC94" s="705">
        <f t="shared" si="92"/>
        <v>0.93850368087656222</v>
      </c>
      <c r="BD94" s="705">
        <f t="shared" si="92"/>
        <v>0.6387720118435406</v>
      </c>
      <c r="BE94" s="705">
        <f t="shared" si="92"/>
        <v>0.46585772067570785</v>
      </c>
      <c r="BF94" s="705">
        <f t="shared" si="92"/>
        <v>0.6769598203565611</v>
      </c>
      <c r="BG94" s="705">
        <f t="shared" ref="BG94:BP94" si="93">BG93/BG74</f>
        <v>1.1002552984560523</v>
      </c>
      <c r="BH94" s="705">
        <f t="shared" si="93"/>
        <v>0.65234153263954586</v>
      </c>
      <c r="BI94" s="705">
        <f t="shared" si="93"/>
        <v>0.87433163960014615</v>
      </c>
      <c r="BJ94" s="705">
        <f t="shared" si="93"/>
        <v>0.72064150592897613</v>
      </c>
      <c r="BK94" s="705">
        <f t="shared" si="93"/>
        <v>0.80650397705751853</v>
      </c>
      <c r="BL94" s="705">
        <f t="shared" si="93"/>
        <v>1.339868284779183</v>
      </c>
      <c r="BM94" s="705">
        <f t="shared" si="93"/>
        <v>0.77665621415331521</v>
      </c>
      <c r="BN94" s="705">
        <f t="shared" si="93"/>
        <v>1.2435532431013108</v>
      </c>
      <c r="BO94" s="705">
        <f t="shared" si="93"/>
        <v>0.59677256702155723</v>
      </c>
      <c r="BP94" s="705">
        <f t="shared" si="93"/>
        <v>0.88704870574248185</v>
      </c>
      <c r="BQ94" s="705">
        <f t="shared" ref="BQ94:BU94" si="94">BQ93/BQ74</f>
        <v>1.4495815697095007</v>
      </c>
      <c r="BR94" s="705">
        <f t="shared" si="94"/>
        <v>0.89391474270213267</v>
      </c>
      <c r="BS94" s="705">
        <f t="shared" si="94"/>
        <v>1.1353201247072016</v>
      </c>
      <c r="BT94" s="705">
        <f t="shared" si="94"/>
        <v>0.56781367405004068</v>
      </c>
      <c r="BU94" s="705">
        <f t="shared" si="94"/>
        <v>0.89708359524391368</v>
      </c>
    </row>
  </sheetData>
  <printOptions horizontalCentered="1" verticalCentered="1"/>
  <pageMargins left="0.25" right="0.25" top="0.75" bottom="0.75" header="0.5" footer="0.5"/>
  <pageSetup scale="62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>
    <tabColor theme="0" tint="-0.499984740745262"/>
    <pageSetUpPr fitToPage="1"/>
  </sheetPr>
  <dimension ref="A1:BU135"/>
  <sheetViews>
    <sheetView showGridLines="0" defaultGridColor="0" view="pageBreakPreview" colorId="22" zoomScale="80" zoomScaleNormal="70" zoomScaleSheetLayoutView="80" workbookViewId="0">
      <pane xSplit="2" ySplit="23" topLeftCell="C83" activePane="bottomRight" state="frozen"/>
      <selection activeCell="BA6" sqref="BA6"/>
      <selection pane="topRight" activeCell="BA6" sqref="BA6"/>
      <selection pane="bottomLeft" activeCell="BA6" sqref="BA6"/>
      <selection pane="bottomRight" activeCell="BH19" sqref="BH19"/>
    </sheetView>
  </sheetViews>
  <sheetFormatPr defaultColWidth="16.3984375" defaultRowHeight="11.65" outlineLevelRow="2" outlineLevelCol="2"/>
  <cols>
    <col min="1" max="1" width="3.73046875" style="286" customWidth="1"/>
    <col min="2" max="2" width="34.73046875" style="286" customWidth="1"/>
    <col min="3" max="3" width="2" style="286" customWidth="1"/>
    <col min="4" max="5" width="11.265625" style="286" hidden="1" customWidth="1" outlineLevel="2"/>
    <col min="6" max="7" width="11.59765625" style="286" hidden="1" customWidth="1" outlineLevel="2"/>
    <col min="8" max="8" width="9.59765625" style="286" hidden="1" customWidth="1" collapsed="1"/>
    <col min="9" max="9" width="10.73046875" style="286" hidden="1" customWidth="1" outlineLevel="1"/>
    <col min="10" max="12" width="11.3984375" style="286" hidden="1" customWidth="1" outlineLevel="1"/>
    <col min="13" max="13" width="11.265625" style="286" hidden="1" customWidth="1" collapsed="1"/>
    <col min="14" max="15" width="11.265625" style="286" hidden="1" customWidth="1" outlineLevel="1"/>
    <col min="16" max="17" width="10.73046875" style="286" hidden="1" customWidth="1" outlineLevel="1"/>
    <col min="18" max="18" width="11.265625" style="286" hidden="1" customWidth="1" collapsed="1"/>
    <col min="19" max="21" width="11.265625" style="286" hidden="1" customWidth="1" outlineLevel="1"/>
    <col min="22" max="22" width="11" style="286" hidden="1" customWidth="1" outlineLevel="1"/>
    <col min="23" max="23" width="11.265625" style="286" hidden="1" customWidth="1" collapsed="1"/>
    <col min="24" max="25" width="11.59765625" style="286" hidden="1" customWidth="1" outlineLevel="1"/>
    <col min="26" max="26" width="11.265625" style="286" hidden="1" customWidth="1" outlineLevel="1"/>
    <col min="27" max="27" width="11.59765625" style="286" hidden="1" customWidth="1" outlineLevel="1"/>
    <col min="28" max="28" width="11.265625" style="286" hidden="1" customWidth="1" collapsed="1"/>
    <col min="29" max="30" width="11.59765625" style="286" hidden="1" customWidth="1" outlineLevel="1"/>
    <col min="31" max="31" width="11.265625" style="286" hidden="1" customWidth="1" outlineLevel="1"/>
    <col min="32" max="32" width="11.59765625" style="286" hidden="1" customWidth="1" outlineLevel="1"/>
    <col min="33" max="33" width="11.265625" style="286" hidden="1" customWidth="1" collapsed="1"/>
    <col min="34" max="35" width="11.59765625" style="286" hidden="1" customWidth="1" outlineLevel="1"/>
    <col min="36" max="36" width="11.265625" style="286" hidden="1" customWidth="1" outlineLevel="1"/>
    <col min="37" max="37" width="11.59765625" style="286" hidden="1" customWidth="1" outlineLevel="1"/>
    <col min="38" max="38" width="11.265625" style="286" hidden="1" customWidth="1" collapsed="1"/>
    <col min="39" max="40" width="11.59765625" style="286" hidden="1" customWidth="1" outlineLevel="1"/>
    <col min="41" max="41" width="11.265625" style="286" hidden="1" customWidth="1" outlineLevel="1"/>
    <col min="42" max="42" width="11.59765625" style="286" hidden="1" customWidth="1" outlineLevel="1"/>
    <col min="43" max="43" width="11.265625" style="286" hidden="1" customWidth="1" collapsed="1"/>
    <col min="44" max="45" width="11.59765625" style="286" hidden="1" customWidth="1" outlineLevel="1"/>
    <col min="46" max="46" width="11.265625" style="286" hidden="1" customWidth="1" outlineLevel="1"/>
    <col min="47" max="47" width="11.59765625" style="286" hidden="1" customWidth="1" outlineLevel="1"/>
    <col min="48" max="48" width="11.265625" style="286" hidden="1" customWidth="1" collapsed="1"/>
    <col min="49" max="49" width="11.59765625" style="286" hidden="1" customWidth="1" outlineLevel="1"/>
    <col min="50" max="52" width="11.265625" style="286" hidden="1" customWidth="1" outlineLevel="1"/>
    <col min="53" max="53" width="11.265625" style="286" bestFit="1" customWidth="1" collapsed="1"/>
    <col min="54" max="54" width="12.3984375" style="286" hidden="1" customWidth="1" outlineLevel="1"/>
    <col min="55" max="55" width="12" style="286" hidden="1" customWidth="1" outlineLevel="1"/>
    <col min="56" max="56" width="12.59765625" style="286" hidden="1" customWidth="1" outlineLevel="1"/>
    <col min="57" max="57" width="11" style="286" hidden="1" customWidth="1" outlineLevel="1"/>
    <col min="58" max="58" width="11.73046875" style="286" customWidth="1" collapsed="1"/>
    <col min="59" max="59" width="12.3984375" style="286" customWidth="1" outlineLevel="1"/>
    <col min="60" max="60" width="12" style="286" customWidth="1" outlineLevel="1"/>
    <col min="61" max="61" width="12.59765625" style="286" customWidth="1" outlineLevel="1"/>
    <col min="62" max="62" width="11" style="286" customWidth="1" outlineLevel="1"/>
    <col min="63" max="63" width="11.73046875" style="286" customWidth="1"/>
    <col min="64" max="64" width="12.3984375" style="286" customWidth="1" outlineLevel="1"/>
    <col min="65" max="65" width="12" style="286" customWidth="1" outlineLevel="1"/>
    <col min="66" max="66" width="12.59765625" style="286" customWidth="1" outlineLevel="1"/>
    <col min="67" max="67" width="11" style="286" customWidth="1" outlineLevel="1"/>
    <col min="68" max="68" width="11.73046875" style="286" customWidth="1"/>
    <col min="69" max="69" width="12.3984375" style="286" hidden="1" customWidth="1" outlineLevel="1"/>
    <col min="70" max="70" width="12" style="286" hidden="1" customWidth="1" outlineLevel="1"/>
    <col min="71" max="71" width="12.59765625" style="286" hidden="1" customWidth="1" outlineLevel="1"/>
    <col min="72" max="72" width="11" style="286" hidden="1" customWidth="1" outlineLevel="1"/>
    <col min="73" max="73" width="11.73046875" style="286" customWidth="1" collapsed="1"/>
    <col min="74" max="16384" width="16.3984375" style="286"/>
  </cols>
  <sheetData>
    <row r="1" spans="2:73" ht="12.75">
      <c r="B1" s="270"/>
    </row>
    <row r="2" spans="2:73" hidden="1" outlineLevel="1">
      <c r="B2" s="758" t="s">
        <v>475</v>
      </c>
      <c r="AR2" s="759">
        <f>Metrics!AR41*1000</f>
        <v>627122</v>
      </c>
      <c r="AS2" s="759">
        <f>Metrics!AS41*1000</f>
        <v>658172</v>
      </c>
      <c r="AT2" s="759">
        <f>Metrics!AT41*1000</f>
        <v>683816</v>
      </c>
      <c r="AU2" s="759">
        <f>Metrics!AU41*1000</f>
        <v>714231</v>
      </c>
      <c r="AW2" s="759">
        <f>Metrics!AW41*1000</f>
        <v>727853</v>
      </c>
      <c r="AX2" s="759">
        <f>Metrics!AX41*1000</f>
        <v>750850</v>
      </c>
      <c r="AY2" s="759">
        <f>Metrics!AY41*1000</f>
        <v>776760</v>
      </c>
      <c r="AZ2" s="759">
        <f>Metrics!AZ41*1000</f>
        <v>805670</v>
      </c>
      <c r="BA2" s="759"/>
      <c r="BB2" s="759">
        <f>Metrics!BB41*1000</f>
        <v>807196</v>
      </c>
      <c r="BC2" s="759">
        <f>Metrics!BC41*1000</f>
        <v>815630</v>
      </c>
      <c r="BD2" s="759">
        <f>Metrics!BD41*1000</f>
        <v>823104</v>
      </c>
      <c r="BE2" s="759">
        <f>Metrics!BE41*1000</f>
        <v>839819</v>
      </c>
      <c r="BF2" s="759"/>
      <c r="BG2" s="759">
        <f>Metrics!BG41*1000</f>
        <v>837220</v>
      </c>
      <c r="BH2" s="761">
        <f>Metrics!BH41*1000</f>
        <v>840610</v>
      </c>
      <c r="BI2" s="761">
        <f>Metrics!BI41*1000</f>
        <v>837730</v>
      </c>
      <c r="BJ2" s="761">
        <f>Metrics!BJ41*1000</f>
        <v>839900</v>
      </c>
      <c r="BK2" s="761"/>
      <c r="BL2" s="761">
        <f>Metrics!BL41*1000</f>
        <v>830522.24</v>
      </c>
      <c r="BM2" s="761">
        <f>Metrics!BM41*1000</f>
        <v>831363.29</v>
      </c>
      <c r="BN2" s="761">
        <f>Metrics!BN41*1000</f>
        <v>831865.89</v>
      </c>
      <c r="BO2" s="761">
        <f>Metrics!BO41*1000</f>
        <v>832340.89999999991</v>
      </c>
      <c r="BQ2" s="761">
        <f>Metrics!BQ41*1000</f>
        <v>855437.90720000002</v>
      </c>
      <c r="BR2" s="761">
        <f>Metrics!BR41*1000</f>
        <v>857966.91528000007</v>
      </c>
      <c r="BS2" s="761">
        <f>Metrics!BS41*1000</f>
        <v>860149.33026000008</v>
      </c>
      <c r="BT2" s="761">
        <f>Metrics!BT41*1000</f>
        <v>861472.83149999985</v>
      </c>
    </row>
    <row r="3" spans="2:73" hidden="1" outlineLevel="1">
      <c r="B3" s="758" t="s">
        <v>476</v>
      </c>
      <c r="AR3" s="760">
        <f>AR2/4</f>
        <v>156780.5</v>
      </c>
      <c r="AS3" s="760">
        <f t="shared" ref="AS3:BO3" si="0">AS2/4</f>
        <v>164543</v>
      </c>
      <c r="AT3" s="760">
        <f t="shared" si="0"/>
        <v>170954</v>
      </c>
      <c r="AU3" s="760">
        <f t="shared" si="0"/>
        <v>178557.75</v>
      </c>
      <c r="AV3" s="760"/>
      <c r="AW3" s="760">
        <f t="shared" si="0"/>
        <v>181963.25</v>
      </c>
      <c r="AX3" s="760">
        <f t="shared" si="0"/>
        <v>187712.5</v>
      </c>
      <c r="AY3" s="760">
        <f t="shared" si="0"/>
        <v>194190</v>
      </c>
      <c r="AZ3" s="760">
        <f t="shared" si="0"/>
        <v>201417.5</v>
      </c>
      <c r="BA3" s="760"/>
      <c r="BB3" s="760">
        <f t="shared" si="0"/>
        <v>201799</v>
      </c>
      <c r="BC3" s="760">
        <f t="shared" si="0"/>
        <v>203907.5</v>
      </c>
      <c r="BD3" s="760">
        <f t="shared" si="0"/>
        <v>205776</v>
      </c>
      <c r="BE3" s="760">
        <f t="shared" si="0"/>
        <v>209954.75</v>
      </c>
      <c r="BF3" s="760"/>
      <c r="BG3" s="760">
        <f t="shared" ref="BG3" si="1">BG2/4</f>
        <v>209305</v>
      </c>
      <c r="BH3" s="760">
        <f t="shared" si="0"/>
        <v>210152.5</v>
      </c>
      <c r="BI3" s="760">
        <f t="shared" si="0"/>
        <v>209432.5</v>
      </c>
      <c r="BJ3" s="760">
        <f t="shared" si="0"/>
        <v>209975</v>
      </c>
      <c r="BK3" s="760"/>
      <c r="BL3" s="760">
        <f t="shared" si="0"/>
        <v>207630.56</v>
      </c>
      <c r="BM3" s="760">
        <f t="shared" si="0"/>
        <v>207840.82250000001</v>
      </c>
      <c r="BN3" s="760">
        <f t="shared" si="0"/>
        <v>207966.4725</v>
      </c>
      <c r="BO3" s="760">
        <f t="shared" si="0"/>
        <v>208085.22499999998</v>
      </c>
      <c r="BQ3" s="760">
        <f t="shared" ref="BQ3:BT3" si="2">BQ2/4</f>
        <v>213859.4768</v>
      </c>
      <c r="BR3" s="760">
        <f t="shared" si="2"/>
        <v>214491.72882000002</v>
      </c>
      <c r="BS3" s="760">
        <f t="shared" si="2"/>
        <v>215037.33256500002</v>
      </c>
      <c r="BT3" s="760">
        <f t="shared" si="2"/>
        <v>215368.20787499996</v>
      </c>
    </row>
    <row r="4" spans="2:73" hidden="1" outlineLevel="1">
      <c r="B4" s="758" t="s">
        <v>477</v>
      </c>
      <c r="AR4" s="760"/>
      <c r="AS4" s="760">
        <f>AS9-AR3</f>
        <v>8219.5</v>
      </c>
      <c r="AT4" s="760">
        <f>AT9-AS3</f>
        <v>12457</v>
      </c>
      <c r="AU4" s="760">
        <f>AU9-AT3</f>
        <v>10046</v>
      </c>
      <c r="AW4" s="760">
        <f>AW9-AU3</f>
        <v>3442.25</v>
      </c>
      <c r="AX4" s="760">
        <f>AX9-AW3</f>
        <v>7036.75</v>
      </c>
      <c r="AY4" s="760">
        <f>AY9-AX3</f>
        <v>10287.5</v>
      </c>
      <c r="AZ4" s="760">
        <f>AZ9-AY3</f>
        <v>7810</v>
      </c>
      <c r="BB4" s="760">
        <f>BB9-AZ3</f>
        <v>3582.5</v>
      </c>
      <c r="BC4" s="760">
        <f>BC9-BB3</f>
        <v>3201</v>
      </c>
      <c r="BD4" s="760">
        <f>BD9-BC3</f>
        <v>7092.5</v>
      </c>
      <c r="BE4" s="760">
        <f>BE9-BD3</f>
        <v>7224</v>
      </c>
      <c r="BG4" s="760">
        <f>BG9-BE3</f>
        <v>-954.75</v>
      </c>
      <c r="BH4" s="760">
        <f>BH9-BG3</f>
        <v>3695</v>
      </c>
      <c r="BI4" s="760">
        <f>BI9-BH3</f>
        <v>6847.5</v>
      </c>
      <c r="BJ4" s="760">
        <f>BJ9-BI3</f>
        <v>11567.5</v>
      </c>
      <c r="BK4" s="760"/>
      <c r="BL4" s="760">
        <f t="shared" ref="BL4" si="3">BL9-BJ3</f>
        <v>-209975</v>
      </c>
      <c r="BM4" s="760">
        <f>BM9-BL3</f>
        <v>-207630.56</v>
      </c>
      <c r="BN4" s="760">
        <f>BN9-BM3</f>
        <v>-207840.82250000001</v>
      </c>
      <c r="BO4" s="760">
        <f>BO9-BN3</f>
        <v>-207966.4725</v>
      </c>
      <c r="BQ4" s="760">
        <f t="shared" ref="BQ4" si="4">BQ9-BO3</f>
        <v>-208085.22499999998</v>
      </c>
      <c r="BR4" s="760">
        <f>BR9-BQ3</f>
        <v>-213859.4768</v>
      </c>
      <c r="BS4" s="760">
        <f>BS9-BR3</f>
        <v>-214491.72882000002</v>
      </c>
      <c r="BT4" s="760">
        <f>BT9-BS3</f>
        <v>-215037.33256500002</v>
      </c>
    </row>
    <row r="5" spans="2:73" hidden="1" outlineLevel="1">
      <c r="B5" s="758"/>
    </row>
    <row r="6" spans="2:73" hidden="1" outlineLevel="1">
      <c r="B6" s="758" t="s">
        <v>478</v>
      </c>
      <c r="AS6" s="760">
        <f>AS4+AS13</f>
        <v>10674.5</v>
      </c>
      <c r="AT6" s="760">
        <f t="shared" ref="AT6:BO6" si="5">AT4+AT13</f>
        <v>11222</v>
      </c>
      <c r="AU6" s="760">
        <f t="shared" si="5"/>
        <v>13525</v>
      </c>
      <c r="AV6" s="760"/>
      <c r="AW6" s="760">
        <f t="shared" si="5"/>
        <v>4616.25</v>
      </c>
      <c r="AX6" s="760">
        <f t="shared" si="5"/>
        <v>8458.75</v>
      </c>
      <c r="AY6" s="760">
        <f t="shared" si="5"/>
        <v>11130.5</v>
      </c>
      <c r="AZ6" s="760">
        <f t="shared" si="5"/>
        <v>11078</v>
      </c>
      <c r="BA6" s="760"/>
      <c r="BB6" s="760">
        <f t="shared" si="5"/>
        <v>3683.5</v>
      </c>
      <c r="BC6" s="760">
        <f t="shared" si="5"/>
        <v>6192</v>
      </c>
      <c r="BD6" s="760">
        <f t="shared" si="5"/>
        <v>10746.5</v>
      </c>
      <c r="BE6" s="760">
        <f t="shared" si="5"/>
        <v>10485</v>
      </c>
      <c r="BF6" s="760"/>
      <c r="BG6" s="760">
        <f t="shared" ref="BG6" si="6">BG4+BG13</f>
        <v>298.25</v>
      </c>
      <c r="BH6" s="760">
        <f t="shared" si="5"/>
        <v>5195</v>
      </c>
      <c r="BI6" s="760">
        <f t="shared" si="5"/>
        <v>8847.5</v>
      </c>
      <c r="BJ6" s="760">
        <f t="shared" si="5"/>
        <v>14167.5</v>
      </c>
      <c r="BK6" s="760"/>
      <c r="BL6" s="760">
        <f t="shared" si="5"/>
        <v>-207975</v>
      </c>
      <c r="BM6" s="760">
        <f t="shared" si="5"/>
        <v>-205630.56</v>
      </c>
      <c r="BN6" s="760">
        <f t="shared" si="5"/>
        <v>-205840.82250000001</v>
      </c>
      <c r="BO6" s="760">
        <f t="shared" si="5"/>
        <v>-205966.4725</v>
      </c>
      <c r="BQ6" s="760">
        <f t="shared" ref="BQ6:BT6" si="7">BQ4+BQ13</f>
        <v>-206085.22499999998</v>
      </c>
      <c r="BR6" s="760">
        <f t="shared" si="7"/>
        <v>-211859.4768</v>
      </c>
      <c r="BS6" s="760">
        <f t="shared" si="7"/>
        <v>-212491.72882000002</v>
      </c>
      <c r="BT6" s="760">
        <f t="shared" si="7"/>
        <v>-213037.33256500002</v>
      </c>
    </row>
    <row r="7" spans="2:73" hidden="1" outlineLevel="1">
      <c r="B7" s="758" t="s">
        <v>479</v>
      </c>
      <c r="AS7" s="705">
        <f>AS6/AS4</f>
        <v>1.2986799683679056</v>
      </c>
      <c r="AT7" s="705">
        <f t="shared" ref="AT7:BO7" si="8">AT6/AT4</f>
        <v>0.9008589548045276</v>
      </c>
      <c r="AU7" s="705">
        <f t="shared" si="8"/>
        <v>1.3463069878558631</v>
      </c>
      <c r="AV7" s="705"/>
      <c r="AW7" s="705">
        <f t="shared" si="8"/>
        <v>1.3410559953518775</v>
      </c>
      <c r="AX7" s="705">
        <f t="shared" si="8"/>
        <v>1.2020819270259708</v>
      </c>
      <c r="AY7" s="705">
        <f t="shared" si="8"/>
        <v>1.0819441069258808</v>
      </c>
      <c r="AZ7" s="705">
        <f t="shared" si="8"/>
        <v>1.4184379001280409</v>
      </c>
      <c r="BA7" s="705"/>
      <c r="BB7" s="705">
        <f t="shared" si="8"/>
        <v>1.0281926029309141</v>
      </c>
      <c r="BC7" s="705">
        <f t="shared" si="8"/>
        <v>1.9343955014058107</v>
      </c>
      <c r="BD7" s="705">
        <f t="shared" si="8"/>
        <v>1.5151921043355658</v>
      </c>
      <c r="BE7" s="705">
        <f t="shared" si="8"/>
        <v>1.4514119601328903</v>
      </c>
      <c r="BF7" s="705"/>
      <c r="BG7" s="705">
        <f t="shared" ref="BG7" si="9">BG6/BG4</f>
        <v>-0.31238544121497774</v>
      </c>
      <c r="BH7" s="705">
        <f t="shared" si="8"/>
        <v>1.4059539918809201</v>
      </c>
      <c r="BI7" s="705">
        <f t="shared" si="8"/>
        <v>1.2920774005111355</v>
      </c>
      <c r="BJ7" s="705">
        <f t="shared" si="8"/>
        <v>1.2247676680354442</v>
      </c>
      <c r="BK7" s="705"/>
      <c r="BL7" s="705">
        <f t="shared" si="8"/>
        <v>0.99047505655435175</v>
      </c>
      <c r="BM7" s="705">
        <f t="shared" si="8"/>
        <v>0.99036750659440498</v>
      </c>
      <c r="BN7" s="705">
        <f t="shared" si="8"/>
        <v>0.9903772513217417</v>
      </c>
      <c r="BO7" s="705">
        <f t="shared" si="8"/>
        <v>0.99038306523182484</v>
      </c>
      <c r="BQ7" s="705">
        <f t="shared" ref="BQ7:BT7" si="10">BQ6/BQ4</f>
        <v>0.99038855353617727</v>
      </c>
      <c r="BR7" s="705">
        <f t="shared" si="10"/>
        <v>0.99064806465476207</v>
      </c>
      <c r="BS7" s="705">
        <f t="shared" si="10"/>
        <v>0.99067563112571866</v>
      </c>
      <c r="BT7" s="705">
        <f t="shared" si="10"/>
        <v>0.99069928939248042</v>
      </c>
    </row>
    <row r="8" spans="2:73" hidden="1" outlineLevel="1">
      <c r="B8" s="758"/>
    </row>
    <row r="9" spans="2:73" hidden="1" outlineLevel="1">
      <c r="B9" s="758" t="s">
        <v>480</v>
      </c>
      <c r="AR9" s="761">
        <v>155000</v>
      </c>
      <c r="AS9" s="761">
        <v>165000</v>
      </c>
      <c r="AT9" s="761">
        <v>177000</v>
      </c>
      <c r="AU9" s="761">
        <v>181000</v>
      </c>
      <c r="AV9" s="761"/>
      <c r="AW9" s="761">
        <v>182000</v>
      </c>
      <c r="AX9" s="761">
        <v>189000</v>
      </c>
      <c r="AY9" s="761">
        <v>198000</v>
      </c>
      <c r="AZ9" s="761">
        <v>202000</v>
      </c>
      <c r="BA9" s="761"/>
      <c r="BB9" s="761">
        <v>205000</v>
      </c>
      <c r="BC9" s="761">
        <v>205000</v>
      </c>
      <c r="BD9" s="761">
        <v>211000</v>
      </c>
      <c r="BE9" s="761">
        <v>213000</v>
      </c>
      <c r="BF9" s="761"/>
      <c r="BG9" s="761">
        <v>209000</v>
      </c>
      <c r="BH9" s="761">
        <v>213000</v>
      </c>
      <c r="BI9" s="761">
        <v>217000</v>
      </c>
      <c r="BJ9" s="761">
        <v>221000</v>
      </c>
      <c r="BK9" s="761"/>
      <c r="BL9" s="761"/>
      <c r="BM9" s="761"/>
      <c r="BN9" s="761"/>
      <c r="BO9" s="761"/>
      <c r="BP9" s="761"/>
      <c r="BQ9" s="761"/>
      <c r="BR9" s="761"/>
      <c r="BS9" s="761"/>
      <c r="BT9" s="761"/>
      <c r="BU9" s="761"/>
    </row>
    <row r="10" spans="2:73" hidden="1" outlineLevel="1">
      <c r="B10" s="758" t="s">
        <v>481</v>
      </c>
      <c r="AW10" s="760">
        <f>AW9-AR9</f>
        <v>27000</v>
      </c>
      <c r="AX10" s="760">
        <f t="shared" ref="AX10:AZ10" si="11">AX9-AS9</f>
        <v>24000</v>
      </c>
      <c r="AY10" s="760">
        <f t="shared" si="11"/>
        <v>21000</v>
      </c>
      <c r="AZ10" s="760">
        <f t="shared" si="11"/>
        <v>21000</v>
      </c>
      <c r="BB10" s="760">
        <f>BB9-AW9</f>
        <v>23000</v>
      </c>
      <c r="BC10" s="760">
        <f t="shared" ref="BC10" si="12">BC9-AX9</f>
        <v>16000</v>
      </c>
      <c r="BD10" s="760">
        <f t="shared" ref="BD10" si="13">BD9-AY9</f>
        <v>13000</v>
      </c>
      <c r="BE10" s="760">
        <f t="shared" ref="BE10" si="14">BE9-AZ9</f>
        <v>11000</v>
      </c>
      <c r="BG10" s="760">
        <f>BG9-BB9</f>
        <v>4000</v>
      </c>
      <c r="BH10" s="760">
        <f t="shared" ref="BH10" si="15">BH9-BC9</f>
        <v>8000</v>
      </c>
      <c r="BI10" s="760">
        <f t="shared" ref="BI10" si="16">BI9-BD9</f>
        <v>6000</v>
      </c>
      <c r="BJ10" s="760">
        <f t="shared" ref="BJ10" si="17">BJ9-BE9</f>
        <v>8000</v>
      </c>
      <c r="BL10" s="760">
        <f>BL9-BG9</f>
        <v>-209000</v>
      </c>
      <c r="BM10" s="760">
        <f t="shared" ref="BM10" si="18">BM9-BH9</f>
        <v>-213000</v>
      </c>
      <c r="BN10" s="760">
        <f t="shared" ref="BN10" si="19">BN9-BI9</f>
        <v>-217000</v>
      </c>
      <c r="BO10" s="760">
        <f t="shared" ref="BO10" si="20">BO9-BJ9</f>
        <v>-221000</v>
      </c>
      <c r="BQ10" s="760">
        <f>BQ9-BL9</f>
        <v>0</v>
      </c>
      <c r="BR10" s="760">
        <f t="shared" ref="BR10" si="21">BR9-BM9</f>
        <v>0</v>
      </c>
      <c r="BS10" s="760">
        <f t="shared" ref="BS10" si="22">BS9-BN9</f>
        <v>0</v>
      </c>
      <c r="BT10" s="760">
        <f t="shared" ref="BT10" si="23">BT9-BO9</f>
        <v>0</v>
      </c>
    </row>
    <row r="11" spans="2:73" hidden="1" outlineLevel="1">
      <c r="B11" s="758" t="s">
        <v>482</v>
      </c>
      <c r="AW11" s="760">
        <f>AW9-AU9</f>
        <v>1000</v>
      </c>
      <c r="AX11" s="760">
        <f>AX9-AW9</f>
        <v>7000</v>
      </c>
      <c r="AY11" s="760">
        <f t="shared" ref="AY11:AZ11" si="24">AY9-AX9</f>
        <v>9000</v>
      </c>
      <c r="AZ11" s="760">
        <f t="shared" si="24"/>
        <v>4000</v>
      </c>
      <c r="BB11" s="760">
        <f>BB9-AZ9</f>
        <v>3000</v>
      </c>
      <c r="BC11" s="760">
        <f>BC9-BB9</f>
        <v>0</v>
      </c>
      <c r="BD11" s="760">
        <f t="shared" ref="BD11:BE11" si="25">BD9-BC9</f>
        <v>6000</v>
      </c>
      <c r="BE11" s="760">
        <f t="shared" si="25"/>
        <v>2000</v>
      </c>
      <c r="BG11" s="760">
        <f>BG9-BE9</f>
        <v>-4000</v>
      </c>
      <c r="BH11" s="760">
        <f>BH9-BG9</f>
        <v>4000</v>
      </c>
      <c r="BI11" s="760">
        <f t="shared" ref="BI11:BJ11" si="26">BI9-BH9</f>
        <v>4000</v>
      </c>
      <c r="BJ11" s="760">
        <f t="shared" si="26"/>
        <v>4000</v>
      </c>
      <c r="BL11" s="760">
        <f>BL9-BJ9</f>
        <v>-221000</v>
      </c>
      <c r="BM11" s="760">
        <f>BM9-BL9</f>
        <v>0</v>
      </c>
      <c r="BN11" s="760">
        <f t="shared" ref="BN11:BO11" si="27">BN9-BM9</f>
        <v>0</v>
      </c>
      <c r="BO11" s="760">
        <f t="shared" si="27"/>
        <v>0</v>
      </c>
      <c r="BQ11" s="760">
        <f>BQ9-BO9</f>
        <v>0</v>
      </c>
      <c r="BR11" s="760">
        <f>BR9-BQ9</f>
        <v>0</v>
      </c>
      <c r="BS11" s="760">
        <f t="shared" ref="BS11" si="28">BS9-BR9</f>
        <v>0</v>
      </c>
      <c r="BT11" s="760">
        <f t="shared" ref="BT11" si="29">BT9-BS9</f>
        <v>0</v>
      </c>
    </row>
    <row r="12" spans="2:73" hidden="1" outlineLevel="1">
      <c r="B12" s="758"/>
    </row>
    <row r="13" spans="2:73" hidden="1" outlineLevel="1">
      <c r="B13" s="758" t="s">
        <v>483</v>
      </c>
      <c r="AR13" s="296">
        <f>AR52-AR9</f>
        <v>2384</v>
      </c>
      <c r="AS13" s="296">
        <f>AS52-AS9</f>
        <v>2455</v>
      </c>
      <c r="AT13" s="296">
        <f>AT52-AT9</f>
        <v>-1235</v>
      </c>
      <c r="AU13" s="296">
        <f>AU52-AU9</f>
        <v>3479</v>
      </c>
      <c r="AV13" s="296"/>
      <c r="AW13" s="296">
        <f>AW52-AW9</f>
        <v>1174</v>
      </c>
      <c r="AX13" s="296">
        <f>AX52-AX9</f>
        <v>1422</v>
      </c>
      <c r="AY13" s="296">
        <f>AY52-AY9</f>
        <v>843</v>
      </c>
      <c r="AZ13" s="296">
        <f>AZ52-AZ9</f>
        <v>3268</v>
      </c>
      <c r="BA13" s="296"/>
      <c r="BB13" s="296">
        <f>BB52-BB9</f>
        <v>101</v>
      </c>
      <c r="BC13" s="296">
        <f>BC52-BC9</f>
        <v>2991</v>
      </c>
      <c r="BD13" s="296">
        <f>BD52-BD9</f>
        <v>3654</v>
      </c>
      <c r="BE13" s="296">
        <f>BE52-BE9</f>
        <v>3261</v>
      </c>
      <c r="BF13" s="296"/>
      <c r="BG13" s="296">
        <f>BG52-BG9</f>
        <v>1253</v>
      </c>
      <c r="BH13" s="763">
        <f>1500</f>
        <v>1500</v>
      </c>
      <c r="BI13" s="763">
        <f>2000</f>
        <v>2000</v>
      </c>
      <c r="BJ13" s="763">
        <v>2600</v>
      </c>
      <c r="BK13" s="763"/>
      <c r="BL13" s="763">
        <v>2000</v>
      </c>
      <c r="BM13" s="763">
        <v>2000</v>
      </c>
      <c r="BN13" s="763">
        <v>2000</v>
      </c>
      <c r="BO13" s="763">
        <v>2000</v>
      </c>
      <c r="BQ13" s="763">
        <v>2000</v>
      </c>
      <c r="BR13" s="763">
        <v>2000</v>
      </c>
      <c r="BS13" s="763">
        <v>2000</v>
      </c>
      <c r="BT13" s="763">
        <v>2000</v>
      </c>
    </row>
    <row r="14" spans="2:73" hidden="1" outlineLevel="1">
      <c r="B14" s="758" t="s">
        <v>484</v>
      </c>
      <c r="AR14" s="762">
        <f>AR13/AR9</f>
        <v>1.5380645161290323E-2</v>
      </c>
      <c r="AS14" s="762">
        <f t="shared" ref="AS14:BO14" si="30">AS13/AS9</f>
        <v>1.4878787878787878E-2</v>
      </c>
      <c r="AT14" s="762">
        <f t="shared" si="30"/>
        <v>-6.9774011299435024E-3</v>
      </c>
      <c r="AU14" s="762">
        <f t="shared" si="30"/>
        <v>1.9220994475138121E-2</v>
      </c>
      <c r="AV14" s="762"/>
      <c r="AW14" s="762">
        <f t="shared" si="30"/>
        <v>6.4505494505494509E-3</v>
      </c>
      <c r="AX14" s="762">
        <f t="shared" si="30"/>
        <v>7.5238095238095238E-3</v>
      </c>
      <c r="AY14" s="762">
        <f t="shared" si="30"/>
        <v>4.2575757575757578E-3</v>
      </c>
      <c r="AZ14" s="762">
        <f t="shared" si="30"/>
        <v>1.6178217821782179E-2</v>
      </c>
      <c r="BA14" s="762"/>
      <c r="BB14" s="762">
        <f t="shared" si="30"/>
        <v>4.9268292682926832E-4</v>
      </c>
      <c r="BC14" s="762">
        <f t="shared" si="30"/>
        <v>1.4590243902439024E-2</v>
      </c>
      <c r="BD14" s="762">
        <f t="shared" si="30"/>
        <v>1.7317535545023698E-2</v>
      </c>
      <c r="BE14" s="762">
        <f t="shared" si="30"/>
        <v>1.5309859154929578E-2</v>
      </c>
      <c r="BF14" s="762"/>
      <c r="BG14" s="762">
        <f t="shared" si="30"/>
        <v>5.9952153110047843E-3</v>
      </c>
      <c r="BH14" s="762">
        <f t="shared" si="30"/>
        <v>7.0422535211267607E-3</v>
      </c>
      <c r="BI14" s="762">
        <f t="shared" si="30"/>
        <v>9.2165898617511521E-3</v>
      </c>
      <c r="BJ14" s="762">
        <f t="shared" si="30"/>
        <v>1.1764705882352941E-2</v>
      </c>
      <c r="BK14" s="762"/>
      <c r="BL14" s="762" t="e">
        <f t="shared" si="30"/>
        <v>#DIV/0!</v>
      </c>
      <c r="BM14" s="762" t="e">
        <f t="shared" si="30"/>
        <v>#DIV/0!</v>
      </c>
      <c r="BN14" s="762" t="e">
        <f t="shared" si="30"/>
        <v>#DIV/0!</v>
      </c>
      <c r="BO14" s="762" t="e">
        <f t="shared" si="30"/>
        <v>#DIV/0!</v>
      </c>
      <c r="BQ14" s="762" t="e">
        <f t="shared" ref="BQ14:BT14" si="31">BQ13/BQ9</f>
        <v>#DIV/0!</v>
      </c>
      <c r="BR14" s="762" t="e">
        <f t="shared" si="31"/>
        <v>#DIV/0!</v>
      </c>
      <c r="BS14" s="762" t="e">
        <f t="shared" si="31"/>
        <v>#DIV/0!</v>
      </c>
      <c r="BT14" s="762" t="e">
        <f t="shared" si="31"/>
        <v>#DIV/0!</v>
      </c>
    </row>
    <row r="15" spans="2:73" hidden="1" outlineLevel="1">
      <c r="B15" s="758"/>
    </row>
    <row r="16" spans="2:73" hidden="1" outlineLevel="1">
      <c r="B16" s="758"/>
    </row>
    <row r="17" spans="1:73" hidden="1" outlineLevel="1">
      <c r="B17" s="758"/>
    </row>
    <row r="18" spans="1:73" ht="12.75" hidden="1" outlineLevel="1">
      <c r="B18" s="270"/>
    </row>
    <row r="19" spans="1:73" ht="12" collapsed="1" thickBot="1">
      <c r="B19" s="570"/>
      <c r="C19" s="570"/>
      <c r="D19" s="570"/>
      <c r="E19" s="570"/>
      <c r="F19" s="570"/>
      <c r="G19" s="570"/>
      <c r="H19" s="570"/>
      <c r="I19" s="570"/>
      <c r="J19" s="570"/>
      <c r="K19" s="570"/>
      <c r="L19" s="570"/>
      <c r="M19" s="570"/>
      <c r="N19" s="570"/>
      <c r="O19" s="570"/>
      <c r="P19" s="570"/>
      <c r="Q19" s="570"/>
      <c r="R19" s="570"/>
      <c r="S19" s="570"/>
      <c r="T19" s="570"/>
      <c r="U19" s="570"/>
      <c r="V19" s="570"/>
      <c r="W19" s="570"/>
      <c r="X19" s="570"/>
      <c r="Y19" s="570"/>
      <c r="Z19" s="570"/>
      <c r="AA19" s="570"/>
      <c r="AB19" s="570"/>
      <c r="AC19" s="570"/>
      <c r="AD19" s="570"/>
      <c r="AE19" s="570"/>
      <c r="AF19" s="570"/>
      <c r="AG19" s="570"/>
      <c r="AH19" s="570"/>
      <c r="AI19" s="570"/>
      <c r="AJ19" s="570"/>
      <c r="AK19" s="570"/>
      <c r="AL19" s="570"/>
      <c r="AM19" s="570"/>
      <c r="AN19" s="570"/>
      <c r="AO19" s="570"/>
      <c r="AP19" s="570"/>
      <c r="AQ19" s="570"/>
      <c r="AR19" s="570"/>
      <c r="AS19" s="570"/>
      <c r="AT19" s="570"/>
      <c r="AU19" s="570"/>
      <c r="AV19" s="570"/>
      <c r="AW19" s="570"/>
      <c r="AX19" s="570"/>
      <c r="AY19" s="570"/>
      <c r="AZ19" s="570"/>
      <c r="BA19" s="570"/>
      <c r="BB19" s="570"/>
      <c r="BC19" s="570"/>
      <c r="BD19" s="570"/>
      <c r="BE19" s="570"/>
      <c r="BF19" s="570"/>
      <c r="BG19" s="570"/>
      <c r="BH19" s="570"/>
      <c r="BI19" s="570"/>
      <c r="BJ19" s="570"/>
      <c r="BK19" s="570"/>
      <c r="BL19" s="570"/>
      <c r="BM19" s="570"/>
      <c r="BN19" s="570"/>
      <c r="BO19" s="570"/>
      <c r="BP19" s="570"/>
      <c r="BQ19" s="570"/>
      <c r="BR19" s="570"/>
      <c r="BS19" s="570"/>
      <c r="BT19" s="570"/>
      <c r="BU19" s="570"/>
    </row>
    <row r="20" spans="1:73" ht="15" customHeight="1">
      <c r="B20" s="287" t="s">
        <v>368</v>
      </c>
      <c r="C20" s="288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90"/>
      <c r="Q20" s="290"/>
      <c r="R20" s="289"/>
      <c r="S20" s="290"/>
      <c r="T20" s="290"/>
      <c r="U20" s="290"/>
      <c r="V20" s="290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686"/>
      <c r="AI20" s="686"/>
      <c r="AJ20" s="686"/>
      <c r="AK20" s="686"/>
      <c r="AL20" s="686"/>
      <c r="AM20" s="686"/>
      <c r="AN20" s="686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89"/>
      <c r="BK20" s="289"/>
      <c r="BL20" s="289"/>
      <c r="BM20" s="289"/>
      <c r="BN20" s="289"/>
      <c r="BO20" s="289"/>
      <c r="BP20" s="289"/>
      <c r="BQ20" s="289"/>
      <c r="BR20" s="289"/>
      <c r="BS20" s="289"/>
      <c r="BT20" s="289"/>
      <c r="BU20" s="289"/>
    </row>
    <row r="21" spans="1:73" ht="13.15">
      <c r="B21" s="270" t="s">
        <v>317</v>
      </c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91"/>
      <c r="T21" s="270"/>
      <c r="U21" s="270"/>
      <c r="V21" s="270"/>
      <c r="W21" s="292"/>
      <c r="X21" s="270"/>
      <c r="Y21" s="270"/>
      <c r="Z21" s="270"/>
      <c r="AA21" s="270"/>
      <c r="AB21" s="292"/>
      <c r="AC21" s="270"/>
      <c r="AD21" s="270"/>
      <c r="AE21" s="270"/>
      <c r="AF21" s="270"/>
      <c r="AG21" s="292"/>
      <c r="AH21" s="270"/>
      <c r="AI21" s="270"/>
      <c r="AJ21" s="270"/>
      <c r="AK21" s="270"/>
      <c r="AL21" s="292"/>
      <c r="AM21" s="270"/>
      <c r="AN21" s="270"/>
      <c r="AO21" s="270"/>
      <c r="AP21" s="270"/>
      <c r="AQ21" s="292"/>
      <c r="AR21" s="270"/>
      <c r="AS21" s="270"/>
      <c r="AT21" s="270"/>
      <c r="AU21" s="270"/>
      <c r="AV21" s="292"/>
      <c r="AW21" s="270"/>
      <c r="AX21" s="270"/>
      <c r="AY21" s="270"/>
      <c r="AZ21" s="270"/>
      <c r="BA21" s="292"/>
      <c r="BB21" s="270"/>
      <c r="BC21" s="270"/>
      <c r="BD21" s="270"/>
      <c r="BE21" s="270"/>
      <c r="BF21" s="292"/>
      <c r="BG21" s="270"/>
      <c r="BH21" s="270"/>
      <c r="BI21" s="270"/>
      <c r="BJ21" s="270"/>
      <c r="BK21" s="292"/>
      <c r="BL21" s="270"/>
      <c r="BM21" s="270"/>
      <c r="BN21" s="270"/>
      <c r="BO21" s="270"/>
      <c r="BP21" s="292"/>
      <c r="BQ21" s="270"/>
      <c r="BR21" s="270"/>
      <c r="BS21" s="270"/>
      <c r="BT21" s="270"/>
      <c r="BU21" s="292"/>
    </row>
    <row r="22" spans="1:73" ht="13.5" customHeight="1">
      <c r="B22" s="270"/>
      <c r="C22" s="270"/>
      <c r="D22" s="293" t="s">
        <v>96</v>
      </c>
      <c r="E22" s="294"/>
      <c r="F22" s="295"/>
      <c r="G22" s="295"/>
      <c r="H22" s="438" t="s">
        <v>206</v>
      </c>
      <c r="I22" s="293" t="s">
        <v>97</v>
      </c>
      <c r="J22" s="294"/>
      <c r="K22" s="295"/>
      <c r="L22" s="295"/>
      <c r="M22" s="438" t="s">
        <v>206</v>
      </c>
      <c r="N22" s="293" t="s">
        <v>118</v>
      </c>
      <c r="O22" s="294"/>
      <c r="P22" s="295"/>
      <c r="Q22" s="295"/>
      <c r="R22" s="438" t="s">
        <v>206</v>
      </c>
      <c r="S22" s="293" t="s">
        <v>142</v>
      </c>
      <c r="T22" s="294"/>
      <c r="U22" s="295"/>
      <c r="V22" s="295"/>
      <c r="W22" s="438" t="s">
        <v>206</v>
      </c>
      <c r="X22" s="293" t="s">
        <v>334</v>
      </c>
      <c r="Y22" s="294"/>
      <c r="Z22" s="295"/>
      <c r="AA22" s="295"/>
      <c r="AB22" s="438" t="s">
        <v>206</v>
      </c>
      <c r="AC22" s="293" t="s">
        <v>351</v>
      </c>
      <c r="AD22" s="294"/>
      <c r="AE22" s="295"/>
      <c r="AF22" s="295"/>
      <c r="AG22" s="438" t="s">
        <v>206</v>
      </c>
      <c r="AH22" s="616" t="s">
        <v>360</v>
      </c>
      <c r="AI22" s="294"/>
      <c r="AJ22" s="295"/>
      <c r="AK22" s="295"/>
      <c r="AL22" s="438" t="s">
        <v>206</v>
      </c>
      <c r="AM22" s="293" t="s">
        <v>378</v>
      </c>
      <c r="AN22" s="294"/>
      <c r="AO22" s="295"/>
      <c r="AP22" s="295"/>
      <c r="AQ22" s="438" t="s">
        <v>206</v>
      </c>
      <c r="AR22" s="293" t="s">
        <v>390</v>
      </c>
      <c r="AS22" s="294"/>
      <c r="AT22" s="295"/>
      <c r="AU22" s="295"/>
      <c r="AV22" s="438" t="s">
        <v>206</v>
      </c>
      <c r="AW22" s="293" t="s">
        <v>424</v>
      </c>
      <c r="AX22" s="294"/>
      <c r="AY22" s="295"/>
      <c r="AZ22" s="295"/>
      <c r="BA22" s="438" t="s">
        <v>206</v>
      </c>
      <c r="BB22" s="293" t="s">
        <v>469</v>
      </c>
      <c r="BC22" s="294"/>
      <c r="BD22" s="295"/>
      <c r="BE22" s="295"/>
      <c r="BF22" s="438" t="s">
        <v>206</v>
      </c>
      <c r="BG22" s="293" t="s">
        <v>399</v>
      </c>
      <c r="BH22" s="294"/>
      <c r="BI22" s="295"/>
      <c r="BJ22" s="295"/>
      <c r="BK22" s="438" t="s">
        <v>206</v>
      </c>
      <c r="BL22" s="293" t="s">
        <v>431</v>
      </c>
      <c r="BM22" s="294"/>
      <c r="BN22" s="295"/>
      <c r="BO22" s="295"/>
      <c r="BP22" s="438" t="s">
        <v>206</v>
      </c>
      <c r="BQ22" s="293" t="s">
        <v>531</v>
      </c>
      <c r="BR22" s="294"/>
      <c r="BS22" s="295"/>
      <c r="BT22" s="295"/>
      <c r="BU22" s="438" t="s">
        <v>206</v>
      </c>
    </row>
    <row r="23" spans="1:73" ht="13.15">
      <c r="B23" s="270"/>
      <c r="C23" s="270"/>
      <c r="D23" s="292" t="s">
        <v>147</v>
      </c>
      <c r="E23" s="292" t="s">
        <v>148</v>
      </c>
      <c r="F23" s="292" t="s">
        <v>150</v>
      </c>
      <c r="G23" s="292" t="s">
        <v>149</v>
      </c>
      <c r="H23" s="438" t="s">
        <v>96</v>
      </c>
      <c r="I23" s="292" t="s">
        <v>211</v>
      </c>
      <c r="J23" s="292" t="s">
        <v>212</v>
      </c>
      <c r="K23" s="292" t="s">
        <v>213</v>
      </c>
      <c r="L23" s="292" t="s">
        <v>214</v>
      </c>
      <c r="M23" s="438" t="s">
        <v>97</v>
      </c>
      <c r="N23" s="292" t="s">
        <v>207</v>
      </c>
      <c r="O23" s="292" t="s">
        <v>208</v>
      </c>
      <c r="P23" s="292" t="s">
        <v>209</v>
      </c>
      <c r="Q23" s="292" t="s">
        <v>210</v>
      </c>
      <c r="R23" s="438" t="s">
        <v>118</v>
      </c>
      <c r="S23" s="292" t="s">
        <v>151</v>
      </c>
      <c r="T23" s="292" t="s">
        <v>178</v>
      </c>
      <c r="U23" s="292" t="s">
        <v>242</v>
      </c>
      <c r="V23" s="292" t="s">
        <v>249</v>
      </c>
      <c r="W23" s="438" t="s">
        <v>142</v>
      </c>
      <c r="X23" s="292" t="s">
        <v>261</v>
      </c>
      <c r="Y23" s="292" t="s">
        <v>318</v>
      </c>
      <c r="Z23" s="292" t="s">
        <v>325</v>
      </c>
      <c r="AA23" s="292" t="s">
        <v>333</v>
      </c>
      <c r="AB23" s="438" t="s">
        <v>262</v>
      </c>
      <c r="AC23" s="292" t="s">
        <v>338</v>
      </c>
      <c r="AD23" s="423" t="s">
        <v>342</v>
      </c>
      <c r="AE23" s="423" t="s">
        <v>343</v>
      </c>
      <c r="AF23" s="423" t="s">
        <v>350</v>
      </c>
      <c r="AG23" s="438" t="s">
        <v>339</v>
      </c>
      <c r="AH23" s="423" t="s">
        <v>352</v>
      </c>
      <c r="AI23" s="423" t="s">
        <v>354</v>
      </c>
      <c r="AJ23" s="423" t="s">
        <v>355</v>
      </c>
      <c r="AK23" s="423" t="s">
        <v>359</v>
      </c>
      <c r="AL23" s="647" t="s">
        <v>353</v>
      </c>
      <c r="AM23" s="292" t="s">
        <v>361</v>
      </c>
      <c r="AN23" s="292" t="s">
        <v>375</v>
      </c>
      <c r="AO23" s="292" t="s">
        <v>376</v>
      </c>
      <c r="AP23" s="292" t="s">
        <v>377</v>
      </c>
      <c r="AQ23" s="438" t="s">
        <v>362</v>
      </c>
      <c r="AR23" s="292" t="s">
        <v>383</v>
      </c>
      <c r="AS23" s="292" t="s">
        <v>385</v>
      </c>
      <c r="AT23" s="292" t="s">
        <v>388</v>
      </c>
      <c r="AU23" s="292" t="s">
        <v>389</v>
      </c>
      <c r="AV23" s="438" t="s">
        <v>382</v>
      </c>
      <c r="AW23" s="292" t="s">
        <v>398</v>
      </c>
      <c r="AX23" s="292" t="s">
        <v>407</v>
      </c>
      <c r="AY23" s="292" t="s">
        <v>408</v>
      </c>
      <c r="AZ23" s="292" t="s">
        <v>423</v>
      </c>
      <c r="BA23" s="438" t="s">
        <v>397</v>
      </c>
      <c r="BB23" s="292" t="s">
        <v>429</v>
      </c>
      <c r="BC23" s="292" t="s">
        <v>437</v>
      </c>
      <c r="BD23" s="292" t="s">
        <v>460</v>
      </c>
      <c r="BE23" s="292" t="s">
        <v>468</v>
      </c>
      <c r="BF23" s="438" t="s">
        <v>428</v>
      </c>
      <c r="BG23" s="292" t="s">
        <v>485</v>
      </c>
      <c r="BH23" s="292" t="s">
        <v>557</v>
      </c>
      <c r="BI23" s="292" t="s">
        <v>560</v>
      </c>
      <c r="BJ23" s="292" t="s">
        <v>569</v>
      </c>
      <c r="BK23" s="438" t="s">
        <v>486</v>
      </c>
      <c r="BL23" s="292" t="s">
        <v>432</v>
      </c>
      <c r="BM23" s="292" t="s">
        <v>433</v>
      </c>
      <c r="BN23" s="292" t="s">
        <v>434</v>
      </c>
      <c r="BO23" s="292" t="s">
        <v>435</v>
      </c>
      <c r="BP23" s="438" t="str">
        <f>BL22</f>
        <v xml:space="preserve"> 2026E</v>
      </c>
      <c r="BQ23" s="292" t="s">
        <v>532</v>
      </c>
      <c r="BR23" s="292" t="s">
        <v>533</v>
      </c>
      <c r="BS23" s="292" t="s">
        <v>534</v>
      </c>
      <c r="BT23" s="292" t="s">
        <v>535</v>
      </c>
      <c r="BU23" s="438" t="str">
        <f>BQ22</f>
        <v xml:space="preserve"> 2027E</v>
      </c>
    </row>
    <row r="24" spans="1:73" ht="13.15">
      <c r="B24" s="270"/>
      <c r="C24" s="270"/>
      <c r="D24" s="292"/>
      <c r="E24" s="292"/>
      <c r="F24" s="292"/>
      <c r="G24" s="292"/>
      <c r="H24" s="438"/>
      <c r="I24" s="292"/>
      <c r="J24" s="292"/>
      <c r="K24" s="292"/>
      <c r="L24" s="292"/>
      <c r="M24" s="438"/>
      <c r="N24" s="292"/>
      <c r="O24" s="292"/>
      <c r="P24" s="292"/>
      <c r="Q24" s="292"/>
      <c r="R24" s="438"/>
      <c r="S24" s="292"/>
      <c r="T24" s="292"/>
      <c r="U24" s="292"/>
      <c r="V24" s="292"/>
      <c r="W24" s="438"/>
      <c r="X24" s="292"/>
      <c r="Y24" s="292"/>
      <c r="Z24" s="292"/>
      <c r="AA24" s="292"/>
      <c r="AB24" s="438"/>
      <c r="AC24" s="292"/>
      <c r="AD24" s="423"/>
      <c r="AE24" s="423"/>
      <c r="AF24" s="423"/>
      <c r="AG24" s="438"/>
      <c r="AH24" s="423"/>
      <c r="AI24" s="423"/>
      <c r="AJ24" s="423"/>
      <c r="AK24" s="423"/>
      <c r="AL24" s="647"/>
      <c r="AM24" s="292"/>
      <c r="AN24" s="292"/>
      <c r="AO24" s="292"/>
      <c r="AP24" s="292"/>
      <c r="AQ24" s="438"/>
      <c r="AR24" s="292"/>
      <c r="AS24" s="292"/>
      <c r="AT24" s="292"/>
      <c r="AU24" s="292"/>
      <c r="AV24" s="438"/>
      <c r="AW24" s="292"/>
      <c r="AX24" s="292"/>
      <c r="AY24" s="292"/>
      <c r="AZ24" s="292"/>
      <c r="BA24" s="438"/>
      <c r="BB24" s="292"/>
      <c r="BC24" s="292"/>
      <c r="BD24" s="292"/>
      <c r="BE24" s="292"/>
      <c r="BF24" s="438"/>
      <c r="BG24" s="292"/>
      <c r="BH24" s="292"/>
      <c r="BI24" s="292"/>
      <c r="BJ24" s="292"/>
      <c r="BK24" s="438"/>
      <c r="BL24" s="292"/>
      <c r="BM24" s="292"/>
      <c r="BN24" s="292"/>
      <c r="BO24" s="292"/>
      <c r="BP24" s="438"/>
      <c r="BQ24" s="292"/>
      <c r="BR24" s="292"/>
      <c r="BS24" s="292"/>
      <c r="BT24" s="292"/>
      <c r="BU24" s="438"/>
    </row>
    <row r="25" spans="1:73" ht="11.25" hidden="1" customHeight="1" outlineLevel="1">
      <c r="A25" s="296"/>
      <c r="B25" s="202" t="s">
        <v>173</v>
      </c>
      <c r="C25" s="266"/>
      <c r="D25" s="199"/>
      <c r="E25" s="199"/>
      <c r="F25" s="199"/>
      <c r="G25" s="199"/>
      <c r="H25" s="439">
        <f>+'Billings &amp; Recs'!H12</f>
        <v>102081</v>
      </c>
      <c r="I25" s="199">
        <f>+'Billings &amp; Recs'!I12</f>
        <v>27158</v>
      </c>
      <c r="J25" s="199">
        <f>+'Billings &amp; Recs'!J12</f>
        <v>34658</v>
      </c>
      <c r="K25" s="199">
        <f>+'Billings &amp; Recs'!K12</f>
        <v>40953</v>
      </c>
      <c r="L25" s="199">
        <f>+'Billings &amp; Recs'!L12</f>
        <v>53018</v>
      </c>
      <c r="M25" s="439">
        <f>+'Billings &amp; Recs'!M12</f>
        <v>155787</v>
      </c>
      <c r="N25" s="199">
        <f>+'Billings &amp; Recs'!N12</f>
        <v>36336</v>
      </c>
      <c r="O25" s="199">
        <f>+'Billings &amp; Recs'!O12</f>
        <v>50133</v>
      </c>
      <c r="P25" s="199">
        <f>+'Billings &amp; Recs'!P12</f>
        <v>44881</v>
      </c>
      <c r="Q25" s="199">
        <f>+'Billings &amp; Recs'!Q12</f>
        <v>64833</v>
      </c>
      <c r="R25" s="439">
        <f>+'Billings &amp; Recs'!R12</f>
        <v>196183</v>
      </c>
      <c r="S25" s="199">
        <f>+'Billings &amp; Recs'!S12</f>
        <v>43829</v>
      </c>
      <c r="T25" s="199">
        <f>+'Billings &amp; Recs'!T12</f>
        <v>60225</v>
      </c>
      <c r="U25" s="199">
        <f>+'Billings &amp; Recs'!U12</f>
        <v>58735</v>
      </c>
      <c r="V25" s="199">
        <f>+'Billings &amp; Recs'!V12</f>
        <v>94481</v>
      </c>
      <c r="W25" s="439">
        <f>+'Billings &amp; Recs'!W12</f>
        <v>257270</v>
      </c>
      <c r="X25" s="199">
        <f>+'Billings &amp; Recs'!X12</f>
        <v>48020</v>
      </c>
      <c r="Y25" s="199">
        <f>+'Billings &amp; Recs'!Y12</f>
        <v>63943</v>
      </c>
      <c r="Z25" s="199">
        <f>+'Billings &amp; Recs'!Z12</f>
        <v>61053</v>
      </c>
      <c r="AA25" s="199">
        <f>+'Billings &amp; Recs'!AA12</f>
        <v>94253</v>
      </c>
      <c r="AB25" s="439">
        <f>+'Billings &amp; Recs'!AB12</f>
        <v>267269</v>
      </c>
      <c r="AC25" s="199">
        <f>+'Billings &amp; Recs'!AC12</f>
        <v>61081</v>
      </c>
      <c r="AD25" s="418">
        <f>+'Billings &amp; Recs'!AD12</f>
        <v>86484</v>
      </c>
      <c r="AE25" s="418">
        <f>+'Billings &amp; Recs'!AE12</f>
        <v>76097</v>
      </c>
      <c r="AF25" s="418">
        <f>+'Billings &amp; Recs'!AF12</f>
        <v>122458</v>
      </c>
      <c r="AG25" s="439">
        <f>+'Billings &amp; Recs'!AG12</f>
        <v>346120</v>
      </c>
      <c r="AH25" s="418">
        <f>+'Billings &amp; Recs'!AH12</f>
        <v>77669</v>
      </c>
      <c r="AI25" s="418">
        <f>+'Billings &amp; Recs'!AI12</f>
        <v>108437</v>
      </c>
      <c r="AJ25" s="418">
        <f>+'Billings &amp; Recs'!AJ12</f>
        <v>106669</v>
      </c>
      <c r="AK25" s="418">
        <f>+'Billings &amp; Recs'!AK12</f>
        <v>160917</v>
      </c>
      <c r="AL25" s="614">
        <f>+'Billings &amp; Recs'!AL12</f>
        <v>453692</v>
      </c>
      <c r="AM25" s="199">
        <f>+'Billings &amp; Recs'!AM12</f>
        <v>118579</v>
      </c>
      <c r="AN25" s="199">
        <f>+'Billings &amp; Recs'!AN12</f>
        <v>147653</v>
      </c>
      <c r="AO25" s="199">
        <f>+'Billings &amp; Recs'!AO12</f>
        <v>151534</v>
      </c>
      <c r="AP25" s="199">
        <f>+'Billings &amp; Recs'!AP12</f>
        <v>212811</v>
      </c>
      <c r="AQ25" s="439">
        <f>+'Billings &amp; Recs'!AQ12</f>
        <v>630577</v>
      </c>
      <c r="AR25" s="199">
        <f>+'Billings &amp; Recs'!AR12</f>
        <v>161215</v>
      </c>
      <c r="AS25" s="199">
        <f>+'Billings &amp; Recs'!AS12</f>
        <v>186807</v>
      </c>
      <c r="AT25" s="199">
        <f>+'Billings &amp; Recs'!AT12</f>
        <v>170879</v>
      </c>
      <c r="AU25" s="199">
        <f>+'Billings &amp; Recs'!AU12</f>
        <v>218698</v>
      </c>
      <c r="AV25" s="439">
        <f>+'Billings &amp; Recs'!AV12</f>
        <v>737599</v>
      </c>
      <c r="AW25" s="199">
        <f>+'Billings &amp; Recs'!AW12</f>
        <v>171112</v>
      </c>
      <c r="AX25" s="199">
        <f>+'Billings &amp; Recs'!AX12</f>
        <v>204237</v>
      </c>
      <c r="AY25" s="199">
        <f>+'Billings &amp; Recs'!AY12</f>
        <v>190693</v>
      </c>
      <c r="AZ25" s="199">
        <f>+'Billings &amp; Recs'!AZ12</f>
        <v>242106</v>
      </c>
      <c r="BA25" s="439">
        <f>+'Billings &amp; Recs'!BA12</f>
        <v>808148</v>
      </c>
      <c r="BB25" s="199">
        <f>+'Billings &amp; Recs'!BB12</f>
        <v>183915</v>
      </c>
      <c r="BC25" s="199">
        <f>+'Billings &amp; Recs'!BC12</f>
        <v>205831</v>
      </c>
      <c r="BD25" s="199">
        <f>+'Billings &amp; Recs'!BD12</f>
        <v>201799</v>
      </c>
      <c r="BE25" s="199">
        <f>+'Billings &amp; Recs'!BE12</f>
        <v>252578</v>
      </c>
      <c r="BF25" s="439">
        <f>+'Billings &amp; Recs'!BF12</f>
        <v>844123</v>
      </c>
      <c r="BG25" s="199">
        <f>+'Billings &amp; Recs'!BG12</f>
        <v>197379</v>
      </c>
      <c r="BH25" s="199">
        <f>+'Billings &amp; Recs'!BH12</f>
        <v>214742</v>
      </c>
      <c r="BI25" s="199">
        <f>+'Billings &amp; Recs'!BI12</f>
        <v>193374</v>
      </c>
      <c r="BJ25" s="199">
        <f>+'Billings &amp; Recs'!BJ12</f>
        <v>247229</v>
      </c>
      <c r="BK25" s="439">
        <f>+'Billings &amp; Recs'!BK12</f>
        <v>852724</v>
      </c>
      <c r="BL25" s="199">
        <f>+'Billings &amp; Recs'!BL12</f>
        <v>203114.17500000005</v>
      </c>
      <c r="BM25" s="199">
        <f>+'Billings &amp; Recs'!BM12</f>
        <v>211721.21099999995</v>
      </c>
      <c r="BN25" s="199">
        <f>+'Billings &amp; Recs'!BN12</f>
        <v>185708.58997999999</v>
      </c>
      <c r="BO25" s="199">
        <f>+'Billings &amp; Recs'!BO12</f>
        <v>244453.90059020009</v>
      </c>
      <c r="BP25" s="439">
        <f>+'Billings &amp; Recs'!BP12</f>
        <v>844997.87657020008</v>
      </c>
      <c r="BQ25" s="199">
        <f>+'Billings &amp; Recs'!BQ12</f>
        <v>206744.87692148995</v>
      </c>
      <c r="BR25" s="199">
        <f>+'Billings &amp; Recs'!BR12</f>
        <v>215422.26846016617</v>
      </c>
      <c r="BS25" s="199">
        <f>+'Billings &amp; Recs'!BS12</f>
        <v>188719.01422696287</v>
      </c>
      <c r="BT25" s="199">
        <f>+'Billings &amp; Recs'!BT12</f>
        <v>248563.98772521183</v>
      </c>
      <c r="BU25" s="439">
        <f>+'Billings &amp; Recs'!BU12</f>
        <v>859450.14733383094</v>
      </c>
    </row>
    <row r="26" spans="1:73" ht="12.75" hidden="1" outlineLevel="1">
      <c r="B26" s="272" t="s">
        <v>244</v>
      </c>
      <c r="C26" s="299"/>
      <c r="D26" s="159"/>
      <c r="E26" s="159"/>
      <c r="F26" s="159"/>
      <c r="G26" s="159"/>
      <c r="H26" s="440">
        <f t="shared" ref="H26:AM26" si="32">+H25/H$52</f>
        <v>1.327796566077003</v>
      </c>
      <c r="I26" s="159">
        <f t="shared" si="32"/>
        <v>1.1521785244580205</v>
      </c>
      <c r="J26" s="159">
        <f t="shared" si="32"/>
        <v>1.3438542070569988</v>
      </c>
      <c r="K26" s="159">
        <f t="shared" si="32"/>
        <v>1.4464891212206838</v>
      </c>
      <c r="L26" s="159">
        <f t="shared" si="32"/>
        <v>1.6137947828204426</v>
      </c>
      <c r="M26" s="440">
        <f t="shared" si="32"/>
        <v>1.4095054557298736</v>
      </c>
      <c r="N26" s="159">
        <f t="shared" si="32"/>
        <v>1.0442579606851363</v>
      </c>
      <c r="O26" s="159">
        <f t="shared" si="32"/>
        <v>1.3452023183428141</v>
      </c>
      <c r="P26" s="159">
        <f t="shared" si="32"/>
        <v>1.1125957510101887</v>
      </c>
      <c r="Q26" s="159">
        <f t="shared" si="32"/>
        <v>1.4396456011013901</v>
      </c>
      <c r="R26" s="440">
        <f t="shared" si="32"/>
        <v>1.2461047911227983</v>
      </c>
      <c r="S26" s="159">
        <f t="shared" si="32"/>
        <v>0.96870372416841644</v>
      </c>
      <c r="T26" s="159">
        <f t="shared" si="32"/>
        <v>1.2694180384882912</v>
      </c>
      <c r="U26" s="159">
        <f t="shared" si="32"/>
        <v>1.1625858553868689</v>
      </c>
      <c r="V26" s="159">
        <f t="shared" si="32"/>
        <v>1.63657307165994</v>
      </c>
      <c r="W26" s="440">
        <f t="shared" si="32"/>
        <v>1.2803324375435454</v>
      </c>
      <c r="X26" s="159">
        <f t="shared" si="32"/>
        <v>0.88085847931761896</v>
      </c>
      <c r="Y26" s="159">
        <f t="shared" si="32"/>
        <v>1.0941462329528926</v>
      </c>
      <c r="Z26" s="159">
        <f t="shared" si="32"/>
        <v>0.9789625591277159</v>
      </c>
      <c r="AA26" s="159">
        <f t="shared" si="32"/>
        <v>1.3705540206485387</v>
      </c>
      <c r="AB26" s="440">
        <f t="shared" si="32"/>
        <v>1.0949563892154974</v>
      </c>
      <c r="AC26" s="159">
        <f t="shared" si="32"/>
        <v>0.83461091753774685</v>
      </c>
      <c r="AD26" s="424">
        <f t="shared" si="32"/>
        <v>1.095302625413189</v>
      </c>
      <c r="AE26" s="159">
        <f t="shared" si="32"/>
        <v>0.91512236185436835</v>
      </c>
      <c r="AF26" s="424">
        <f t="shared" si="32"/>
        <v>1.3361775488826815</v>
      </c>
      <c r="AG26" s="440">
        <f t="shared" si="32"/>
        <v>1.0586425322758735</v>
      </c>
      <c r="AH26" s="424">
        <f t="shared" si="32"/>
        <v>0.82328810684757259</v>
      </c>
      <c r="AI26" s="424">
        <f t="shared" si="32"/>
        <v>1.0962977191847298</v>
      </c>
      <c r="AJ26" s="424">
        <f t="shared" si="32"/>
        <v>1.0151701165833928</v>
      </c>
      <c r="AK26" s="424">
        <f t="shared" si="32"/>
        <v>1.4220433195768785</v>
      </c>
      <c r="AL26" s="648">
        <f t="shared" si="32"/>
        <v>1.1025697107556516</v>
      </c>
      <c r="AM26" s="159">
        <f t="shared" si="32"/>
        <v>1.0096040050744566</v>
      </c>
      <c r="AN26" s="159">
        <f t="shared" ref="AN26:BP26" si="33">+AN25/AN$52</f>
        <v>1.1679467809936641</v>
      </c>
      <c r="AO26" s="159">
        <f t="shared" si="33"/>
        <v>1.0832058558622957</v>
      </c>
      <c r="AP26" s="159">
        <f t="shared" si="33"/>
        <v>1.4034147113520357</v>
      </c>
      <c r="AQ26" s="440">
        <f t="shared" si="33"/>
        <v>1.1777592248096764</v>
      </c>
      <c r="AR26" s="159">
        <f t="shared" si="33"/>
        <v>1.024341737406598</v>
      </c>
      <c r="AS26" s="159">
        <f t="shared" si="33"/>
        <v>1.1155653757725956</v>
      </c>
      <c r="AT26" s="159">
        <f t="shared" si="33"/>
        <v>0.97220151907376329</v>
      </c>
      <c r="AU26" s="159">
        <f t="shared" si="33"/>
        <v>1.1854899473652827</v>
      </c>
      <c r="AV26" s="440">
        <f t="shared" si="33"/>
        <v>1.0766564051363119</v>
      </c>
      <c r="AW26" s="159">
        <f t="shared" si="33"/>
        <v>0.93415004312839156</v>
      </c>
      <c r="AX26" s="159">
        <f t="shared" si="33"/>
        <v>1.0725493903015408</v>
      </c>
      <c r="AY26" s="159">
        <f t="shared" si="33"/>
        <v>0.95901288956614017</v>
      </c>
      <c r="AZ26" s="159">
        <f t="shared" si="33"/>
        <v>1.1794629460022994</v>
      </c>
      <c r="BA26" s="440">
        <f t="shared" si="33"/>
        <v>1.0391419904925634</v>
      </c>
      <c r="BB26" s="159">
        <f t="shared" si="33"/>
        <v>0.89670455044100228</v>
      </c>
      <c r="BC26" s="159">
        <f t="shared" si="33"/>
        <v>0.98961493526162192</v>
      </c>
      <c r="BD26" s="159">
        <f t="shared" si="33"/>
        <v>0.9401129259179889</v>
      </c>
      <c r="BE26" s="159">
        <f t="shared" si="33"/>
        <v>1.1679313422207425</v>
      </c>
      <c r="BF26" s="440">
        <f t="shared" si="33"/>
        <v>1.0001374396183917</v>
      </c>
      <c r="BG26" s="159">
        <f t="shared" si="33"/>
        <v>0.93876900686316012</v>
      </c>
      <c r="BH26" s="159">
        <f t="shared" si="33"/>
        <v>1.0025631089718152</v>
      </c>
      <c r="BI26" s="159">
        <f t="shared" si="33"/>
        <v>0.8871994861442466</v>
      </c>
      <c r="BJ26" s="159">
        <f t="shared" si="33"/>
        <v>1.1372706865144351</v>
      </c>
      <c r="BK26" s="440">
        <f t="shared" si="33"/>
        <v>0.99177710009606956</v>
      </c>
      <c r="BL26" s="159">
        <f t="shared" si="33"/>
        <v>0.97665261133561643</v>
      </c>
      <c r="BM26" s="159">
        <f t="shared" si="33"/>
        <v>1.013341217490058</v>
      </c>
      <c r="BN26" s="159">
        <f t="shared" si="33"/>
        <v>0.88327888195478599</v>
      </c>
      <c r="BO26" s="159">
        <f t="shared" si="33"/>
        <v>1.1546002307850576</v>
      </c>
      <c r="BP26" s="440">
        <f t="shared" si="33"/>
        <v>1.007299772659261</v>
      </c>
      <c r="BQ26" s="159">
        <f t="shared" ref="BQ26:BU26" si="34">+BQ25/BQ$52</f>
        <v>0.97741274563331904</v>
      </c>
      <c r="BR26" s="159">
        <f t="shared" si="34"/>
        <v>1.0136917017353442</v>
      </c>
      <c r="BS26" s="159">
        <f t="shared" si="34"/>
        <v>0.88316377551799452</v>
      </c>
      <c r="BT26" s="159">
        <f t="shared" si="34"/>
        <v>1.1553313234479639</v>
      </c>
      <c r="BU26" s="440">
        <f t="shared" si="34"/>
        <v>1.0077205167555627</v>
      </c>
    </row>
    <row r="27" spans="1:73" s="3" customFormat="1" ht="13.35" hidden="1" customHeight="1" outlineLevel="1">
      <c r="B27" s="224" t="s">
        <v>243</v>
      </c>
      <c r="C27" s="326"/>
      <c r="H27" s="441"/>
      <c r="I27" s="339"/>
      <c r="J27" s="339"/>
      <c r="K27" s="339"/>
      <c r="L27" s="360"/>
      <c r="M27" s="463">
        <f t="shared" ref="M27:AG27" si="35">+M25/H25-1</f>
        <v>0.52611161724512878</v>
      </c>
      <c r="N27" s="360">
        <f t="shared" si="35"/>
        <v>0.33794830252595931</v>
      </c>
      <c r="O27" s="360">
        <f t="shared" si="35"/>
        <v>0.44650585723353919</v>
      </c>
      <c r="P27" s="360">
        <f t="shared" si="35"/>
        <v>9.5914829194442497E-2</v>
      </c>
      <c r="Q27" s="360">
        <f t="shared" si="35"/>
        <v>0.2228488437889018</v>
      </c>
      <c r="R27" s="463">
        <f t="shared" si="35"/>
        <v>0.25930276595608115</v>
      </c>
      <c r="S27" s="360">
        <f t="shared" si="35"/>
        <v>0.2062142228093351</v>
      </c>
      <c r="T27" s="360">
        <f t="shared" si="35"/>
        <v>0.20130452995033221</v>
      </c>
      <c r="U27" s="360">
        <f t="shared" si="35"/>
        <v>0.30868296160958986</v>
      </c>
      <c r="V27" s="360">
        <f t="shared" si="35"/>
        <v>0.45729798096648322</v>
      </c>
      <c r="W27" s="463">
        <f t="shared" si="35"/>
        <v>0.31137764230335963</v>
      </c>
      <c r="X27" s="360">
        <f t="shared" si="35"/>
        <v>9.5621620388327333E-2</v>
      </c>
      <c r="Y27" s="360">
        <f t="shared" si="35"/>
        <v>6.173515981735167E-2</v>
      </c>
      <c r="Z27" s="360">
        <f t="shared" si="35"/>
        <v>3.9465395420107185E-2</v>
      </c>
      <c r="AA27" s="360">
        <f t="shared" si="35"/>
        <v>-2.4131836030524267E-3</v>
      </c>
      <c r="AB27" s="463">
        <f t="shared" si="35"/>
        <v>3.8865783029502055E-2</v>
      </c>
      <c r="AC27" s="360">
        <f t="shared" si="35"/>
        <v>0.27199083715118699</v>
      </c>
      <c r="AD27" s="425">
        <f t="shared" si="35"/>
        <v>0.35251708552929961</v>
      </c>
      <c r="AE27" s="360">
        <f t="shared" si="35"/>
        <v>0.24640885787758182</v>
      </c>
      <c r="AF27" s="425">
        <f t="shared" si="35"/>
        <v>0.29924776930177299</v>
      </c>
      <c r="AG27" s="463">
        <f t="shared" si="35"/>
        <v>0.2950248625916212</v>
      </c>
      <c r="AH27" s="425">
        <f t="shared" ref="AH27:BP27" si="36">+AH25/AC25-1</f>
        <v>0.27157381182364393</v>
      </c>
      <c r="AI27" s="425">
        <f t="shared" si="36"/>
        <v>0.25383886036723546</v>
      </c>
      <c r="AJ27" s="425">
        <f t="shared" si="36"/>
        <v>0.40175039751895603</v>
      </c>
      <c r="AK27" s="425">
        <f t="shared" si="36"/>
        <v>0.31405869767593786</v>
      </c>
      <c r="AL27" s="649">
        <f t="shared" si="36"/>
        <v>0.31079394429677576</v>
      </c>
      <c r="AM27" s="360">
        <f t="shared" si="36"/>
        <v>0.52672237314758785</v>
      </c>
      <c r="AN27" s="360">
        <f t="shared" si="36"/>
        <v>0.36164777705026885</v>
      </c>
      <c r="AO27" s="360">
        <f t="shared" si="36"/>
        <v>0.42060017437118558</v>
      </c>
      <c r="AP27" s="360">
        <f t="shared" si="36"/>
        <v>0.32248923358004444</v>
      </c>
      <c r="AQ27" s="463">
        <f t="shared" si="36"/>
        <v>0.3898790368796452</v>
      </c>
      <c r="AR27" s="360">
        <f t="shared" si="36"/>
        <v>0.3595577631789777</v>
      </c>
      <c r="AS27" s="360">
        <f t="shared" si="36"/>
        <v>0.26517578376328288</v>
      </c>
      <c r="AT27" s="360">
        <f t="shared" si="36"/>
        <v>0.12766111895680177</v>
      </c>
      <c r="AU27" s="360">
        <f t="shared" si="36"/>
        <v>2.766304373364159E-2</v>
      </c>
      <c r="AV27" s="463">
        <f t="shared" si="36"/>
        <v>0.1697207478230256</v>
      </c>
      <c r="AW27" s="360">
        <f t="shared" si="36"/>
        <v>6.1390069162298833E-2</v>
      </c>
      <c r="AX27" s="360">
        <f t="shared" si="36"/>
        <v>9.330485474313055E-2</v>
      </c>
      <c r="AY27" s="360">
        <f t="shared" si="36"/>
        <v>0.11595339392201498</v>
      </c>
      <c r="AZ27" s="360">
        <f t="shared" si="36"/>
        <v>0.10703344337854026</v>
      </c>
      <c r="BA27" s="463">
        <f t="shared" si="36"/>
        <v>9.5646821646992564E-2</v>
      </c>
      <c r="BB27" s="360">
        <f t="shared" si="36"/>
        <v>7.4822338585254E-2</v>
      </c>
      <c r="BC27" s="360">
        <f t="shared" si="36"/>
        <v>7.8046583136257563E-3</v>
      </c>
      <c r="BD27" s="360">
        <f t="shared" si="36"/>
        <v>5.8240208083149447E-2</v>
      </c>
      <c r="BE27" s="360">
        <f t="shared" si="36"/>
        <v>4.3253781401534797E-2</v>
      </c>
      <c r="BF27" s="463">
        <f t="shared" si="36"/>
        <v>4.4515361047728907E-2</v>
      </c>
      <c r="BG27" s="360">
        <f t="shared" si="36"/>
        <v>7.3207731832640066E-2</v>
      </c>
      <c r="BH27" s="360">
        <f t="shared" si="36"/>
        <v>4.3292798460873305E-2</v>
      </c>
      <c r="BI27" s="360">
        <f t="shared" si="36"/>
        <v>-4.1749463575141643E-2</v>
      </c>
      <c r="BJ27" s="360">
        <f t="shared" si="36"/>
        <v>-2.1177616419482348E-2</v>
      </c>
      <c r="BK27" s="463">
        <f t="shared" si="36"/>
        <v>1.0189273364189733E-2</v>
      </c>
      <c r="BL27" s="360">
        <f t="shared" si="36"/>
        <v>2.905666256288697E-2</v>
      </c>
      <c r="BM27" s="360">
        <f t="shared" si="36"/>
        <v>-1.4067061869592612E-2</v>
      </c>
      <c r="BN27" s="360">
        <f t="shared" si="36"/>
        <v>-3.9640334377941233E-2</v>
      </c>
      <c r="BO27" s="360">
        <f t="shared" si="36"/>
        <v>-1.1224813471720219E-2</v>
      </c>
      <c r="BP27" s="463">
        <f t="shared" si="36"/>
        <v>-9.0605206723394227E-3</v>
      </c>
      <c r="BQ27" s="360">
        <f t="shared" ref="BQ27" si="37">+BQ25/BL25-1</f>
        <v>1.7875177453714919E-2</v>
      </c>
      <c r="BR27" s="360">
        <f t="shared" ref="BR27" si="38">+BR25/BM25-1</f>
        <v>1.7480806210607991E-2</v>
      </c>
      <c r="BS27" s="360">
        <f t="shared" ref="BS27" si="39">+BS25/BN25-1</f>
        <v>1.6210473878925491E-2</v>
      </c>
      <c r="BT27" s="360">
        <f t="shared" ref="BT27" si="40">+BT25/BO25-1</f>
        <v>1.6813342413798615E-2</v>
      </c>
      <c r="BU27" s="463">
        <f t="shared" ref="BU27" si="41">+BU25/BP25-1</f>
        <v>1.7103321989744957E-2</v>
      </c>
    </row>
    <row r="28" spans="1:73" s="3" customFormat="1" ht="13.35" hidden="1" customHeight="1" outlineLevel="1">
      <c r="B28" s="224" t="s">
        <v>245</v>
      </c>
      <c r="C28" s="326"/>
      <c r="D28" s="357"/>
      <c r="E28" s="357"/>
      <c r="F28" s="357"/>
      <c r="G28" s="357"/>
      <c r="H28" s="442"/>
      <c r="I28" s="358"/>
      <c r="J28" s="358">
        <f>+J25/I25-1</f>
        <v>0.27616172030340969</v>
      </c>
      <c r="K28" s="358">
        <f>+K25/J25-1</f>
        <v>0.18163194644815039</v>
      </c>
      <c r="L28" s="358">
        <f>+L25/K25-1</f>
        <v>0.29460601176958945</v>
      </c>
      <c r="M28" s="442"/>
      <c r="N28" s="358">
        <f>+N25/L25-1</f>
        <v>-0.31464785544532048</v>
      </c>
      <c r="O28" s="358">
        <f>+O25/N25-1</f>
        <v>0.37970607661822986</v>
      </c>
      <c r="P28" s="358">
        <f>+P25/O25-1</f>
        <v>-0.10476133484930084</v>
      </c>
      <c r="Q28" s="358">
        <f>+Q25/P25-1</f>
        <v>0.44455337447917831</v>
      </c>
      <c r="R28" s="442"/>
      <c r="S28" s="358">
        <f>+S25/Q25-1</f>
        <v>-0.32397081733068034</v>
      </c>
      <c r="T28" s="358">
        <f>+T25/S25-1</f>
        <v>0.37409021424171218</v>
      </c>
      <c r="U28" s="358">
        <f>+U25/T25-1</f>
        <v>-2.4740556247405565E-2</v>
      </c>
      <c r="V28" s="358">
        <f>+V25/U25-1</f>
        <v>0.60859793989954891</v>
      </c>
      <c r="W28" s="442"/>
      <c r="X28" s="358">
        <f>+X25/V25-1</f>
        <v>-0.49174966395359909</v>
      </c>
      <c r="Y28" s="358">
        <f>+Y25/X25-1</f>
        <v>0.3315910037484382</v>
      </c>
      <c r="Z28" s="358">
        <f>+Z25/Y25-1</f>
        <v>-4.5196503135605193E-2</v>
      </c>
      <c r="AA28" s="358">
        <f>+AA25/Z25-1</f>
        <v>0.54378982195797088</v>
      </c>
      <c r="AB28" s="442"/>
      <c r="AC28" s="358">
        <f>+AC25/AA25-1</f>
        <v>-0.35194635714513067</v>
      </c>
      <c r="AD28" s="426">
        <f>+AD25/AC25-1</f>
        <v>0.41589037507571902</v>
      </c>
      <c r="AE28" s="358">
        <f>+AE25/AD25-1</f>
        <v>-0.12010314046528836</v>
      </c>
      <c r="AF28" s="426">
        <f>+AF25/AE25-1</f>
        <v>0.60923558090332075</v>
      </c>
      <c r="AG28" s="441"/>
      <c r="AH28" s="426">
        <f>+AH25/AF25-1</f>
        <v>-0.36574988975812117</v>
      </c>
      <c r="AI28" s="426">
        <f>+AI25/AH25-1</f>
        <v>0.39614260515778499</v>
      </c>
      <c r="AJ28" s="426">
        <f>+AJ25/AI25-1</f>
        <v>-1.6304397945350768E-2</v>
      </c>
      <c r="AK28" s="426">
        <f>+AK25/AJ25-1</f>
        <v>0.50856387516523083</v>
      </c>
      <c r="AL28" s="650"/>
      <c r="AM28" s="358">
        <f>+AM25/AK25-1</f>
        <v>-0.26310458186518515</v>
      </c>
      <c r="AN28" s="358">
        <f>+AN25/AM25-1</f>
        <v>0.24518675313504068</v>
      </c>
      <c r="AO28" s="358">
        <f>+AO25/AN25-1</f>
        <v>2.6284599703358502E-2</v>
      </c>
      <c r="AP28" s="358">
        <f>+AP25/AO25-1</f>
        <v>0.40437789538981361</v>
      </c>
      <c r="AQ28" s="441"/>
      <c r="AR28" s="358">
        <f>+AR25/AP25-1</f>
        <v>-0.24244987336180934</v>
      </c>
      <c r="AS28" s="358">
        <f>+AS25/AR25-1</f>
        <v>0.15874453369723662</v>
      </c>
      <c r="AT28" s="358">
        <f>+AT25/AS25-1</f>
        <v>-8.526447081747468E-2</v>
      </c>
      <c r="AU28" s="358">
        <f>+AU25/AT25-1</f>
        <v>0.27984129120605816</v>
      </c>
      <c r="AV28" s="441"/>
      <c r="AW28" s="358">
        <f>+AW25/AU25-1</f>
        <v>-0.21758772371032198</v>
      </c>
      <c r="AX28" s="358">
        <f>+AX25/AW25-1</f>
        <v>0.19358665669269248</v>
      </c>
      <c r="AY28" s="358">
        <f>+AY25/AX25-1</f>
        <v>-6.6315114303480804E-2</v>
      </c>
      <c r="AZ28" s="358">
        <f>+AZ25/AY25-1</f>
        <v>0.26961136486394355</v>
      </c>
      <c r="BA28" s="441"/>
      <c r="BB28" s="358">
        <f>+BB25/AZ25-1</f>
        <v>-0.24035339892443808</v>
      </c>
      <c r="BC28" s="358">
        <f>+BC25/BB25-1</f>
        <v>0.11916374412092545</v>
      </c>
      <c r="BD28" s="358">
        <f>+BD25/BC25-1</f>
        <v>-1.9588886027857799E-2</v>
      </c>
      <c r="BE28" s="358">
        <f>+BE25/BD25-1</f>
        <v>0.25163157399194258</v>
      </c>
      <c r="BF28" s="441"/>
      <c r="BG28" s="358">
        <f>+BG25/BE25-1</f>
        <v>-0.21854239086539606</v>
      </c>
      <c r="BH28" s="358">
        <f>+BH25/BG25-1</f>
        <v>8.7967818258274599E-2</v>
      </c>
      <c r="BI28" s="358">
        <f>+BI25/BH25-1</f>
        <v>-9.9505453055294235E-2</v>
      </c>
      <c r="BJ28" s="358">
        <f>+BJ25/BI25-1</f>
        <v>0.2785017634221767</v>
      </c>
      <c r="BK28" s="441"/>
      <c r="BL28" s="358">
        <f>+BL25/BJ25-1</f>
        <v>-0.17843709678071729</v>
      </c>
      <c r="BM28" s="358">
        <f>+BM25/BL25-1</f>
        <v>4.2375358588340184E-2</v>
      </c>
      <c r="BN28" s="358">
        <f>+BN25/BM25-1</f>
        <v>-0.12286261209794402</v>
      </c>
      <c r="BO28" s="358">
        <f>+BO25/BN25-1</f>
        <v>0.31633060493608145</v>
      </c>
      <c r="BP28" s="441"/>
      <c r="BQ28" s="358">
        <f>+BQ25/BO25-1</f>
        <v>-0.15425822037474934</v>
      </c>
      <c r="BR28" s="358">
        <f>+BR25/BQ25-1</f>
        <v>4.1971494858232594E-2</v>
      </c>
      <c r="BS28" s="358">
        <f>+BS25/BR25-1</f>
        <v>-0.12395772463115162</v>
      </c>
      <c r="BT28" s="358">
        <f>+BT25/BS25-1</f>
        <v>0.31711152023227718</v>
      </c>
      <c r="BU28" s="441"/>
    </row>
    <row r="29" spans="1:73" s="3" customFormat="1" ht="13.35" hidden="1" customHeight="1" outlineLevel="1">
      <c r="B29" s="202" t="s">
        <v>4</v>
      </c>
      <c r="C29" s="326"/>
      <c r="H29" s="441"/>
      <c r="I29" s="359"/>
      <c r="J29" s="359"/>
      <c r="K29" s="359"/>
      <c r="L29" s="359"/>
      <c r="M29" s="441"/>
      <c r="N29" s="359"/>
      <c r="O29" s="359"/>
      <c r="P29" s="359"/>
      <c r="Q29" s="359"/>
      <c r="R29" s="441"/>
      <c r="S29" s="359"/>
      <c r="T29" s="359"/>
      <c r="U29" s="359"/>
      <c r="V29" s="359"/>
      <c r="W29" s="441"/>
      <c r="X29" s="359"/>
      <c r="Y29" s="359"/>
      <c r="Z29" s="359"/>
      <c r="AA29" s="359"/>
      <c r="AB29" s="441"/>
      <c r="AC29" s="359"/>
      <c r="AD29" s="427"/>
      <c r="AE29" s="359"/>
      <c r="AF29" s="427"/>
      <c r="AG29" s="441"/>
      <c r="AH29" s="427"/>
      <c r="AI29" s="427"/>
      <c r="AJ29" s="427"/>
      <c r="AK29" s="427"/>
      <c r="AL29" s="650"/>
      <c r="AM29" s="359"/>
      <c r="AN29" s="359"/>
      <c r="AO29" s="359"/>
      <c r="AP29" s="359"/>
      <c r="AQ29" s="441"/>
      <c r="AR29" s="359"/>
      <c r="AS29" s="359"/>
      <c r="AT29" s="359"/>
      <c r="AU29" s="359"/>
      <c r="AV29" s="441"/>
      <c r="AW29" s="359"/>
      <c r="AX29" s="359"/>
      <c r="AY29" s="359"/>
      <c r="AZ29" s="359"/>
      <c r="BA29" s="748"/>
      <c r="BB29" s="359"/>
      <c r="BC29" s="359"/>
      <c r="BD29" s="359"/>
      <c r="BE29" s="359"/>
      <c r="BF29" s="441"/>
      <c r="BG29" s="359"/>
      <c r="BH29" s="359"/>
      <c r="BI29" s="754"/>
      <c r="BJ29" s="359"/>
      <c r="BK29" s="441"/>
      <c r="BL29" s="359"/>
      <c r="BM29" s="359"/>
      <c r="BN29" s="359"/>
      <c r="BO29" s="359"/>
      <c r="BP29" s="441"/>
      <c r="BQ29" s="359"/>
      <c r="BR29" s="359"/>
      <c r="BS29" s="359"/>
      <c r="BT29" s="359"/>
      <c r="BU29" s="441"/>
    </row>
    <row r="30" spans="1:73" ht="11.25" hidden="1" customHeight="1" outlineLevel="1">
      <c r="A30" s="296"/>
      <c r="B30" s="638" t="s">
        <v>155</v>
      </c>
      <c r="C30" s="639"/>
      <c r="D30" s="640">
        <v>10615</v>
      </c>
      <c r="E30" s="640">
        <v>11013</v>
      </c>
      <c r="F30" s="640">
        <v>12428</v>
      </c>
      <c r="G30" s="640">
        <v>12974</v>
      </c>
      <c r="H30" s="641">
        <f>+D30+E30+F30+G30</f>
        <v>47030</v>
      </c>
      <c r="I30" s="640">
        <v>13645</v>
      </c>
      <c r="J30" s="640">
        <v>14639</v>
      </c>
      <c r="K30" s="640">
        <v>16240</v>
      </c>
      <c r="L30" s="640">
        <v>18883</v>
      </c>
      <c r="M30" s="641">
        <f>+I30+J30+K30+L30</f>
        <v>63407</v>
      </c>
      <c r="N30" s="640">
        <v>20145</v>
      </c>
      <c r="O30" s="640">
        <v>21456</v>
      </c>
      <c r="P30" s="640">
        <v>23108</v>
      </c>
      <c r="Q30" s="640">
        <v>24695</v>
      </c>
      <c r="R30" s="641">
        <f>+N30+O30+P30+Q30</f>
        <v>89404</v>
      </c>
      <c r="S30" s="640">
        <v>25942</v>
      </c>
      <c r="T30" s="640">
        <v>27168</v>
      </c>
      <c r="U30" s="640">
        <v>29626</v>
      </c>
      <c r="V30" s="640">
        <v>34012</v>
      </c>
      <c r="W30" s="641">
        <f>+S30+T30+U30+V30</f>
        <v>116748</v>
      </c>
      <c r="X30" s="640">
        <v>35279</v>
      </c>
      <c r="Y30" s="640">
        <v>39043</v>
      </c>
      <c r="Z30" s="640">
        <v>43829</v>
      </c>
      <c r="AA30" s="640">
        <v>50420</v>
      </c>
      <c r="AB30" s="641">
        <f>+X30+Y30+Z30+AA30</f>
        <v>168571</v>
      </c>
      <c r="AC30" s="680">
        <v>56288</v>
      </c>
      <c r="AD30" s="680">
        <v>63207</v>
      </c>
      <c r="AE30" s="680">
        <v>67298</v>
      </c>
      <c r="AF30" s="680">
        <v>74326</v>
      </c>
      <c r="AG30" s="682">
        <f>+AC30+AD30+AE30+AF30</f>
        <v>261119</v>
      </c>
      <c r="AH30" s="680">
        <f>87549-AH34</f>
        <v>78756.56</v>
      </c>
      <c r="AI30" s="680">
        <f>AI39-AI34</f>
        <v>84280</v>
      </c>
      <c r="AJ30" s="680">
        <f>AJ39-AJ34</f>
        <v>90816</v>
      </c>
      <c r="AK30" s="680">
        <f>AK39-AK34</f>
        <v>96641</v>
      </c>
      <c r="AL30" s="651">
        <f>+AH30+AI30+AJ30+AK30</f>
        <v>350493.56</v>
      </c>
      <c r="AM30" s="680">
        <f>AM39-AM34</f>
        <v>101542</v>
      </c>
      <c r="AN30" s="640">
        <f>+AN39-AN34</f>
        <v>111323</v>
      </c>
      <c r="AO30" s="640">
        <f>+AO39-AO34</f>
        <v>123638.29</v>
      </c>
      <c r="AP30" s="640">
        <f>+AP39-AP34</f>
        <v>133751.29</v>
      </c>
      <c r="AQ30" s="641">
        <f>+AM30+AN30+AO30+AP30</f>
        <v>470254.57999999996</v>
      </c>
      <c r="AR30" s="640">
        <f>+AR39-AR34</f>
        <v>141591.72</v>
      </c>
      <c r="AS30" s="640">
        <f>+AS39-AS34</f>
        <v>151610.96</v>
      </c>
      <c r="AT30" s="640">
        <f>+AT39-AT34</f>
        <v>159210.61129999999</v>
      </c>
      <c r="AU30" s="640">
        <f>+AU39-AU34</f>
        <v>165606.61129999999</v>
      </c>
      <c r="AV30" s="641">
        <f>+AR30+AS30+AT30+AU30</f>
        <v>618019.90259999991</v>
      </c>
      <c r="AW30" s="640">
        <f>+AW39-AW34</f>
        <v>166636.05119999999</v>
      </c>
      <c r="AX30" s="640">
        <f>+AX39-AX34</f>
        <v>174415.29120000001</v>
      </c>
      <c r="AY30" s="640">
        <f>+AY39-AY34</f>
        <v>182809.172961</v>
      </c>
      <c r="AZ30" s="640">
        <f>+AZ39-AZ34</f>
        <v>187752.172961</v>
      </c>
      <c r="BA30" s="641">
        <f>+AW30+AX30+AY30+AZ30</f>
        <v>711612.68832199997</v>
      </c>
      <c r="BB30" s="640">
        <f>+BB39-BB34</f>
        <v>190067.48915199999</v>
      </c>
      <c r="BC30" s="640">
        <f>+BC39-BC34</f>
        <v>193145.57664000001</v>
      </c>
      <c r="BD30" s="640">
        <f>+BD39-BD34</f>
        <v>198738.17777216999</v>
      </c>
      <c r="BE30" s="640">
        <f>+BE39-BE34</f>
        <v>199473.17777216999</v>
      </c>
      <c r="BF30" s="641">
        <f>+BB30+BC30+BD30+BE30</f>
        <v>781424.42133634002</v>
      </c>
      <c r="BG30" s="640">
        <f>+BG39-BG34</f>
        <v>197358.50958591999</v>
      </c>
      <c r="BH30" s="640">
        <f>+BH39-BH34</f>
        <v>201452.4335744</v>
      </c>
      <c r="BI30" s="640">
        <f>+BI39-BI34</f>
        <v>203496.8224390049</v>
      </c>
      <c r="BJ30" s="640">
        <f>+BJ39-BJ34</f>
        <v>202497.8224390049</v>
      </c>
      <c r="BK30" s="641">
        <f>+BG30+BH30+BI30+BJ30</f>
        <v>804805.58803832973</v>
      </c>
      <c r="BL30" s="640">
        <f>+BL39-BL34</f>
        <v>196601.89420248321</v>
      </c>
      <c r="BM30" s="640">
        <f>+BM39-BM34</f>
        <v>197556.27623142401</v>
      </c>
      <c r="BN30" s="640">
        <f>+BN39-BN34</f>
        <v>197391.91776583475</v>
      </c>
      <c r="BO30" s="640">
        <f>+BO39-BO34</f>
        <v>198514.35776583475</v>
      </c>
      <c r="BP30" s="641">
        <f>+BL30+BM30+BN30+BO30</f>
        <v>790064.44596557668</v>
      </c>
      <c r="BQ30" s="640">
        <f>+BQ39-BQ34</f>
        <v>200912.73793438388</v>
      </c>
      <c r="BR30" s="640">
        <f>+BR39-BR34</f>
        <v>201890.12878216704</v>
      </c>
      <c r="BS30" s="640">
        <f>+BS39-BS34</f>
        <v>201662.24123285973</v>
      </c>
      <c r="BT30" s="640">
        <f>+BT39-BT34</f>
        <v>202807.13003285971</v>
      </c>
      <c r="BU30" s="641">
        <f>+BQ30+BR30+BS30+BT30</f>
        <v>807272.23798227031</v>
      </c>
    </row>
    <row r="31" spans="1:73" ht="12.75" hidden="1" outlineLevel="1">
      <c r="B31" s="642" t="s">
        <v>244</v>
      </c>
      <c r="C31" s="625"/>
      <c r="D31" s="626">
        <f t="shared" ref="D31:AI31" si="42">+D30/D$52</f>
        <v>0.63426147227533458</v>
      </c>
      <c r="E31" s="626">
        <f t="shared" si="42"/>
        <v>0.61593959731543624</v>
      </c>
      <c r="F31" s="626">
        <f t="shared" si="42"/>
        <v>0.61134340105268337</v>
      </c>
      <c r="G31" s="626">
        <f t="shared" si="42"/>
        <v>0.59147481194438112</v>
      </c>
      <c r="H31" s="627">
        <f t="shared" si="42"/>
        <v>0.61173257023933403</v>
      </c>
      <c r="I31" s="626">
        <f t="shared" si="42"/>
        <v>0.57888931313902681</v>
      </c>
      <c r="J31" s="626">
        <f t="shared" si="42"/>
        <v>0.56762310973245445</v>
      </c>
      <c r="K31" s="626">
        <f t="shared" si="42"/>
        <v>0.57360836394461712</v>
      </c>
      <c r="L31" s="626">
        <f t="shared" si="42"/>
        <v>0.57477247131160014</v>
      </c>
      <c r="M31" s="627">
        <f t="shared" si="42"/>
        <v>0.57368402004958108</v>
      </c>
      <c r="N31" s="626">
        <f t="shared" si="42"/>
        <v>0.57894585584549951</v>
      </c>
      <c r="O31" s="626">
        <f t="shared" si="42"/>
        <v>0.57572179886229469</v>
      </c>
      <c r="P31" s="626">
        <f t="shared" si="42"/>
        <v>0.5728451374600263</v>
      </c>
      <c r="Q31" s="626">
        <f t="shared" si="42"/>
        <v>0.54836345872007819</v>
      </c>
      <c r="R31" s="627">
        <f t="shared" si="42"/>
        <v>0.56787159308167712</v>
      </c>
      <c r="S31" s="626">
        <f t="shared" si="42"/>
        <v>0.5733672228975577</v>
      </c>
      <c r="T31" s="626">
        <f t="shared" si="42"/>
        <v>0.57264506881942545</v>
      </c>
      <c r="U31" s="626">
        <f t="shared" si="42"/>
        <v>0.58640961184457951</v>
      </c>
      <c r="V31" s="626">
        <f t="shared" si="42"/>
        <v>0.58914621260674505</v>
      </c>
      <c r="W31" s="627">
        <f t="shared" si="42"/>
        <v>0.58100925649447599</v>
      </c>
      <c r="X31" s="626">
        <f t="shared" si="42"/>
        <v>0.647142988168394</v>
      </c>
      <c r="Y31" s="626">
        <f t="shared" si="42"/>
        <v>0.6680754949436184</v>
      </c>
      <c r="Z31" s="626">
        <f t="shared" si="42"/>
        <v>0.70278200913974187</v>
      </c>
      <c r="AA31" s="626">
        <f t="shared" si="42"/>
        <v>0.7331685327904609</v>
      </c>
      <c r="AB31" s="627">
        <f t="shared" si="42"/>
        <v>0.69060719158018935</v>
      </c>
      <c r="AC31" s="681">
        <f t="shared" si="42"/>
        <v>0.76911935505909679</v>
      </c>
      <c r="AD31" s="681">
        <f t="shared" si="42"/>
        <v>0.80050405906863054</v>
      </c>
      <c r="AE31" s="681">
        <f t="shared" si="42"/>
        <v>0.80930791894654563</v>
      </c>
      <c r="AF31" s="681">
        <f t="shared" si="42"/>
        <v>0.81099423882681565</v>
      </c>
      <c r="AG31" s="683">
        <f t="shared" si="42"/>
        <v>0.79865849816636947</v>
      </c>
      <c r="AH31" s="681">
        <f t="shared" si="42"/>
        <v>0.83481619673521301</v>
      </c>
      <c r="AI31" s="681">
        <f t="shared" si="42"/>
        <v>0.85207052733743127</v>
      </c>
      <c r="AJ31" s="681">
        <f t="shared" ref="AJ31:BO31" si="43">+AJ30/AJ$52</f>
        <v>0.86429693076374015</v>
      </c>
      <c r="AK31" s="681">
        <f t="shared" si="43"/>
        <v>0.85402840251327783</v>
      </c>
      <c r="AL31" s="648">
        <f t="shared" si="43"/>
        <v>0.85177517582615203</v>
      </c>
      <c r="AM31" s="681">
        <f t="shared" si="43"/>
        <v>0.86454776885679985</v>
      </c>
      <c r="AN31" s="626">
        <f t="shared" si="43"/>
        <v>0.88057363887328843</v>
      </c>
      <c r="AO31" s="626">
        <f t="shared" si="43"/>
        <v>0.88379980556707216</v>
      </c>
      <c r="AP31" s="626">
        <f t="shared" si="43"/>
        <v>0.88204335324918559</v>
      </c>
      <c r="AQ31" s="627">
        <f t="shared" si="43"/>
        <v>0.87831727069652066</v>
      </c>
      <c r="AR31" s="626">
        <f t="shared" si="43"/>
        <v>0.89965765262034258</v>
      </c>
      <c r="AS31" s="626">
        <f t="shared" si="43"/>
        <v>0.90538329700516551</v>
      </c>
      <c r="AT31" s="626">
        <f t="shared" si="43"/>
        <v>0.90581521520211639</v>
      </c>
      <c r="AU31" s="626">
        <f t="shared" si="43"/>
        <v>0.89769898633448786</v>
      </c>
      <c r="AV31" s="627">
        <f t="shared" si="43"/>
        <v>0.90210952921032916</v>
      </c>
      <c r="AW31" s="626">
        <f t="shared" si="43"/>
        <v>0.90971454027318277</v>
      </c>
      <c r="AX31" s="626">
        <f t="shared" si="43"/>
        <v>0.9159408639758011</v>
      </c>
      <c r="AY31" s="626">
        <f t="shared" si="43"/>
        <v>0.91936438778835561</v>
      </c>
      <c r="AZ31" s="626">
        <f t="shared" si="43"/>
        <v>0.91466849660443905</v>
      </c>
      <c r="BA31" s="627">
        <f t="shared" si="43"/>
        <v>0.91501386553290631</v>
      </c>
      <c r="BB31" s="626">
        <f t="shared" si="43"/>
        <v>0.92670191345727226</v>
      </c>
      <c r="BC31" s="626">
        <f t="shared" si="43"/>
        <v>0.92862468395267106</v>
      </c>
      <c r="BD31" s="626">
        <f t="shared" si="43"/>
        <v>0.92585359588999039</v>
      </c>
      <c r="BE31" s="626">
        <f t="shared" si="43"/>
        <v>0.92237240081276783</v>
      </c>
      <c r="BF31" s="627">
        <f t="shared" si="43"/>
        <v>0.92585064026286512</v>
      </c>
      <c r="BG31" s="626">
        <f t="shared" si="43"/>
        <v>0.93867155087404219</v>
      </c>
      <c r="BH31" s="626">
        <f t="shared" si="43"/>
        <v>0.94051828759296519</v>
      </c>
      <c r="BI31" s="626">
        <f t="shared" si="43"/>
        <v>0.93364297320152734</v>
      </c>
      <c r="BJ31" s="626">
        <f t="shared" si="43"/>
        <v>0.93150414208238219</v>
      </c>
      <c r="BK31" s="627">
        <f t="shared" si="43"/>
        <v>0.93604466655772167</v>
      </c>
      <c r="BL31" s="626">
        <f t="shared" si="43"/>
        <v>0.94533901125504305</v>
      </c>
      <c r="BM31" s="626">
        <f t="shared" si="43"/>
        <v>0.94554492926622025</v>
      </c>
      <c r="BN31" s="626">
        <f t="shared" si="43"/>
        <v>0.93884786077959304</v>
      </c>
      <c r="BO31" s="626">
        <f t="shared" si="43"/>
        <v>0.93761941510115898</v>
      </c>
      <c r="BP31" s="627">
        <f t="shared" ref="BP31:BT31" si="44">+BP30/BP$52</f>
        <v>0.94181507300057077</v>
      </c>
      <c r="BQ31" s="626">
        <f t="shared" si="44"/>
        <v>0.94984056553781337</v>
      </c>
      <c r="BR31" s="626">
        <f t="shared" si="44"/>
        <v>0.95001482284829541</v>
      </c>
      <c r="BS31" s="626">
        <f t="shared" si="44"/>
        <v>0.9437352514592946</v>
      </c>
      <c r="BT31" s="626">
        <f t="shared" si="44"/>
        <v>0.94265236122851725</v>
      </c>
      <c r="BU31" s="627">
        <f t="shared" ref="BU31" si="45">+BU30/BU$52</f>
        <v>0.94654099408272996</v>
      </c>
    </row>
    <row r="32" spans="1:73" s="3" customFormat="1" ht="13.35" hidden="1" customHeight="1" outlineLevel="1">
      <c r="B32" s="643" t="s">
        <v>243</v>
      </c>
      <c r="C32" s="630"/>
      <c r="D32" s="628"/>
      <c r="E32" s="628"/>
      <c r="F32" s="628"/>
      <c r="G32" s="628"/>
      <c r="H32" s="631"/>
      <c r="I32" s="632">
        <f>+I30/D30-1</f>
        <v>0.28544512482336315</v>
      </c>
      <c r="J32" s="632">
        <f>+J30/E30-1</f>
        <v>0.32924725324616366</v>
      </c>
      <c r="K32" s="632">
        <f>+K30/F30-1</f>
        <v>0.30672674605729</v>
      </c>
      <c r="L32" s="632">
        <f>+L30/G30-1</f>
        <v>0.45544936025897953</v>
      </c>
      <c r="M32" s="633">
        <f t="shared" ref="M32:R32" si="46">+M30/H30-1</f>
        <v>0.34822453752923677</v>
      </c>
      <c r="N32" s="632">
        <f t="shared" si="46"/>
        <v>0.47636496885305979</v>
      </c>
      <c r="O32" s="632">
        <f t="shared" si="46"/>
        <v>0.46567388482819871</v>
      </c>
      <c r="P32" s="632">
        <f t="shared" si="46"/>
        <v>0.42290640394088674</v>
      </c>
      <c r="Q32" s="632">
        <f t="shared" si="46"/>
        <v>0.30779007572949224</v>
      </c>
      <c r="R32" s="633">
        <f t="shared" si="46"/>
        <v>0.41000205024681824</v>
      </c>
      <c r="S32" s="644">
        <f t="shared" ref="S32:AA32" si="47">+S30/N30-1</f>
        <v>0.28776371308016868</v>
      </c>
      <c r="T32" s="644">
        <f t="shared" si="47"/>
        <v>0.26621923937360181</v>
      </c>
      <c r="U32" s="644">
        <f t="shared" si="47"/>
        <v>0.28206681668686162</v>
      </c>
      <c r="V32" s="644">
        <f t="shared" si="47"/>
        <v>0.37728285077951007</v>
      </c>
      <c r="W32" s="633">
        <f t="shared" si="47"/>
        <v>0.30584761308218877</v>
      </c>
      <c r="X32" s="644">
        <f t="shared" si="47"/>
        <v>0.35991827923830089</v>
      </c>
      <c r="Y32" s="644">
        <f t="shared" si="47"/>
        <v>0.43709511189634864</v>
      </c>
      <c r="Z32" s="644">
        <f t="shared" si="47"/>
        <v>0.4794099777222709</v>
      </c>
      <c r="AA32" s="644">
        <f t="shared" si="47"/>
        <v>0.4824179701281901</v>
      </c>
      <c r="AB32" s="633">
        <f t="shared" ref="AB32:AP32" si="48">+AB30/W30-1</f>
        <v>0.44388768972487758</v>
      </c>
      <c r="AC32" s="360">
        <f t="shared" si="48"/>
        <v>0.59551007681623624</v>
      </c>
      <c r="AD32" s="360">
        <f t="shared" si="48"/>
        <v>0.61890735855338974</v>
      </c>
      <c r="AE32" s="360">
        <f t="shared" si="48"/>
        <v>0.53546738460836441</v>
      </c>
      <c r="AF32" s="360">
        <f t="shared" si="48"/>
        <v>0.47413724712415717</v>
      </c>
      <c r="AG32" s="463">
        <f t="shared" si="48"/>
        <v>0.54901495512276721</v>
      </c>
      <c r="AH32" s="360">
        <f t="shared" si="48"/>
        <v>0.39917140420693564</v>
      </c>
      <c r="AI32" s="360">
        <f>+AI30/AD30-1</f>
        <v>0.33339661746325566</v>
      </c>
      <c r="AJ32" s="360">
        <f>+AJ30/AE30-1</f>
        <v>0.34946060804184365</v>
      </c>
      <c r="AK32" s="360">
        <f>+AK30/AF30-1</f>
        <v>0.30023141296450762</v>
      </c>
      <c r="AL32" s="649">
        <f>+AL30/AG30-1</f>
        <v>0.34227520785542231</v>
      </c>
      <c r="AM32" s="360">
        <f>+AM30/AH30-1</f>
        <v>0.28931482025116395</v>
      </c>
      <c r="AN32" s="632">
        <f t="shared" si="48"/>
        <v>0.32087090650213579</v>
      </c>
      <c r="AO32" s="632">
        <f t="shared" si="48"/>
        <v>0.36141527924594774</v>
      </c>
      <c r="AP32" s="632">
        <f t="shared" si="48"/>
        <v>0.38400151074595668</v>
      </c>
      <c r="AQ32" s="633">
        <f t="shared" ref="AQ32:BP32" si="49">+AQ30/AL30-1</f>
        <v>0.34169249785930433</v>
      </c>
      <c r="AR32" s="632">
        <f t="shared" si="49"/>
        <v>0.39441531582990286</v>
      </c>
      <c r="AS32" s="632">
        <f t="shared" si="49"/>
        <v>0.36190149385122572</v>
      </c>
      <c r="AT32" s="632">
        <f t="shared" si="49"/>
        <v>0.28771282181272473</v>
      </c>
      <c r="AU32" s="632">
        <f t="shared" si="49"/>
        <v>0.23816832944190658</v>
      </c>
      <c r="AV32" s="633">
        <f t="shared" si="49"/>
        <v>0.31422410091146791</v>
      </c>
      <c r="AW32" s="632">
        <f t="shared" si="49"/>
        <v>0.1768770885755182</v>
      </c>
      <c r="AX32" s="632">
        <f t="shared" si="49"/>
        <v>0.15041347406546346</v>
      </c>
      <c r="AY32" s="632">
        <f t="shared" si="49"/>
        <v>0.14822229164445155</v>
      </c>
      <c r="AZ32" s="632">
        <f t="shared" si="49"/>
        <v>0.13372389838279375</v>
      </c>
      <c r="BA32" s="633">
        <f t="shared" si="49"/>
        <v>0.15143975999519865</v>
      </c>
      <c r="BB32" s="632">
        <f t="shared" si="49"/>
        <v>0.14061445757543267</v>
      </c>
      <c r="BC32" s="632">
        <f t="shared" si="49"/>
        <v>0.10738900993790845</v>
      </c>
      <c r="BD32" s="632">
        <f t="shared" si="49"/>
        <v>8.7134603549507084E-2</v>
      </c>
      <c r="BE32" s="632">
        <f t="shared" si="49"/>
        <v>6.242806475323559E-2</v>
      </c>
      <c r="BF32" s="633">
        <f t="shared" si="49"/>
        <v>9.8103552901730673E-2</v>
      </c>
      <c r="BG32" s="632">
        <f t="shared" si="49"/>
        <v>3.8360165993928996E-2</v>
      </c>
      <c r="BH32" s="632">
        <f t="shared" si="49"/>
        <v>4.3008269093746554E-2</v>
      </c>
      <c r="BI32" s="632">
        <f t="shared" si="49"/>
        <v>2.3944290524239964E-2</v>
      </c>
      <c r="BJ32" s="632">
        <f t="shared" si="49"/>
        <v>1.5163164795467088E-2</v>
      </c>
      <c r="BK32" s="633">
        <f t="shared" si="49"/>
        <v>2.9921213189120444E-2</v>
      </c>
      <c r="BL32" s="632">
        <f t="shared" si="49"/>
        <v>-3.83371046439418E-3</v>
      </c>
      <c r="BM32" s="632">
        <f t="shared" si="49"/>
        <v>-1.9340333962940548E-2</v>
      </c>
      <c r="BN32" s="632">
        <f t="shared" si="49"/>
        <v>-3.0000000000000027E-2</v>
      </c>
      <c r="BO32" s="632">
        <f t="shared" si="49"/>
        <v>-1.9671642021582891E-2</v>
      </c>
      <c r="BP32" s="633">
        <f t="shared" si="49"/>
        <v>-1.8316401242545743E-2</v>
      </c>
      <c r="BQ32" s="632">
        <f t="shared" ref="BQ32" si="50">+BQ30/BL30-1</f>
        <v>2.1926766013052212E-2</v>
      </c>
      <c r="BR32" s="632">
        <f t="shared" ref="BR32" si="51">+BR30/BM30-1</f>
        <v>2.1937306338302376E-2</v>
      </c>
      <c r="BS32" s="632">
        <f t="shared" ref="BS32" si="52">+BS30/BN30-1</f>
        <v>2.1633730070401702E-2</v>
      </c>
      <c r="BT32" s="632">
        <f t="shared" ref="BT32" si="53">+BT30/BO30-1</f>
        <v>2.1624492632863701E-2</v>
      </c>
      <c r="BU32" s="633">
        <f t="shared" ref="BU32" si="54">+BU30/BP30-1</f>
        <v>2.1780238440755495E-2</v>
      </c>
    </row>
    <row r="33" spans="1:73" s="3" customFormat="1" ht="13.35" hidden="1" customHeight="1" outlineLevel="1">
      <c r="B33" s="643" t="s">
        <v>245</v>
      </c>
      <c r="C33" s="630"/>
      <c r="D33" s="634"/>
      <c r="E33" s="635">
        <f>+E30/D30-1</f>
        <v>3.7494112105511013E-2</v>
      </c>
      <c r="F33" s="635">
        <f>+F30/E30-1</f>
        <v>0.1284845182965586</v>
      </c>
      <c r="G33" s="635">
        <f>+G30/F30-1</f>
        <v>4.3933054393305415E-2</v>
      </c>
      <c r="H33" s="636"/>
      <c r="I33" s="635">
        <f>+I30/G30-1</f>
        <v>5.1718822259904318E-2</v>
      </c>
      <c r="J33" s="635">
        <f>+J30/I30-1</f>
        <v>7.2847196775375656E-2</v>
      </c>
      <c r="K33" s="635">
        <f>+K30/J30-1</f>
        <v>0.10936539381105259</v>
      </c>
      <c r="L33" s="635">
        <f>+L30/K30-1</f>
        <v>0.16274630541871926</v>
      </c>
      <c r="M33" s="636"/>
      <c r="N33" s="635">
        <f>+N30/L30-1</f>
        <v>6.683260075199926E-2</v>
      </c>
      <c r="O33" s="635">
        <f>+O30/N30-1</f>
        <v>6.5078183172002868E-2</v>
      </c>
      <c r="P33" s="635">
        <f>+P30/O30-1</f>
        <v>7.6994780014914221E-2</v>
      </c>
      <c r="Q33" s="635">
        <f>+Q30/P30-1</f>
        <v>6.8677514280768515E-2</v>
      </c>
      <c r="R33" s="636"/>
      <c r="S33" s="635">
        <f>+S30/Q30-1</f>
        <v>5.0496051832354727E-2</v>
      </c>
      <c r="T33" s="635">
        <f>+T30/S30-1</f>
        <v>4.725927068074931E-2</v>
      </c>
      <c r="U33" s="635">
        <f>+U30/T30-1</f>
        <v>9.047408716136629E-2</v>
      </c>
      <c r="V33" s="635">
        <f>+V30/U30-1</f>
        <v>0.14804563559035988</v>
      </c>
      <c r="W33" s="636"/>
      <c r="X33" s="635">
        <f>+X30/V30-1</f>
        <v>3.7251558273550422E-2</v>
      </c>
      <c r="Y33" s="635">
        <f>+Y30/X30-1</f>
        <v>0.10669236656367809</v>
      </c>
      <c r="Z33" s="635">
        <f>+Z30/Y30-1</f>
        <v>0.12258279333043065</v>
      </c>
      <c r="AA33" s="635">
        <f>+AA30/Z30-1</f>
        <v>0.15037988546396219</v>
      </c>
      <c r="AB33" s="636"/>
      <c r="AC33" s="358">
        <f>+AC30/AA30-1</f>
        <v>0.11638238794129308</v>
      </c>
      <c r="AD33" s="358">
        <f>+AD30/AC30-1</f>
        <v>0.12292140420693576</v>
      </c>
      <c r="AE33" s="358">
        <f>+AE30/AD30-1</f>
        <v>6.4723843878051524E-2</v>
      </c>
      <c r="AF33" s="358">
        <f>+AF30/AE30-1</f>
        <v>0.10443103806948195</v>
      </c>
      <c r="AG33" s="441"/>
      <c r="AH33" s="358">
        <f>+AH30/AF30-1</f>
        <v>5.960982697844619E-2</v>
      </c>
      <c r="AI33" s="358">
        <f>+AI30/AH30-1</f>
        <v>7.0133078438164409E-2</v>
      </c>
      <c r="AJ33" s="358">
        <f>+AJ30/AI30-1</f>
        <v>7.7551020408163307E-2</v>
      </c>
      <c r="AK33" s="358">
        <f>+AK30/AJ30-1</f>
        <v>6.4140680056377741E-2</v>
      </c>
      <c r="AL33" s="650"/>
      <c r="AM33" s="358">
        <f>+AM30/AL30-1</f>
        <v>-0.71028854281944587</v>
      </c>
      <c r="AN33" s="635">
        <f>+AN30/AM30-1</f>
        <v>9.6324673534104122E-2</v>
      </c>
      <c r="AO33" s="635">
        <f>+AO30/AN30-1</f>
        <v>0.11062664498800778</v>
      </c>
      <c r="AP33" s="635">
        <f>+AP30/AO30-1</f>
        <v>8.1795049090374938E-2</v>
      </c>
      <c r="AQ33" s="631"/>
      <c r="AR33" s="635">
        <f>+AR30/AP30-1</f>
        <v>5.8619472006587792E-2</v>
      </c>
      <c r="AS33" s="635">
        <f>+AS30/AR30-1</f>
        <v>7.0761482380466756E-2</v>
      </c>
      <c r="AT33" s="635">
        <f>+AT30/AS30-1</f>
        <v>5.0126002104333267E-2</v>
      </c>
      <c r="AU33" s="635">
        <f>+AU30/AT30-1</f>
        <v>4.0173201696638516E-2</v>
      </c>
      <c r="AV33" s="631"/>
      <c r="AW33" s="635">
        <f>+AW30/AU30-1</f>
        <v>6.2161763465780062E-3</v>
      </c>
      <c r="AX33" s="635">
        <f>+AX30/AW30-1</f>
        <v>4.6684015517525879E-2</v>
      </c>
      <c r="AY33" s="635">
        <f>+AY30/AX30-1</f>
        <v>4.8125836348688278E-2</v>
      </c>
      <c r="AZ33" s="635">
        <f>+AZ30/AY30-1</f>
        <v>2.7039124568735584E-2</v>
      </c>
      <c r="BA33" s="631"/>
      <c r="BB33" s="635">
        <f>+BB30/AZ30-1</f>
        <v>1.2331767747268296E-2</v>
      </c>
      <c r="BC33" s="635">
        <f>+BC30/BB30-1</f>
        <v>1.6194708004683589E-2</v>
      </c>
      <c r="BD33" s="635">
        <f>+BD30/BC30-1</f>
        <v>2.8955367394169818E-2</v>
      </c>
      <c r="BE33" s="635">
        <f>+BE30/BD30-1</f>
        <v>3.6983331951578879E-3</v>
      </c>
      <c r="BF33" s="631"/>
      <c r="BG33" s="635">
        <f>+BG30/BE30-1</f>
        <v>-1.0601265843697916E-2</v>
      </c>
      <c r="BH33" s="635">
        <f>+BH30/BG30-1</f>
        <v>2.0743589911929927E-2</v>
      </c>
      <c r="BI33" s="635">
        <f>+BI30/BH30-1</f>
        <v>1.0148246056555399E-2</v>
      </c>
      <c r="BJ33" s="635">
        <f>+BJ30/BI30-1</f>
        <v>-4.9091675635349885E-3</v>
      </c>
      <c r="BK33" s="631"/>
      <c r="BL33" s="635">
        <f>+BL30/BJ30-1</f>
        <v>-2.91160080908901E-2</v>
      </c>
      <c r="BM33" s="635">
        <f>+BM30/BL30-1</f>
        <v>4.8543887779528561E-3</v>
      </c>
      <c r="BN33" s="635">
        <f>+BN30/BM30-1</f>
        <v>-8.3195770200050756E-4</v>
      </c>
      <c r="BO33" s="635">
        <f>+BO30/BN30-1</f>
        <v>5.6863523730061871E-3</v>
      </c>
      <c r="BP33" s="631"/>
      <c r="BQ33" s="635">
        <f>+BQ30/BO30-1</f>
        <v>1.2081645859481016E-2</v>
      </c>
      <c r="BR33" s="635">
        <f>+BR30/BQ30-1</f>
        <v>4.8647530158210106E-3</v>
      </c>
      <c r="BS33" s="635">
        <f>+BS30/BR30-1</f>
        <v>-1.1287701418686291E-3</v>
      </c>
      <c r="BT33" s="635">
        <f>+BT30/BS30-1</f>
        <v>5.6772591289311336E-3</v>
      </c>
      <c r="BU33" s="631"/>
    </row>
    <row r="34" spans="1:73" ht="11.25" hidden="1" customHeight="1" outlineLevel="1">
      <c r="A34" s="296"/>
      <c r="B34" s="646" t="s">
        <v>156</v>
      </c>
      <c r="C34" s="639"/>
      <c r="D34" s="640">
        <v>4145</v>
      </c>
      <c r="E34" s="640">
        <v>4474</v>
      </c>
      <c r="F34" s="640">
        <v>5011</v>
      </c>
      <c r="G34" s="640">
        <v>5386</v>
      </c>
      <c r="H34" s="641">
        <f>+D34+E34+F34+G34</f>
        <v>19016</v>
      </c>
      <c r="I34" s="640">
        <v>5799</v>
      </c>
      <c r="J34" s="640">
        <v>6253</v>
      </c>
      <c r="K34" s="640">
        <v>7002</v>
      </c>
      <c r="L34" s="640">
        <v>7849</v>
      </c>
      <c r="M34" s="641">
        <f>+I34+J34+K34+L34</f>
        <v>26903</v>
      </c>
      <c r="N34" s="640">
        <v>8381</v>
      </c>
      <c r="O34" s="640">
        <v>8962</v>
      </c>
      <c r="P34" s="640">
        <v>9694</v>
      </c>
      <c r="Q34" s="640">
        <v>10366</v>
      </c>
      <c r="R34" s="641">
        <f>+N34+O34+P34+Q34</f>
        <v>37403</v>
      </c>
      <c r="S34" s="640">
        <v>10802</v>
      </c>
      <c r="T34" s="640">
        <v>11338</v>
      </c>
      <c r="U34" s="640">
        <v>11654</v>
      </c>
      <c r="V34" s="640">
        <v>12474</v>
      </c>
      <c r="W34" s="641">
        <f>+S34+T34+U34+V34</f>
        <v>46268</v>
      </c>
      <c r="X34" s="640">
        <v>10753</v>
      </c>
      <c r="Y34" s="640">
        <v>10610</v>
      </c>
      <c r="Z34" s="640">
        <v>10614</v>
      </c>
      <c r="AA34" s="640">
        <v>10246</v>
      </c>
      <c r="AB34" s="641">
        <f>+X34+Y34+Z34+AA34</f>
        <v>42223</v>
      </c>
      <c r="AC34" s="680">
        <v>9557</v>
      </c>
      <c r="AD34" s="680">
        <v>9372</v>
      </c>
      <c r="AE34" s="680">
        <v>9178</v>
      </c>
      <c r="AF34" s="680">
        <v>8671</v>
      </c>
      <c r="AG34" s="682">
        <f>+AC34+AD34+AE34+AF34</f>
        <v>36778</v>
      </c>
      <c r="AH34" s="680">
        <v>8792.44</v>
      </c>
      <c r="AI34" s="680">
        <f>8150</f>
        <v>8150</v>
      </c>
      <c r="AJ34" s="680">
        <f>7743</f>
        <v>7743</v>
      </c>
      <c r="AK34" s="680">
        <f>7743</f>
        <v>7743</v>
      </c>
      <c r="AL34" s="651">
        <f>+AH34+AI34+AJ34+AK34</f>
        <v>32428.440000000002</v>
      </c>
      <c r="AM34" s="680">
        <f>7743</f>
        <v>7743</v>
      </c>
      <c r="AN34" s="640">
        <f>AI34*(1+AN36)</f>
        <v>7824</v>
      </c>
      <c r="AO34" s="640">
        <f>AJ34*(1+AO36)</f>
        <v>7510.71</v>
      </c>
      <c r="AP34" s="640">
        <f>AK34*(1+AP36)</f>
        <v>7510.71</v>
      </c>
      <c r="AQ34" s="641">
        <f>+AM34+AN34+AO34+AP34</f>
        <v>30588.42</v>
      </c>
      <c r="AR34" s="640">
        <f>AM34*(1+AR36)</f>
        <v>7433.28</v>
      </c>
      <c r="AS34" s="640">
        <f>AN34*(1+AS36)</f>
        <v>7511.04</v>
      </c>
      <c r="AT34" s="640">
        <f>AO34*(1+AT36)</f>
        <v>7285.3886999999995</v>
      </c>
      <c r="AU34" s="640">
        <f>AP34*(1+AU36)</f>
        <v>7285.3886999999995</v>
      </c>
      <c r="AV34" s="641">
        <f>+AR34+AS34+AT34+AU34</f>
        <v>29515.097399999999</v>
      </c>
      <c r="AW34" s="640">
        <f>AR34*(1+AW36)</f>
        <v>7135.9487999999992</v>
      </c>
      <c r="AX34" s="640">
        <f>AS34*(1+AX36)</f>
        <v>7285.7087999999994</v>
      </c>
      <c r="AY34" s="640">
        <f>AT34*(1+AY36)</f>
        <v>7066.8270389999998</v>
      </c>
      <c r="AZ34" s="640">
        <f>AU34*(1+AZ36)</f>
        <v>7066.8270389999998</v>
      </c>
      <c r="BA34" s="641">
        <f>+AW34+AX34+AY34+AZ34</f>
        <v>28555.311677999998</v>
      </c>
      <c r="BB34" s="640">
        <f>AW34*(1+BB36)</f>
        <v>6850.510847999999</v>
      </c>
      <c r="BC34" s="640">
        <f>AX34*(1+BC36)</f>
        <v>6921.4233599999989</v>
      </c>
      <c r="BD34" s="640">
        <f>AY34*(1+BD36)</f>
        <v>6854.82222783</v>
      </c>
      <c r="BE34" s="640">
        <f>AZ34*(1+BE36)</f>
        <v>6854.82222783</v>
      </c>
      <c r="BF34" s="641">
        <f>+BB34+BC34+BD34+BE34</f>
        <v>27481.578663660002</v>
      </c>
      <c r="BG34" s="640">
        <f>BB34*(1+BG36)</f>
        <v>6576.490414079999</v>
      </c>
      <c r="BH34" s="640">
        <f>BC34*(1+BH36)</f>
        <v>6644.5664255999991</v>
      </c>
      <c r="BI34" s="640">
        <f>BD34*(1+BI36)</f>
        <v>6649.1775609951001</v>
      </c>
      <c r="BJ34" s="640">
        <f>BE34*(1+BJ36)</f>
        <v>6649.1775609951001</v>
      </c>
      <c r="BK34" s="641">
        <f>+BG34+BH34+BI34+BJ34</f>
        <v>26519.411961670197</v>
      </c>
      <c r="BL34" s="640">
        <f>BG34*(1+BL36)</f>
        <v>6313.4307975167985</v>
      </c>
      <c r="BM34" s="640">
        <f>BH34*(1+BM36)</f>
        <v>6378.7837685759987</v>
      </c>
      <c r="BN34" s="640">
        <f>BI34*(1+BN36)</f>
        <v>6449.7022341652473</v>
      </c>
      <c r="BO34" s="640">
        <f>BJ34*(1+BO36)</f>
        <v>6449.7022341652473</v>
      </c>
      <c r="BP34" s="641">
        <f>+BL34+BM34+BN34+BO34</f>
        <v>25591.619034423293</v>
      </c>
      <c r="BQ34" s="640">
        <f>BL34*(1+BQ36)</f>
        <v>6060.8935656161266</v>
      </c>
      <c r="BR34" s="640">
        <f>BM34*(1+BR36)</f>
        <v>6123.6324178329587</v>
      </c>
      <c r="BS34" s="640">
        <f>BN34*(1+BS36)</f>
        <v>6256.2111671402899</v>
      </c>
      <c r="BT34" s="640">
        <f>BO34*(1+BT36)</f>
        <v>6256.2111671402899</v>
      </c>
      <c r="BU34" s="641">
        <f>+BQ34+BR34+BS34+BT34</f>
        <v>24696.948317729664</v>
      </c>
    </row>
    <row r="35" spans="1:73" ht="12.75" hidden="1" outlineLevel="1">
      <c r="B35" s="642" t="s">
        <v>244</v>
      </c>
      <c r="C35" s="625"/>
      <c r="D35" s="626">
        <f t="shared" ref="D35:AI35" si="55">+D34/D$52</f>
        <v>0.24766969407265774</v>
      </c>
      <c r="E35" s="626">
        <f t="shared" si="55"/>
        <v>0.25022371364653245</v>
      </c>
      <c r="F35" s="626">
        <f t="shared" si="55"/>
        <v>0.24649515470510108</v>
      </c>
      <c r="G35" s="626">
        <f t="shared" si="55"/>
        <v>0.24554365169819922</v>
      </c>
      <c r="H35" s="627">
        <f t="shared" si="55"/>
        <v>0.24734651404786681</v>
      </c>
      <c r="I35" s="626">
        <f t="shared" si="55"/>
        <v>0.24602265495736286</v>
      </c>
      <c r="J35" s="626">
        <f t="shared" si="55"/>
        <v>0.24245831717720046</v>
      </c>
      <c r="K35" s="626">
        <f t="shared" si="55"/>
        <v>0.24731562588301781</v>
      </c>
      <c r="L35" s="626">
        <f t="shared" si="55"/>
        <v>0.23891273247496422</v>
      </c>
      <c r="M35" s="627">
        <f t="shared" si="55"/>
        <v>0.24340879069178292</v>
      </c>
      <c r="N35" s="626">
        <f t="shared" si="55"/>
        <v>0.24086101850787447</v>
      </c>
      <c r="O35" s="626">
        <f t="shared" si="55"/>
        <v>0.24047440163142642</v>
      </c>
      <c r="P35" s="626">
        <f t="shared" si="55"/>
        <v>0.24031334440615781</v>
      </c>
      <c r="Q35" s="626">
        <f t="shared" si="55"/>
        <v>0.23018164053825999</v>
      </c>
      <c r="R35" s="627">
        <f t="shared" si="55"/>
        <v>0.2375743948373</v>
      </c>
      <c r="S35" s="626">
        <f t="shared" si="55"/>
        <v>0.23874461266438279</v>
      </c>
      <c r="T35" s="626">
        <f t="shared" si="55"/>
        <v>0.23898151465969689</v>
      </c>
      <c r="U35" s="626">
        <f t="shared" si="55"/>
        <v>0.23067635240790957</v>
      </c>
      <c r="V35" s="626">
        <f t="shared" si="55"/>
        <v>0.21607108832343108</v>
      </c>
      <c r="W35" s="627">
        <f t="shared" si="55"/>
        <v>0.23025778839454564</v>
      </c>
      <c r="X35" s="626">
        <f t="shared" si="55"/>
        <v>0.19724846372558011</v>
      </c>
      <c r="Y35" s="626">
        <f t="shared" si="55"/>
        <v>0.18155062370595987</v>
      </c>
      <c r="Z35" s="626">
        <f t="shared" si="55"/>
        <v>0.17019161388599374</v>
      </c>
      <c r="AA35" s="626">
        <f t="shared" si="55"/>
        <v>0.14898938490620911</v>
      </c>
      <c r="AB35" s="627">
        <f t="shared" si="55"/>
        <v>0.17298056872232076</v>
      </c>
      <c r="AC35" s="681">
        <f t="shared" si="55"/>
        <v>0.13058686889389903</v>
      </c>
      <c r="AD35" s="681">
        <f t="shared" si="55"/>
        <v>0.1186945123418483</v>
      </c>
      <c r="AE35" s="681">
        <f t="shared" si="55"/>
        <v>0.1103721965005111</v>
      </c>
      <c r="AF35" s="681">
        <f t="shared" si="55"/>
        <v>9.4611993715083803E-2</v>
      </c>
      <c r="AG35" s="683">
        <f t="shared" si="55"/>
        <v>0.11248918020351922</v>
      </c>
      <c r="AH35" s="681">
        <f t="shared" si="55"/>
        <v>9.3199491202035203E-2</v>
      </c>
      <c r="AI35" s="681">
        <f t="shared" si="55"/>
        <v>8.2396473633128436E-2</v>
      </c>
      <c r="AJ35" s="681">
        <f t="shared" ref="AJ35:BO35" si="56">+AJ34/AJ$52</f>
        <v>7.369022127052105E-2</v>
      </c>
      <c r="AK35" s="681">
        <f t="shared" si="56"/>
        <v>6.8425843282460957E-2</v>
      </c>
      <c r="AL35" s="648">
        <f t="shared" si="56"/>
        <v>7.880812469926074E-2</v>
      </c>
      <c r="AM35" s="681">
        <f t="shared" si="56"/>
        <v>6.5925364620139468E-2</v>
      </c>
      <c r="AN35" s="626">
        <f t="shared" si="56"/>
        <v>6.1888452076791042E-2</v>
      </c>
      <c r="AO35" s="626">
        <f t="shared" si="56"/>
        <v>5.3688578495146327E-2</v>
      </c>
      <c r="AP35" s="626">
        <f t="shared" si="56"/>
        <v>4.9530526648992997E-2</v>
      </c>
      <c r="AQ35" s="627">
        <f t="shared" si="56"/>
        <v>5.7131474550059388E-2</v>
      </c>
      <c r="AR35" s="626">
        <f t="shared" si="56"/>
        <v>4.7230213998881714E-2</v>
      </c>
      <c r="AS35" s="626">
        <f t="shared" si="56"/>
        <v>4.4854080200650924E-2</v>
      </c>
      <c r="AT35" s="626">
        <f t="shared" si="56"/>
        <v>4.1449598611782774E-2</v>
      </c>
      <c r="AU35" s="626">
        <f t="shared" si="56"/>
        <v>3.9491696615874976E-2</v>
      </c>
      <c r="AV35" s="627">
        <f t="shared" si="56"/>
        <v>4.3082513213727386E-2</v>
      </c>
      <c r="AW35" s="626">
        <f t="shared" si="56"/>
        <v>3.8957214451832679E-2</v>
      </c>
      <c r="AX35" s="626">
        <f t="shared" si="56"/>
        <v>3.826085641364968E-2</v>
      </c>
      <c r="AY35" s="626">
        <f t="shared" si="56"/>
        <v>3.5539732547788958E-2</v>
      </c>
      <c r="AZ35" s="626">
        <f t="shared" si="56"/>
        <v>3.4427319596819765E-2</v>
      </c>
      <c r="BA35" s="627">
        <f t="shared" si="56"/>
        <v>3.6717313432950968E-2</v>
      </c>
      <c r="BB35" s="626">
        <f t="shared" si="56"/>
        <v>3.3400670147878356E-2</v>
      </c>
      <c r="BC35" s="626">
        <f t="shared" si="56"/>
        <v>3.3277513738575223E-2</v>
      </c>
      <c r="BD35" s="626">
        <f t="shared" si="56"/>
        <v>3.1934286003661709E-2</v>
      </c>
      <c r="BE35" s="626">
        <f t="shared" si="56"/>
        <v>3.1696987565164314E-2</v>
      </c>
      <c r="BF35" s="627">
        <f t="shared" si="56"/>
        <v>3.2560842106356944E-2</v>
      </c>
      <c r="BG35" s="626">
        <f t="shared" si="56"/>
        <v>3.1278937347291119E-2</v>
      </c>
      <c r="BH35" s="626">
        <f t="shared" si="56"/>
        <v>3.1021398577918042E-2</v>
      </c>
      <c r="BI35" s="626">
        <f t="shared" si="56"/>
        <v>3.0506412006767757E-2</v>
      </c>
      <c r="BJ35" s="626">
        <f t="shared" si="56"/>
        <v>3.0586681698139273E-2</v>
      </c>
      <c r="BK35" s="627">
        <f t="shared" si="56"/>
        <v>3.0843913730114653E-2</v>
      </c>
      <c r="BL35" s="626">
        <f t="shared" si="56"/>
        <v>3.0357451294974778E-2</v>
      </c>
      <c r="BM35" s="626">
        <f t="shared" si="56"/>
        <v>3.0530169743619238E-2</v>
      </c>
      <c r="BN35" s="626">
        <f t="shared" si="56"/>
        <v>3.0676479633754663E-2</v>
      </c>
      <c r="BO35" s="626">
        <f t="shared" si="56"/>
        <v>3.046311664523561E-2</v>
      </c>
      <c r="BP35" s="627">
        <f t="shared" ref="BP35:BT35" si="57">+BP34/BP$52</f>
        <v>3.0507096822527217E-2</v>
      </c>
      <c r="BQ35" s="626">
        <f t="shared" si="57"/>
        <v>2.8653646509508305E-2</v>
      </c>
      <c r="BR35" s="626">
        <f t="shared" si="57"/>
        <v>2.8815383900678955E-2</v>
      </c>
      <c r="BS35" s="626">
        <f t="shared" si="57"/>
        <v>2.9277702077038757E-2</v>
      </c>
      <c r="BT35" s="626">
        <f t="shared" si="57"/>
        <v>2.9079018218410191E-2</v>
      </c>
      <c r="BU35" s="627">
        <f t="shared" ref="BU35" si="58">+BU34/BU$52</f>
        <v>2.8957609232174601E-2</v>
      </c>
    </row>
    <row r="36" spans="1:73" s="3" customFormat="1" ht="13.35" hidden="1" customHeight="1" outlineLevel="1">
      <c r="B36" s="643" t="s">
        <v>243</v>
      </c>
      <c r="C36" s="630"/>
      <c r="D36" s="628"/>
      <c r="E36" s="628"/>
      <c r="F36" s="628"/>
      <c r="G36" s="628"/>
      <c r="H36" s="631"/>
      <c r="I36" s="632">
        <f>+I34/D34-1</f>
        <v>0.39903498190591069</v>
      </c>
      <c r="J36" s="632">
        <f>+J34/E34-1</f>
        <v>0.39763075547608406</v>
      </c>
      <c r="K36" s="632">
        <f>+K34/F34-1</f>
        <v>0.3973258830572739</v>
      </c>
      <c r="L36" s="632">
        <f>+L34/G34-1</f>
        <v>0.45729669513553661</v>
      </c>
      <c r="M36" s="633">
        <f t="shared" ref="M36:AA36" si="59">+M34/H34-1</f>
        <v>0.41475599495161974</v>
      </c>
      <c r="N36" s="632">
        <f t="shared" si="59"/>
        <v>0.44524918089325749</v>
      </c>
      <c r="O36" s="632">
        <f t="shared" si="59"/>
        <v>0.43323204861666409</v>
      </c>
      <c r="P36" s="632">
        <f t="shared" si="59"/>
        <v>0.38446158240502704</v>
      </c>
      <c r="Q36" s="632">
        <f t="shared" si="59"/>
        <v>0.32067779334947133</v>
      </c>
      <c r="R36" s="633">
        <f t="shared" si="59"/>
        <v>0.39029104560829642</v>
      </c>
      <c r="S36" s="632">
        <f t="shared" si="59"/>
        <v>0.28886767688819948</v>
      </c>
      <c r="T36" s="632">
        <f t="shared" si="59"/>
        <v>0.26511939299263565</v>
      </c>
      <c r="U36" s="632">
        <f t="shared" si="59"/>
        <v>0.20218691974417169</v>
      </c>
      <c r="V36" s="632">
        <f t="shared" si="59"/>
        <v>0.20335712907582471</v>
      </c>
      <c r="W36" s="633">
        <f>+W34/R34-1</f>
        <v>0.23701307381760817</v>
      </c>
      <c r="X36" s="632">
        <f t="shared" si="59"/>
        <v>-4.5361970005554086E-3</v>
      </c>
      <c r="Y36" s="632">
        <f t="shared" si="59"/>
        <v>-6.4208855177279922E-2</v>
      </c>
      <c r="Z36" s="632">
        <f t="shared" si="59"/>
        <v>-8.9239746009953658E-2</v>
      </c>
      <c r="AA36" s="632">
        <f t="shared" si="59"/>
        <v>-0.17861151194484526</v>
      </c>
      <c r="AB36" s="633">
        <f t="shared" ref="AB36:AH36" si="60">+AB34/W34-1</f>
        <v>-8.7425434425520865E-2</v>
      </c>
      <c r="AC36" s="360">
        <f t="shared" si="60"/>
        <v>-0.11122477448154</v>
      </c>
      <c r="AD36" s="360">
        <f t="shared" si="60"/>
        <v>-0.11668237511781343</v>
      </c>
      <c r="AE36" s="360">
        <f t="shared" si="60"/>
        <v>-0.1352930092330884</v>
      </c>
      <c r="AF36" s="360">
        <f t="shared" si="60"/>
        <v>-0.1537185243021667</v>
      </c>
      <c r="AG36" s="463">
        <f t="shared" si="60"/>
        <v>-0.12895815077090689</v>
      </c>
      <c r="AH36" s="360">
        <f t="shared" si="60"/>
        <v>-7.999999999999996E-2</v>
      </c>
      <c r="AI36" s="360">
        <f>+AI34/AD34-1</f>
        <v>-0.13038839095177124</v>
      </c>
      <c r="AJ36" s="360">
        <f>+AJ34/AE34-1</f>
        <v>-0.15635214643713224</v>
      </c>
      <c r="AK36" s="360">
        <f>+AK34/AF34-1</f>
        <v>-0.1070234113712375</v>
      </c>
      <c r="AL36" s="649">
        <f>+AL34/AG34-1</f>
        <v>-0.11826526727935172</v>
      </c>
      <c r="AM36" s="360">
        <f>+AM34/AH34-1</f>
        <v>-0.11935708404038015</v>
      </c>
      <c r="AN36" s="645">
        <v>-0.04</v>
      </c>
      <c r="AO36" s="645">
        <v>-0.03</v>
      </c>
      <c r="AP36" s="645">
        <v>-0.03</v>
      </c>
      <c r="AQ36" s="633">
        <f>+AQ34/AL34-1</f>
        <v>-5.6740934809075161E-2</v>
      </c>
      <c r="AR36" s="645">
        <v>-0.04</v>
      </c>
      <c r="AS36" s="645">
        <v>-0.04</v>
      </c>
      <c r="AT36" s="645">
        <v>-0.03</v>
      </c>
      <c r="AU36" s="645">
        <v>-0.03</v>
      </c>
      <c r="AV36" s="633">
        <f>+AV34/AQ34-1</f>
        <v>-3.5089180807639009E-2</v>
      </c>
      <c r="AW36" s="645">
        <v>-0.04</v>
      </c>
      <c r="AX36" s="645">
        <v>-0.03</v>
      </c>
      <c r="AY36" s="645">
        <v>-0.03</v>
      </c>
      <c r="AZ36" s="645">
        <v>-0.03</v>
      </c>
      <c r="BA36" s="633">
        <f>+BA34/AV34-1</f>
        <v>-3.2518467040532295E-2</v>
      </c>
      <c r="BB36" s="645">
        <v>-0.04</v>
      </c>
      <c r="BC36" s="645">
        <v>-0.05</v>
      </c>
      <c r="BD36" s="645">
        <v>-0.03</v>
      </c>
      <c r="BE36" s="645">
        <v>-0.03</v>
      </c>
      <c r="BF36" s="633">
        <f>+BF34/BA34-1</f>
        <v>-3.7601866386464122E-2</v>
      </c>
      <c r="BG36" s="645">
        <v>-0.04</v>
      </c>
      <c r="BH36" s="645">
        <v>-0.04</v>
      </c>
      <c r="BI36" s="645">
        <v>-0.03</v>
      </c>
      <c r="BJ36" s="645">
        <v>-0.03</v>
      </c>
      <c r="BK36" s="633">
        <f>+BK34/BF34-1</f>
        <v>-3.5011333001117473E-2</v>
      </c>
      <c r="BL36" s="645">
        <v>-0.04</v>
      </c>
      <c r="BM36" s="645">
        <v>-0.04</v>
      </c>
      <c r="BN36" s="645">
        <v>-0.03</v>
      </c>
      <c r="BO36" s="645">
        <v>-0.03</v>
      </c>
      <c r="BP36" s="633">
        <f>+BP34/BK34-1</f>
        <v>-3.4985426094209404E-2</v>
      </c>
      <c r="BQ36" s="645">
        <v>-0.04</v>
      </c>
      <c r="BR36" s="645">
        <v>-0.04</v>
      </c>
      <c r="BS36" s="645">
        <v>-0.03</v>
      </c>
      <c r="BT36" s="645">
        <v>-0.03</v>
      </c>
      <c r="BU36" s="633">
        <f>+BU34/BP34-1</f>
        <v>-3.4959519969807618E-2</v>
      </c>
    </row>
    <row r="37" spans="1:73" s="3" customFormat="1" ht="13.35" hidden="1" customHeight="1" outlineLevel="1">
      <c r="B37" s="643" t="s">
        <v>245</v>
      </c>
      <c r="C37" s="630"/>
      <c r="D37" s="634"/>
      <c r="E37" s="635">
        <f>+E34/D34-1</f>
        <v>7.9372738238842055E-2</v>
      </c>
      <c r="F37" s="635">
        <f>+F34/E34-1</f>
        <v>0.12002682163611977</v>
      </c>
      <c r="G37" s="635">
        <f>+G34/F34-1</f>
        <v>7.4835362203153011E-2</v>
      </c>
      <c r="H37" s="636"/>
      <c r="I37" s="635">
        <f>+I34/G34-1</f>
        <v>7.6680282213145157E-2</v>
      </c>
      <c r="J37" s="635">
        <f>+J34/I34-1</f>
        <v>7.8289360234523153E-2</v>
      </c>
      <c r="K37" s="635">
        <f>+K34/J34-1</f>
        <v>0.11978250439788907</v>
      </c>
      <c r="L37" s="635">
        <f>+L34/K34-1</f>
        <v>0.12096543844615826</v>
      </c>
      <c r="M37" s="636"/>
      <c r="N37" s="635">
        <f>+N34/L34-1</f>
        <v>6.7779334947126957E-2</v>
      </c>
      <c r="O37" s="635">
        <f>+O34/N34-1</f>
        <v>6.9323469753012734E-2</v>
      </c>
      <c r="P37" s="635">
        <f>+P34/O34-1</f>
        <v>8.1678196831064476E-2</v>
      </c>
      <c r="Q37" s="635">
        <f>+Q34/P34-1</f>
        <v>6.9321229626573055E-2</v>
      </c>
      <c r="R37" s="636"/>
      <c r="S37" s="635">
        <f>+S34/Q34-1</f>
        <v>4.2060582674126934E-2</v>
      </c>
      <c r="T37" s="635">
        <f>+T34/S34-1</f>
        <v>4.9620440659137177E-2</v>
      </c>
      <c r="U37" s="635">
        <f>+U34/T34-1</f>
        <v>2.7870876697830393E-2</v>
      </c>
      <c r="V37" s="635">
        <f>+V34/U34-1</f>
        <v>7.036210743092508E-2</v>
      </c>
      <c r="W37" s="636"/>
      <c r="X37" s="635">
        <f>+X34/V34-1</f>
        <v>-0.13796697130030466</v>
      </c>
      <c r="Y37" s="635">
        <f>+Y34/X34-1</f>
        <v>-1.3298614340184089E-2</v>
      </c>
      <c r="Z37" s="635">
        <f>+Z34/Y34-1</f>
        <v>3.7700282752117786E-4</v>
      </c>
      <c r="AA37" s="635">
        <f>+AA34/Z34-1</f>
        <v>-3.4671188995666125E-2</v>
      </c>
      <c r="AB37" s="636"/>
      <c r="AC37" s="358">
        <f>+AC34/AA34-1</f>
        <v>-6.7245754440757421E-2</v>
      </c>
      <c r="AD37" s="358">
        <f>+AD34/AC34-1</f>
        <v>-1.9357538976666366E-2</v>
      </c>
      <c r="AE37" s="358">
        <f>+AE34/AD34-1</f>
        <v>-2.0699957319675666E-2</v>
      </c>
      <c r="AF37" s="358">
        <f>+AF34/AE34-1</f>
        <v>-5.5240793201133176E-2</v>
      </c>
      <c r="AG37" s="441"/>
      <c r="AH37" s="358">
        <f>+AH34/AF34-1</f>
        <v>1.4005305039787919E-2</v>
      </c>
      <c r="AI37" s="358">
        <f>+AI34/AH34-1</f>
        <v>-7.3067316922265091E-2</v>
      </c>
      <c r="AJ37" s="358">
        <f>+AJ34/AI34-1</f>
        <v>-4.9938650306748489E-2</v>
      </c>
      <c r="AK37" s="358">
        <f>+AK34/AJ34-1</f>
        <v>0</v>
      </c>
      <c r="AL37" s="650"/>
      <c r="AM37" s="358">
        <f>+AM34/AL34-1</f>
        <v>-0.7612281071799939</v>
      </c>
      <c r="AN37" s="635">
        <f>+AN34/AM34-1</f>
        <v>1.0461061604029487E-2</v>
      </c>
      <c r="AO37" s="635">
        <f>+AO34/AN34-1</f>
        <v>-4.0042177914110466E-2</v>
      </c>
      <c r="AP37" s="635">
        <f>+AP34/AO34-1</f>
        <v>0</v>
      </c>
      <c r="AQ37" s="631"/>
      <c r="AR37" s="635">
        <f>+AR34/AP34-1</f>
        <v>-1.0309278350515538E-2</v>
      </c>
      <c r="AS37" s="635">
        <f>+AS34/AR34-1</f>
        <v>1.0461061604029487E-2</v>
      </c>
      <c r="AT37" s="635">
        <f>+AT34/AS34-1</f>
        <v>-3.0042617267382443E-2</v>
      </c>
      <c r="AU37" s="635">
        <f>+AU34/AT34-1</f>
        <v>0</v>
      </c>
      <c r="AV37" s="631"/>
      <c r="AW37" s="635">
        <f>+AW34/AU34-1</f>
        <v>-2.0512275480922604E-2</v>
      </c>
      <c r="AX37" s="635">
        <f>+AX34/AW34-1</f>
        <v>2.0986697662404685E-2</v>
      </c>
      <c r="AY37" s="635">
        <f>+AY34/AX34-1</f>
        <v>-3.0042617267382332E-2</v>
      </c>
      <c r="AZ37" s="635">
        <f>+AZ34/AY34-1</f>
        <v>0</v>
      </c>
      <c r="BA37" s="631"/>
      <c r="BB37" s="635">
        <f>+BB34/AZ34-1</f>
        <v>-3.0610087073902781E-2</v>
      </c>
      <c r="BC37" s="635">
        <f>+BC34/BB34-1</f>
        <v>1.0351419561754671E-2</v>
      </c>
      <c r="BD37" s="635">
        <f>+BD34/BC34-1</f>
        <v>-9.6224618414324503E-3</v>
      </c>
      <c r="BE37" s="635">
        <f>+BE34/BD34-1</f>
        <v>0</v>
      </c>
      <c r="BF37" s="631"/>
      <c r="BG37" s="635">
        <f>+BG34/BE34-1</f>
        <v>-4.0603797516439943E-2</v>
      </c>
      <c r="BH37" s="635">
        <f>+BH34/BG34-1</f>
        <v>1.0351419561754671E-2</v>
      </c>
      <c r="BI37" s="635">
        <f>+BI34/BH34-1</f>
        <v>6.9397084771938289E-4</v>
      </c>
      <c r="BJ37" s="635">
        <f>+BJ34/BI34-1</f>
        <v>0</v>
      </c>
      <c r="BK37" s="631"/>
      <c r="BL37" s="635">
        <f>+BL34/BJ34-1</f>
        <v>-5.0494480016270549E-2</v>
      </c>
      <c r="BM37" s="635">
        <f>+BM34/BL34-1</f>
        <v>1.0351419561754671E-2</v>
      </c>
      <c r="BN37" s="635">
        <f>+BN34/BM34-1</f>
        <v>1.1117866377383212E-2</v>
      </c>
      <c r="BO37" s="635">
        <f>+BO34/BN34-1</f>
        <v>0</v>
      </c>
      <c r="BP37" s="631"/>
      <c r="BQ37" s="635">
        <f>+BQ34/BO34-1</f>
        <v>-6.028319671713378E-2</v>
      </c>
      <c r="BR37" s="635">
        <f>+BR34/BQ34-1</f>
        <v>1.0351419561754671E-2</v>
      </c>
      <c r="BS37" s="635">
        <f>+BS34/BR34-1</f>
        <v>2.1650344152147616E-2</v>
      </c>
      <c r="BT37" s="635">
        <f>+BT34/BS34-1</f>
        <v>0</v>
      </c>
      <c r="BU37" s="631"/>
    </row>
    <row r="38" spans="1:73" s="3" customFormat="1" ht="13.35" hidden="1" customHeight="1" outlineLevel="1">
      <c r="B38" s="770"/>
      <c r="C38" s="326"/>
      <c r="D38" s="357"/>
      <c r="E38" s="358"/>
      <c r="F38" s="358"/>
      <c r="G38" s="358"/>
      <c r="H38" s="442"/>
      <c r="I38" s="358"/>
      <c r="J38" s="358"/>
      <c r="K38" s="358"/>
      <c r="L38" s="358"/>
      <c r="M38" s="442"/>
      <c r="N38" s="358"/>
      <c r="O38" s="358"/>
      <c r="P38" s="358"/>
      <c r="Q38" s="358"/>
      <c r="R38" s="442"/>
      <c r="S38" s="358"/>
      <c r="T38" s="358"/>
      <c r="U38" s="358"/>
      <c r="V38" s="358"/>
      <c r="W38" s="442"/>
      <c r="X38" s="358"/>
      <c r="Y38" s="358"/>
      <c r="Z38" s="358"/>
      <c r="AA38" s="358"/>
      <c r="AB38" s="442"/>
      <c r="AC38" s="358"/>
      <c r="AD38" s="358"/>
      <c r="AE38" s="358"/>
      <c r="AF38" s="358"/>
      <c r="AG38" s="441"/>
      <c r="AH38" s="358"/>
      <c r="AI38" s="358"/>
      <c r="AJ38" s="358"/>
      <c r="AK38" s="358"/>
      <c r="AL38" s="441"/>
      <c r="AM38" s="358"/>
      <c r="AN38" s="358"/>
      <c r="AO38" s="358"/>
      <c r="AP38" s="358"/>
      <c r="AQ38" s="441"/>
      <c r="AR38" s="358"/>
      <c r="AS38" s="358"/>
      <c r="AT38" s="358"/>
      <c r="AU38" s="358"/>
      <c r="AV38" s="441"/>
      <c r="AW38" s="358"/>
      <c r="AX38" s="358"/>
      <c r="AY38" s="358"/>
      <c r="AZ38" s="358"/>
      <c r="BA38" s="441"/>
      <c r="BB38" s="358"/>
      <c r="BC38" s="358"/>
      <c r="BD38" s="358"/>
      <c r="BE38" s="358"/>
      <c r="BF38" s="441"/>
      <c r="BG38" s="358"/>
      <c r="BH38" s="358"/>
      <c r="BI38" s="358"/>
      <c r="BJ38" s="358"/>
      <c r="BK38" s="441"/>
      <c r="BL38" s="358"/>
      <c r="BM38" s="358"/>
      <c r="BN38" s="358"/>
      <c r="BO38" s="358"/>
      <c r="BP38" s="441"/>
      <c r="BQ38" s="358"/>
      <c r="BR38" s="358"/>
      <c r="BS38" s="358"/>
      <c r="BT38" s="358"/>
      <c r="BU38" s="441"/>
    </row>
    <row r="39" spans="1:73" ht="12.75" collapsed="1">
      <c r="A39" s="296"/>
      <c r="B39" s="272" t="s">
        <v>492</v>
      </c>
      <c r="C39" s="274"/>
      <c r="D39" s="205">
        <f t="shared" ref="D39:Q39" si="61">+SUM(D34,D30)</f>
        <v>14760</v>
      </c>
      <c r="E39" s="205">
        <f t="shared" si="61"/>
        <v>15487</v>
      </c>
      <c r="F39" s="205">
        <f t="shared" si="61"/>
        <v>17439</v>
      </c>
      <c r="G39" s="205">
        <f t="shared" si="61"/>
        <v>18360</v>
      </c>
      <c r="H39" s="444">
        <f>+D39+E39+F39+G39</f>
        <v>66046</v>
      </c>
      <c r="I39" s="205">
        <f t="shared" si="61"/>
        <v>19444</v>
      </c>
      <c r="J39" s="205">
        <f t="shared" si="61"/>
        <v>20892</v>
      </c>
      <c r="K39" s="205">
        <f t="shared" si="61"/>
        <v>23242</v>
      </c>
      <c r="L39" s="205">
        <f t="shared" si="61"/>
        <v>26732</v>
      </c>
      <c r="M39" s="444">
        <f>+I39+J39+K39+L39</f>
        <v>90310</v>
      </c>
      <c r="N39" s="205">
        <f t="shared" si="61"/>
        <v>28526</v>
      </c>
      <c r="O39" s="205">
        <f t="shared" si="61"/>
        <v>30418</v>
      </c>
      <c r="P39" s="205">
        <f t="shared" si="61"/>
        <v>32802</v>
      </c>
      <c r="Q39" s="205">
        <f t="shared" si="61"/>
        <v>35061</v>
      </c>
      <c r="R39" s="444">
        <f>+N39+O39+P39+Q39</f>
        <v>126807</v>
      </c>
      <c r="S39" s="205">
        <f>+SUM(S34,S30)</f>
        <v>36744</v>
      </c>
      <c r="T39" s="205">
        <f>+SUM(T34,T30)</f>
        <v>38506</v>
      </c>
      <c r="U39" s="205">
        <f>+SUM(U34,U30)</f>
        <v>41280</v>
      </c>
      <c r="V39" s="205">
        <f>+SUM(V34,V30)</f>
        <v>46486</v>
      </c>
      <c r="W39" s="444">
        <f>+S39+T39+U39+V39</f>
        <v>163016</v>
      </c>
      <c r="X39" s="205">
        <f>+SUM(X34,X30)</f>
        <v>46032</v>
      </c>
      <c r="Y39" s="205">
        <f>+SUM(Y34,Y30)</f>
        <v>49653</v>
      </c>
      <c r="Z39" s="205">
        <f>+SUM(Z34,Z30)</f>
        <v>54443</v>
      </c>
      <c r="AA39" s="205">
        <f>+SUM(AA34,AA30)</f>
        <v>60666</v>
      </c>
      <c r="AB39" s="444">
        <f>+X39+Y39+Z39+AA39</f>
        <v>210794</v>
      </c>
      <c r="AC39" s="205">
        <f>+SUM(AC34,AC30)</f>
        <v>65845</v>
      </c>
      <c r="AD39" s="205">
        <f>+SUM(AD34,AD30)</f>
        <v>72579</v>
      </c>
      <c r="AE39" s="205">
        <f>+SUM(AE34,AE30)</f>
        <v>76476</v>
      </c>
      <c r="AF39" s="808">
        <f>+SUM(AF34,AF30)</f>
        <v>82997</v>
      </c>
      <c r="AG39" s="654">
        <f>+AC39+AD39+AE39+AF39</f>
        <v>297897</v>
      </c>
      <c r="AH39" s="808">
        <f>+SUM(AH34,AH30)</f>
        <v>87549</v>
      </c>
      <c r="AI39" s="808">
        <v>92430</v>
      </c>
      <c r="AJ39" s="808">
        <f>98559</f>
        <v>98559</v>
      </c>
      <c r="AK39" s="808">
        <f>104384</f>
        <v>104384</v>
      </c>
      <c r="AL39" s="654">
        <f>+AH39+AI39+AJ39+AK39</f>
        <v>382922</v>
      </c>
      <c r="AM39" s="808">
        <f>109285</f>
        <v>109285</v>
      </c>
      <c r="AN39" s="205">
        <f>119147</f>
        <v>119147</v>
      </c>
      <c r="AO39" s="205">
        <f>131149</f>
        <v>131149</v>
      </c>
      <c r="AP39" s="809">
        <f>141262</f>
        <v>141262</v>
      </c>
      <c r="AQ39" s="444">
        <f>+AM39+AN39+AO39+AP39</f>
        <v>500843</v>
      </c>
      <c r="AR39" s="809">
        <f>149025</f>
        <v>149025</v>
      </c>
      <c r="AS39" s="809">
        <f>159122</f>
        <v>159122</v>
      </c>
      <c r="AT39" s="809">
        <f>166496</f>
        <v>166496</v>
      </c>
      <c r="AU39" s="809">
        <f>172892</f>
        <v>172892</v>
      </c>
      <c r="AV39" s="444">
        <f>+AR39+AS39+AT39+AU39</f>
        <v>647535</v>
      </c>
      <c r="AW39" s="809">
        <f>173772</f>
        <v>173772</v>
      </c>
      <c r="AX39" s="205">
        <f>181701</f>
        <v>181701</v>
      </c>
      <c r="AY39" s="205">
        <f>189876</f>
        <v>189876</v>
      </c>
      <c r="AZ39" s="205">
        <f>194819</f>
        <v>194819</v>
      </c>
      <c r="BA39" s="444">
        <f>+AW39+AX39+AY39+AZ39</f>
        <v>740168</v>
      </c>
      <c r="BB39" s="205">
        <f>196918</f>
        <v>196918</v>
      </c>
      <c r="BC39" s="809">
        <f>200067</f>
        <v>200067</v>
      </c>
      <c r="BD39" s="205">
        <f>205593</f>
        <v>205593</v>
      </c>
      <c r="BE39" s="205">
        <f>206328</f>
        <v>206328</v>
      </c>
      <c r="BF39" s="444">
        <f>+BB39+BC39+BD39+BE39</f>
        <v>808906</v>
      </c>
      <c r="BG39" s="205">
        <f>203935</f>
        <v>203935</v>
      </c>
      <c r="BH39" s="205">
        <f>208097</f>
        <v>208097</v>
      </c>
      <c r="BI39" s="205">
        <f>210146</f>
        <v>210146</v>
      </c>
      <c r="BJ39" s="205">
        <f>209147</f>
        <v>209147</v>
      </c>
      <c r="BK39" s="444">
        <f>+BG39+BH39+BI39+BJ39</f>
        <v>831325</v>
      </c>
      <c r="BL39" s="205">
        <f>+BG39*(1+BL40)</f>
        <v>202915.32500000001</v>
      </c>
      <c r="BM39" s="205">
        <f>+BH39*(1+BM40)</f>
        <v>203935.06</v>
      </c>
      <c r="BN39" s="205">
        <f>+BI39*(1+BN40)</f>
        <v>203841.62</v>
      </c>
      <c r="BO39" s="205">
        <f>+BJ39*(1+BO40)</f>
        <v>204964.06</v>
      </c>
      <c r="BP39" s="444">
        <f>+BL39+BM39+BN39+BO39</f>
        <v>815656.06499999994</v>
      </c>
      <c r="BQ39" s="205">
        <f>+BL39*(1+BQ40)</f>
        <v>206973.63150000002</v>
      </c>
      <c r="BR39" s="205">
        <f>+BM39*(1+BR40)</f>
        <v>208013.76120000001</v>
      </c>
      <c r="BS39" s="205">
        <f>+BN39*(1+BS40)</f>
        <v>207918.45240000001</v>
      </c>
      <c r="BT39" s="205">
        <f>+BO39*(1+BT40)</f>
        <v>209063.3412</v>
      </c>
      <c r="BU39" s="444">
        <f>+BQ39+BR39+BS39+BT39</f>
        <v>831969.18630000006</v>
      </c>
    </row>
    <row r="40" spans="1:73" s="3" customFormat="1" ht="13.35" hidden="1" customHeight="1" outlineLevel="1">
      <c r="B40" s="224" t="s">
        <v>126</v>
      </c>
      <c r="C40" s="326"/>
      <c r="H40" s="441"/>
      <c r="I40" s="360">
        <f t="shared" ref="I40:AN40" si="62">+I39/D39-1</f>
        <v>0.31734417344173438</v>
      </c>
      <c r="J40" s="360">
        <f t="shared" si="62"/>
        <v>0.34900238910053583</v>
      </c>
      <c r="K40" s="360">
        <f t="shared" si="62"/>
        <v>0.3327599059579105</v>
      </c>
      <c r="L40" s="360">
        <f t="shared" si="62"/>
        <v>0.45599128540305012</v>
      </c>
      <c r="M40" s="463">
        <f t="shared" si="62"/>
        <v>0.36738031069254773</v>
      </c>
      <c r="N40" s="360">
        <f t="shared" si="62"/>
        <v>0.46708496194198723</v>
      </c>
      <c r="O40" s="360">
        <f t="shared" si="62"/>
        <v>0.45596400536090376</v>
      </c>
      <c r="P40" s="360">
        <f t="shared" si="62"/>
        <v>0.41132432665003016</v>
      </c>
      <c r="Q40" s="360">
        <f t="shared" si="62"/>
        <v>0.31157414334879552</v>
      </c>
      <c r="R40" s="463">
        <f t="shared" si="62"/>
        <v>0.40413021813752636</v>
      </c>
      <c r="S40" s="360">
        <f t="shared" si="62"/>
        <v>0.28808806001542453</v>
      </c>
      <c r="T40" s="360">
        <f t="shared" si="62"/>
        <v>0.26589519363534753</v>
      </c>
      <c r="U40" s="360">
        <f t="shared" si="62"/>
        <v>0.25845985000914573</v>
      </c>
      <c r="V40" s="360">
        <f t="shared" si="62"/>
        <v>0.32586064287955274</v>
      </c>
      <c r="W40" s="463">
        <f t="shared" si="62"/>
        <v>0.2855441734289117</v>
      </c>
      <c r="X40" s="360">
        <f t="shared" si="62"/>
        <v>0.25277596342259967</v>
      </c>
      <c r="Y40" s="360">
        <f t="shared" si="62"/>
        <v>0.28948735262037095</v>
      </c>
      <c r="Z40" s="360">
        <f t="shared" si="62"/>
        <v>0.31887112403100781</v>
      </c>
      <c r="AA40" s="360">
        <f t="shared" si="62"/>
        <v>0.30503807597986499</v>
      </c>
      <c r="AB40" s="463">
        <f t="shared" si="62"/>
        <v>0.29308779506306126</v>
      </c>
      <c r="AC40" s="360">
        <f t="shared" si="62"/>
        <v>0.43041797010775107</v>
      </c>
      <c r="AD40" s="360">
        <f t="shared" si="62"/>
        <v>0.46172436710772757</v>
      </c>
      <c r="AE40" s="360">
        <f t="shared" si="62"/>
        <v>0.4046984920008081</v>
      </c>
      <c r="AF40" s="360">
        <f t="shared" si="62"/>
        <v>0.36809745162034746</v>
      </c>
      <c r="AG40" s="463">
        <f t="shared" si="62"/>
        <v>0.413213848591516</v>
      </c>
      <c r="AH40" s="360">
        <f t="shared" si="62"/>
        <v>0.32962259852684328</v>
      </c>
      <c r="AI40" s="425">
        <f t="shared" si="62"/>
        <v>0.27350886620096726</v>
      </c>
      <c r="AJ40" s="425">
        <f t="shared" si="62"/>
        <v>0.28875725717872269</v>
      </c>
      <c r="AK40" s="425">
        <f t="shared" si="62"/>
        <v>0.25768401267515695</v>
      </c>
      <c r="AL40" s="649">
        <f t="shared" si="62"/>
        <v>0.2854174429416878</v>
      </c>
      <c r="AM40" s="360">
        <f t="shared" si="62"/>
        <v>0.24827239602965201</v>
      </c>
      <c r="AN40" s="360">
        <f t="shared" si="62"/>
        <v>0.28905117386130041</v>
      </c>
      <c r="AO40" s="360">
        <f t="shared" ref="AO40:BJ40" si="63">+AO39/AJ39-1</f>
        <v>0.33066488093426272</v>
      </c>
      <c r="AP40" s="360">
        <f t="shared" si="63"/>
        <v>0.35329169221336598</v>
      </c>
      <c r="AQ40" s="463">
        <f t="shared" si="63"/>
        <v>0.30795044421579321</v>
      </c>
      <c r="AR40" s="360">
        <f t="shared" si="63"/>
        <v>0.36363636363636354</v>
      </c>
      <c r="AS40" s="360">
        <f t="shared" si="63"/>
        <v>0.33550991632185445</v>
      </c>
      <c r="AT40" s="360">
        <f t="shared" si="63"/>
        <v>0.26951787661362259</v>
      </c>
      <c r="AU40" s="360">
        <f t="shared" si="63"/>
        <v>0.22391018108196126</v>
      </c>
      <c r="AV40" s="463">
        <f t="shared" si="63"/>
        <v>0.29289018714447446</v>
      </c>
      <c r="AW40" s="360">
        <f t="shared" si="63"/>
        <v>0.1660593860090589</v>
      </c>
      <c r="AX40" s="360">
        <f t="shared" si="63"/>
        <v>0.14189741204861672</v>
      </c>
      <c r="AY40" s="360">
        <f t="shared" si="63"/>
        <v>0.14042379396502014</v>
      </c>
      <c r="AZ40" s="360">
        <f t="shared" si="63"/>
        <v>0.12682483862758254</v>
      </c>
      <c r="BA40" s="463">
        <f t="shared" si="63"/>
        <v>0.14305481556981481</v>
      </c>
      <c r="BB40" s="360">
        <f t="shared" si="63"/>
        <v>0.13319752319130806</v>
      </c>
      <c r="BC40" s="360">
        <f t="shared" si="63"/>
        <v>0.10107814486436517</v>
      </c>
      <c r="BD40" s="360">
        <f t="shared" si="63"/>
        <v>8.2775074258990111E-2</v>
      </c>
      <c r="BE40" s="360">
        <f t="shared" si="63"/>
        <v>5.9075346860419264E-2</v>
      </c>
      <c r="BF40" s="463">
        <f t="shared" si="63"/>
        <v>9.286810561926484E-2</v>
      </c>
      <c r="BG40" s="360">
        <f t="shared" si="63"/>
        <v>3.5634121817203157E-2</v>
      </c>
      <c r="BH40" s="360">
        <f t="shared" si="63"/>
        <v>4.013655425432483E-2</v>
      </c>
      <c r="BI40" s="360">
        <f t="shared" si="63"/>
        <v>2.2145695621932582E-2</v>
      </c>
      <c r="BJ40" s="360">
        <f t="shared" si="63"/>
        <v>1.3662711798689386E-2</v>
      </c>
      <c r="BK40" s="463">
        <f>+BK39/BF39-1</f>
        <v>2.7715210419999359E-2</v>
      </c>
      <c r="BL40" s="381">
        <v>-5.0000000000000001E-3</v>
      </c>
      <c r="BM40" s="381">
        <v>-0.02</v>
      </c>
      <c r="BN40" s="381">
        <v>-0.03</v>
      </c>
      <c r="BO40" s="381">
        <v>-0.02</v>
      </c>
      <c r="BP40" s="463">
        <f>+BP39/BK39-1</f>
        <v>-1.8848146031937074E-2</v>
      </c>
      <c r="BQ40" s="381">
        <v>0.02</v>
      </c>
      <c r="BR40" s="381">
        <v>0.02</v>
      </c>
      <c r="BS40" s="381">
        <v>0.02</v>
      </c>
      <c r="BT40" s="381">
        <v>0.02</v>
      </c>
      <c r="BU40" s="463">
        <f>+BU39/BP39-1</f>
        <v>2.000000000000024E-2</v>
      </c>
    </row>
    <row r="41" spans="1:73" s="3" customFormat="1" ht="13.15" hidden="1" customHeight="1" outlineLevel="1">
      <c r="B41" s="224" t="s">
        <v>141</v>
      </c>
      <c r="C41" s="326"/>
      <c r="D41" s="357"/>
      <c r="E41" s="358">
        <f>+E39/D39-1</f>
        <v>4.9254742547425456E-2</v>
      </c>
      <c r="F41" s="358">
        <f>+F39/E39-1</f>
        <v>0.12604119584167361</v>
      </c>
      <c r="G41" s="358">
        <f>+G39/F39-1</f>
        <v>5.2812661276449235E-2</v>
      </c>
      <c r="H41" s="442"/>
      <c r="I41" s="358">
        <f>+I39/G39-1</f>
        <v>5.9041394335511921E-2</v>
      </c>
      <c r="J41" s="358">
        <f>+J39/I39-1</f>
        <v>7.4470273606253912E-2</v>
      </c>
      <c r="K41" s="358">
        <f>+K39/J39-1</f>
        <v>0.11248324717595248</v>
      </c>
      <c r="L41" s="358">
        <f>+L39/K39-1</f>
        <v>0.15015919456156968</v>
      </c>
      <c r="M41" s="442"/>
      <c r="N41" s="358">
        <f>+N39/L39-1</f>
        <v>6.7110579081250954E-2</v>
      </c>
      <c r="O41" s="358">
        <f>+O39/N39-1</f>
        <v>6.6325457477389049E-2</v>
      </c>
      <c r="P41" s="358">
        <f>+P39/O39-1</f>
        <v>7.8374646590834374E-2</v>
      </c>
      <c r="Q41" s="358">
        <f>+Q39/P39-1</f>
        <v>6.8867751966343427E-2</v>
      </c>
      <c r="R41" s="442"/>
      <c r="S41" s="358">
        <f>+S39/Q39-1</f>
        <v>4.8002053563788838E-2</v>
      </c>
      <c r="T41" s="358">
        <f>+T39/S39-1</f>
        <v>4.7953407359024647E-2</v>
      </c>
      <c r="U41" s="358">
        <f>+U39/T39-1</f>
        <v>7.2040720926608737E-2</v>
      </c>
      <c r="V41" s="358">
        <f>+V39/U39-1</f>
        <v>0.12611434108527142</v>
      </c>
      <c r="W41" s="442"/>
      <c r="X41" s="358">
        <f>+X39/V39-1</f>
        <v>-9.7663812760830915E-3</v>
      </c>
      <c r="Y41" s="358">
        <f>+Y39/X39-1</f>
        <v>7.8662669447340905E-2</v>
      </c>
      <c r="Z41" s="358">
        <f>+Z39/Y39-1</f>
        <v>9.6469498318329183E-2</v>
      </c>
      <c r="AA41" s="358">
        <f>+AA39/Z39-1</f>
        <v>0.11430303252943452</v>
      </c>
      <c r="AB41" s="442"/>
      <c r="AC41" s="358">
        <f>+AC39/AA39-1</f>
        <v>8.536906998978E-2</v>
      </c>
      <c r="AD41" s="358">
        <f>+AD39/AC39-1</f>
        <v>0.10227048371174718</v>
      </c>
      <c r="AE41" s="358">
        <f>+AE39/AD39-1</f>
        <v>5.3693217046252961E-2</v>
      </c>
      <c r="AF41" s="358">
        <f>+AF39/AE39-1</f>
        <v>8.5268580992729825E-2</v>
      </c>
      <c r="AG41" s="441"/>
      <c r="AH41" s="426">
        <f>+AH39/AF39-1</f>
        <v>5.4845355856235845E-2</v>
      </c>
      <c r="AI41" s="426">
        <f>+AI39/AH39-1</f>
        <v>5.57516362265702E-2</v>
      </c>
      <c r="AJ41" s="426">
        <f>+AJ39/AI39-1</f>
        <v>6.6309639727361258E-2</v>
      </c>
      <c r="AK41" s="426">
        <f>+AK39/AJ39-1</f>
        <v>5.9101654846335672E-2</v>
      </c>
      <c r="AL41" s="650"/>
      <c r="AM41" s="426">
        <f>+AM39/AK39-1</f>
        <v>4.6951640098099379E-2</v>
      </c>
      <c r="AN41" s="358">
        <f>+AN39/AM39-1</f>
        <v>9.0241112687011071E-2</v>
      </c>
      <c r="AO41" s="358">
        <f>+AO39/AN39-1</f>
        <v>0.10073270833508197</v>
      </c>
      <c r="AP41" s="358">
        <f>+AP39/AO39-1</f>
        <v>7.7110767142715586E-2</v>
      </c>
      <c r="AQ41" s="441"/>
      <c r="AR41" s="358">
        <f>+AR39/AP39-1</f>
        <v>5.4954623324036111E-2</v>
      </c>
      <c r="AS41" s="358">
        <f>+AS39/AR39-1</f>
        <v>6.7753732595202232E-2</v>
      </c>
      <c r="AT41" s="358">
        <f>+AT39/AS39-1</f>
        <v>4.6341800630962382E-2</v>
      </c>
      <c r="AU41" s="358">
        <f>+AU39/AT39-1</f>
        <v>3.841533730540081E-2</v>
      </c>
      <c r="AV41" s="441"/>
      <c r="AW41" s="358">
        <f>+AW39/AU39-1</f>
        <v>5.0898827013394765E-3</v>
      </c>
      <c r="AX41" s="358">
        <f>+AX39/AW39-1</f>
        <v>4.5628754920240322E-2</v>
      </c>
      <c r="AY41" s="358">
        <f>+AY39/AX39-1</f>
        <v>4.4991497019829296E-2</v>
      </c>
      <c r="AZ41" s="358">
        <f>+AZ39/AY39-1</f>
        <v>2.6032779287535002E-2</v>
      </c>
      <c r="BA41" s="441"/>
      <c r="BB41" s="358">
        <f>+BB39/AZ39-1</f>
        <v>1.0774103141890645E-2</v>
      </c>
      <c r="BC41" s="358">
        <f>+BC39/BB39-1</f>
        <v>1.5991427904000544E-2</v>
      </c>
      <c r="BD41" s="358">
        <f>+BD39/BC39-1</f>
        <v>2.762074704973827E-2</v>
      </c>
      <c r="BE41" s="358">
        <f>+BE39/BD39-1</f>
        <v>3.5750244414936017E-3</v>
      </c>
      <c r="BF41" s="441"/>
      <c r="BG41" s="358">
        <f>+BG39/BE39-1</f>
        <v>-1.1598038075297579E-2</v>
      </c>
      <c r="BH41" s="358">
        <f>+BH39/BG39-1</f>
        <v>2.0408463481011108E-2</v>
      </c>
      <c r="BI41" s="358">
        <f>+BI39/BH39-1</f>
        <v>9.8463697218125201E-3</v>
      </c>
      <c r="BJ41" s="358">
        <f>+BJ39/BI39-1</f>
        <v>-4.7538378080002053E-3</v>
      </c>
      <c r="BK41" s="441"/>
      <c r="BL41" s="358">
        <f>+BL39/BJ39-1</f>
        <v>-2.9795670031126376E-2</v>
      </c>
      <c r="BM41" s="358">
        <f>+BM39/BL39-1</f>
        <v>5.0254213179807827E-3</v>
      </c>
      <c r="BN41" s="358">
        <f>+BN39/BM39-1</f>
        <v>-4.5818507126726971E-4</v>
      </c>
      <c r="BO41" s="358">
        <f>+BO39/BN39-1</f>
        <v>5.5064319053195199E-3</v>
      </c>
      <c r="BP41" s="441"/>
      <c r="BQ41" s="358">
        <f>+BQ39/BO39-1</f>
        <v>9.8045067022971555E-3</v>
      </c>
      <c r="BR41" s="358">
        <f>+BR39/BQ39-1</f>
        <v>5.0254213179807827E-3</v>
      </c>
      <c r="BS41" s="358">
        <f>+BS39/BR39-1</f>
        <v>-4.5818507126726971E-4</v>
      </c>
      <c r="BT41" s="358">
        <f>+BT39/BS39-1</f>
        <v>5.5064319053192978E-3</v>
      </c>
      <c r="BU41" s="441"/>
    </row>
    <row r="42" spans="1:73" ht="12.75" hidden="1" outlineLevel="1">
      <c r="B42" s="272" t="s">
        <v>497</v>
      </c>
      <c r="C42" s="299"/>
      <c r="D42" s="159">
        <f t="shared" ref="D42:AI42" si="64">+D39/D$52</f>
        <v>0.8819311663479924</v>
      </c>
      <c r="E42" s="159">
        <f t="shared" si="64"/>
        <v>0.86616331096196864</v>
      </c>
      <c r="F42" s="159">
        <f t="shared" si="64"/>
        <v>0.85783855575778445</v>
      </c>
      <c r="G42" s="159">
        <f t="shared" si="64"/>
        <v>0.83701846364258037</v>
      </c>
      <c r="H42" s="440">
        <f t="shared" si="64"/>
        <v>0.85907908428720081</v>
      </c>
      <c r="I42" s="159">
        <f t="shared" si="64"/>
        <v>0.82491196809638967</v>
      </c>
      <c r="J42" s="159">
        <f t="shared" si="64"/>
        <v>0.8100814269096549</v>
      </c>
      <c r="K42" s="159">
        <f t="shared" si="64"/>
        <v>0.82092398982763493</v>
      </c>
      <c r="L42" s="159">
        <f t="shared" si="64"/>
        <v>0.81368520378656439</v>
      </c>
      <c r="M42" s="440">
        <f t="shared" si="64"/>
        <v>0.81709281074136397</v>
      </c>
      <c r="N42" s="159">
        <f t="shared" si="64"/>
        <v>0.81980687435337396</v>
      </c>
      <c r="O42" s="159">
        <f t="shared" si="64"/>
        <v>0.8161962004937211</v>
      </c>
      <c r="P42" s="159">
        <f t="shared" si="64"/>
        <v>0.81315848186618411</v>
      </c>
      <c r="Q42" s="159">
        <f t="shared" si="64"/>
        <v>0.77854509925833815</v>
      </c>
      <c r="R42" s="440">
        <f t="shared" si="64"/>
        <v>0.80544598791897715</v>
      </c>
      <c r="S42" s="159">
        <f t="shared" si="64"/>
        <v>0.81211183556194055</v>
      </c>
      <c r="T42" s="159">
        <f t="shared" si="64"/>
        <v>0.81162658347912231</v>
      </c>
      <c r="U42" s="159">
        <f t="shared" si="64"/>
        <v>0.81708596425248903</v>
      </c>
      <c r="V42" s="159">
        <f t="shared" si="64"/>
        <v>0.80521730093017618</v>
      </c>
      <c r="W42" s="440">
        <f t="shared" si="64"/>
        <v>0.81126704488902157</v>
      </c>
      <c r="X42" s="159">
        <f t="shared" si="64"/>
        <v>0.84439145189397413</v>
      </c>
      <c r="Y42" s="159">
        <f t="shared" si="64"/>
        <v>0.84962611864957815</v>
      </c>
      <c r="Z42" s="159">
        <f t="shared" si="64"/>
        <v>0.87297362302573556</v>
      </c>
      <c r="AA42" s="159">
        <f t="shared" si="64"/>
        <v>0.88215791769667007</v>
      </c>
      <c r="AB42" s="440">
        <f t="shared" si="64"/>
        <v>0.86358776030251017</v>
      </c>
      <c r="AC42" s="159">
        <f t="shared" si="64"/>
        <v>0.89970622395299582</v>
      </c>
      <c r="AD42" s="159">
        <f t="shared" si="64"/>
        <v>0.91919857141047889</v>
      </c>
      <c r="AE42" s="159">
        <f t="shared" si="64"/>
        <v>0.91968011544705675</v>
      </c>
      <c r="AF42" s="159">
        <f t="shared" si="64"/>
        <v>0.90560623254189943</v>
      </c>
      <c r="AG42" s="440">
        <f t="shared" si="64"/>
        <v>0.91114767836988875</v>
      </c>
      <c r="AH42" s="424">
        <f t="shared" si="64"/>
        <v>0.9280156879372482</v>
      </c>
      <c r="AI42" s="424">
        <f t="shared" si="64"/>
        <v>0.93446700097055968</v>
      </c>
      <c r="AJ42" s="424">
        <f t="shared" ref="AJ42:BP42" si="65">+AJ39/AJ$52</f>
        <v>0.9379871520342612</v>
      </c>
      <c r="AK42" s="424">
        <f t="shared" si="65"/>
        <v>0.92245424579573876</v>
      </c>
      <c r="AL42" s="648">
        <f t="shared" si="65"/>
        <v>0.93058330052541283</v>
      </c>
      <c r="AM42" s="424">
        <f t="shared" si="65"/>
        <v>0.93047313347693927</v>
      </c>
      <c r="AN42" s="159">
        <f t="shared" si="65"/>
        <v>0.94246209095007949</v>
      </c>
      <c r="AO42" s="159">
        <f t="shared" si="65"/>
        <v>0.93748838406221857</v>
      </c>
      <c r="AP42" s="159">
        <f t="shared" si="65"/>
        <v>0.93157387989817853</v>
      </c>
      <c r="AQ42" s="440">
        <f t="shared" si="65"/>
        <v>0.93544874524658017</v>
      </c>
      <c r="AR42" s="159">
        <f t="shared" si="65"/>
        <v>0.94688786661922431</v>
      </c>
      <c r="AS42" s="159">
        <f t="shared" si="65"/>
        <v>0.95023737720581647</v>
      </c>
      <c r="AT42" s="159">
        <f t="shared" si="65"/>
        <v>0.94726481381389926</v>
      </c>
      <c r="AU42" s="159">
        <f t="shared" si="65"/>
        <v>0.9371906829503629</v>
      </c>
      <c r="AV42" s="440">
        <f t="shared" si="65"/>
        <v>0.94519204242405663</v>
      </c>
      <c r="AW42" s="159">
        <f t="shared" si="65"/>
        <v>0.94867175472501553</v>
      </c>
      <c r="AX42" s="159">
        <f t="shared" si="65"/>
        <v>0.95420172038945084</v>
      </c>
      <c r="AY42" s="159">
        <f t="shared" si="65"/>
        <v>0.95490412033614458</v>
      </c>
      <c r="AZ42" s="159">
        <f t="shared" si="65"/>
        <v>0.94909581620125882</v>
      </c>
      <c r="BA42" s="440">
        <f t="shared" si="65"/>
        <v>0.95173117896585735</v>
      </c>
      <c r="BB42" s="159">
        <f t="shared" si="65"/>
        <v>0.96010258360515066</v>
      </c>
      <c r="BC42" s="159">
        <f t="shared" si="65"/>
        <v>0.9619021976912463</v>
      </c>
      <c r="BD42" s="159">
        <f t="shared" si="65"/>
        <v>0.95778788189365216</v>
      </c>
      <c r="BE42" s="159">
        <f t="shared" si="65"/>
        <v>0.9540693883779322</v>
      </c>
      <c r="BF42" s="440">
        <f t="shared" si="65"/>
        <v>0.95841148236922202</v>
      </c>
      <c r="BG42" s="159">
        <f t="shared" si="65"/>
        <v>0.96995048822133334</v>
      </c>
      <c r="BH42" s="159">
        <f t="shared" si="65"/>
        <v>0.97153968617088327</v>
      </c>
      <c r="BI42" s="159">
        <f t="shared" ref="BI42" si="66">+BI39/BI$52</f>
        <v>0.96414938520829507</v>
      </c>
      <c r="BJ42" s="159">
        <f t="shared" si="65"/>
        <v>0.96209082378052146</v>
      </c>
      <c r="BK42" s="440">
        <f t="shared" si="65"/>
        <v>0.96688858028783642</v>
      </c>
      <c r="BL42" s="159">
        <f t="shared" si="65"/>
        <v>0.97569646255001785</v>
      </c>
      <c r="BM42" s="159">
        <f t="shared" si="65"/>
        <v>0.97607509900983935</v>
      </c>
      <c r="BN42" s="159">
        <f t="shared" si="65"/>
        <v>0.96952434041334778</v>
      </c>
      <c r="BO42" s="159">
        <f t="shared" si="65"/>
        <v>0.96808253174639458</v>
      </c>
      <c r="BP42" s="440">
        <f t="shared" si="65"/>
        <v>0.97232216982309805</v>
      </c>
      <c r="BQ42" s="159">
        <f t="shared" ref="BQ42:BU42" si="67">+BQ39/BQ$52</f>
        <v>0.97849421204732168</v>
      </c>
      <c r="BR42" s="159">
        <f t="shared" si="67"/>
        <v>0.97883020674897436</v>
      </c>
      <c r="BS42" s="159">
        <f t="shared" si="67"/>
        <v>0.97301295353633332</v>
      </c>
      <c r="BT42" s="159">
        <f t="shared" si="67"/>
        <v>0.97173137944692745</v>
      </c>
      <c r="BU42" s="440">
        <f t="shared" si="67"/>
        <v>0.97549860331490468</v>
      </c>
    </row>
    <row r="43" spans="1:73" s="3" customFormat="1" ht="13.15" hidden="1" customHeight="1" outlineLevel="1">
      <c r="B43" s="224" t="s">
        <v>494</v>
      </c>
      <c r="C43" s="326"/>
      <c r="D43" s="357"/>
      <c r="E43" s="358"/>
      <c r="F43" s="358"/>
      <c r="G43" s="358"/>
      <c r="H43" s="442"/>
      <c r="I43" s="358"/>
      <c r="J43" s="358"/>
      <c r="K43" s="358"/>
      <c r="L43" s="358"/>
      <c r="M43" s="442"/>
      <c r="N43" s="358"/>
      <c r="O43" s="358"/>
      <c r="P43" s="358"/>
      <c r="Q43" s="358"/>
      <c r="R43" s="442"/>
      <c r="S43" s="358"/>
      <c r="T43" s="358"/>
      <c r="U43" s="358"/>
      <c r="V43" s="358"/>
      <c r="W43" s="442"/>
      <c r="X43" s="358"/>
      <c r="Y43" s="358"/>
      <c r="Z43" s="358"/>
      <c r="AA43" s="358"/>
      <c r="AB43" s="442"/>
      <c r="AC43" s="358"/>
      <c r="AD43" s="358"/>
      <c r="AE43" s="358"/>
      <c r="AF43" s="358"/>
      <c r="AG43" s="441"/>
      <c r="AH43" s="426"/>
      <c r="AI43" s="426"/>
      <c r="AJ43" s="426"/>
      <c r="AK43" s="426"/>
      <c r="AL43" s="650"/>
      <c r="AM43" s="426"/>
      <c r="AN43" s="358"/>
      <c r="AO43" s="358"/>
      <c r="AP43" s="358"/>
      <c r="AQ43" s="441"/>
      <c r="AR43" s="358"/>
      <c r="AS43" s="358"/>
      <c r="AT43" s="358"/>
      <c r="AU43" s="358"/>
      <c r="AV43" s="441"/>
      <c r="AW43" s="193">
        <f>Metrics!AV41*1000/4</f>
        <v>178557.75</v>
      </c>
      <c r="AX43" s="193">
        <f>Metrics!AW41*1000/4</f>
        <v>181963.25</v>
      </c>
      <c r="AY43" s="193">
        <f>Metrics!AX41*1000/4</f>
        <v>187712.5</v>
      </c>
      <c r="AZ43" s="193">
        <f>Metrics!AY41*1000/4</f>
        <v>194190</v>
      </c>
      <c r="BA43" s="441"/>
      <c r="BB43" s="193">
        <f>Metrics!BA41*1000/4</f>
        <v>201417.5</v>
      </c>
      <c r="BC43" s="193">
        <f>Metrics!BB41*1000/4</f>
        <v>201799</v>
      </c>
      <c r="BD43" s="193">
        <f>Metrics!BC41*1000/4</f>
        <v>203907.5</v>
      </c>
      <c r="BE43" s="193">
        <f>Metrics!BD41*1000/4</f>
        <v>205776</v>
      </c>
      <c r="BF43" s="441"/>
      <c r="BG43" s="193">
        <f>Metrics!BF41*1000/4</f>
        <v>209954.75</v>
      </c>
      <c r="BH43" s="193">
        <f>Metrics!BG41*1000/4</f>
        <v>209305</v>
      </c>
      <c r="BI43" s="193">
        <f>Metrics!BH41*1000/4</f>
        <v>210152.5</v>
      </c>
      <c r="BJ43" s="193">
        <f>Metrics!BI41*1000/4</f>
        <v>209432.5</v>
      </c>
      <c r="BK43" s="441"/>
      <c r="BL43" s="193">
        <f>Metrics!BK41*1000/4</f>
        <v>209975</v>
      </c>
      <c r="BM43" s="193">
        <f>Metrics!BL41*1000/4</f>
        <v>207630.56</v>
      </c>
      <c r="BN43" s="193">
        <f>Metrics!BM41*1000/4</f>
        <v>207840.82250000001</v>
      </c>
      <c r="BO43" s="193">
        <f>Metrics!BN41*1000/4</f>
        <v>207966.4725</v>
      </c>
      <c r="BP43" s="441"/>
      <c r="BQ43" s="193">
        <f>Metrics!BP41*1000/4</f>
        <v>208085.22499999998</v>
      </c>
      <c r="BR43" s="193">
        <f>Metrics!BQ41*1000/4</f>
        <v>213859.4768</v>
      </c>
      <c r="BS43" s="193">
        <f>Metrics!BR41*1000/4</f>
        <v>214491.72882000002</v>
      </c>
      <c r="BT43" s="193">
        <f>Metrics!BS41*1000/4</f>
        <v>215037.33256500002</v>
      </c>
      <c r="BU43" s="441"/>
    </row>
    <row r="44" spans="1:73" s="3" customFormat="1" ht="13.15" hidden="1" customHeight="1" outlineLevel="1">
      <c r="B44" s="224" t="s">
        <v>496</v>
      </c>
      <c r="C44" s="326"/>
      <c r="D44" s="357"/>
      <c r="E44" s="358"/>
      <c r="F44" s="358"/>
      <c r="G44" s="358"/>
      <c r="H44" s="442"/>
      <c r="I44" s="358"/>
      <c r="J44" s="358"/>
      <c r="K44" s="358"/>
      <c r="L44" s="358"/>
      <c r="M44" s="442"/>
      <c r="N44" s="358"/>
      <c r="O44" s="358"/>
      <c r="P44" s="358"/>
      <c r="Q44" s="358"/>
      <c r="R44" s="442"/>
      <c r="S44" s="358"/>
      <c r="T44" s="358"/>
      <c r="U44" s="358"/>
      <c r="V44" s="358"/>
      <c r="W44" s="442"/>
      <c r="X44" s="358"/>
      <c r="Y44" s="358"/>
      <c r="Z44" s="358"/>
      <c r="AA44" s="358"/>
      <c r="AB44" s="442"/>
      <c r="AC44" s="358"/>
      <c r="AD44" s="358"/>
      <c r="AE44" s="358"/>
      <c r="AF44" s="358"/>
      <c r="AG44" s="441"/>
      <c r="AH44" s="426"/>
      <c r="AI44" s="426"/>
      <c r="AJ44" s="426"/>
      <c r="AK44" s="426"/>
      <c r="AL44" s="650"/>
      <c r="AM44" s="426"/>
      <c r="AN44" s="358"/>
      <c r="AO44" s="358"/>
      <c r="AP44" s="358"/>
      <c r="AQ44" s="441"/>
      <c r="AR44" s="358"/>
      <c r="AS44" s="358"/>
      <c r="AT44" s="358"/>
      <c r="AU44" s="358"/>
      <c r="AV44" s="441"/>
      <c r="AW44" s="358">
        <f>AW39/AW43</f>
        <v>0.97319774694741612</v>
      </c>
      <c r="AX44" s="358">
        <f>AX39/AX43</f>
        <v>0.9985587749174627</v>
      </c>
      <c r="AY44" s="358">
        <f>AY39/AY43</f>
        <v>1.0115256043151095</v>
      </c>
      <c r="AZ44" s="358">
        <f>AZ39/AZ43</f>
        <v>1.0032390957309851</v>
      </c>
      <c r="BA44" s="441"/>
      <c r="BB44" s="358">
        <f>BB39/BB43</f>
        <v>0.977660828875346</v>
      </c>
      <c r="BC44" s="358">
        <f>BC39/BC43</f>
        <v>0.99141720226562069</v>
      </c>
      <c r="BD44" s="358">
        <f>BD39/BD43</f>
        <v>1.0082660029670316</v>
      </c>
      <c r="BE44" s="358">
        <f>BE39/BE43</f>
        <v>1.0026825285747609</v>
      </c>
      <c r="BF44" s="441"/>
      <c r="BG44" s="358">
        <f>BG39/BG43</f>
        <v>0.97132834575069149</v>
      </c>
      <c r="BH44" s="358">
        <f>BH39/BH43</f>
        <v>0.99422851819115643</v>
      </c>
      <c r="BI44" s="358">
        <f>BI39/BI43</f>
        <v>0.99996907008006086</v>
      </c>
      <c r="BJ44" s="358">
        <f>BJ39/BJ43</f>
        <v>0.99863679228391011</v>
      </c>
      <c r="BK44" s="441"/>
      <c r="BL44" s="358">
        <f>BL39/BL43</f>
        <v>0.96637849744017146</v>
      </c>
      <c r="BM44" s="358">
        <f>BM39/BM43</f>
        <v>0.98220156030981176</v>
      </c>
      <c r="BN44" s="358">
        <f>BN39/BN43</f>
        <v>0.98075833971451876</v>
      </c>
      <c r="BO44" s="358">
        <f>BO39/BO43</f>
        <v>0.98556299742017306</v>
      </c>
      <c r="BP44" s="441"/>
      <c r="BQ44" s="358">
        <f>BQ39/BQ43</f>
        <v>0.99465798929260851</v>
      </c>
      <c r="BR44" s="358">
        <f>BR39/BR43</f>
        <v>0.97266562283107583</v>
      </c>
      <c r="BS44" s="358">
        <f>BS39/BS43</f>
        <v>0.96935417297365223</v>
      </c>
      <c r="BT44" s="358">
        <f>BT39/BT43</f>
        <v>0.97221881757115713</v>
      </c>
      <c r="BU44" s="441"/>
    </row>
    <row r="45" spans="1:73" s="3" customFormat="1" ht="13.15" hidden="1" customHeight="1" outlineLevel="1">
      <c r="B45" s="224" t="s">
        <v>495</v>
      </c>
      <c r="C45" s="326"/>
      <c r="D45" s="357"/>
      <c r="E45" s="358"/>
      <c r="F45" s="358"/>
      <c r="G45" s="358"/>
      <c r="H45" s="442"/>
      <c r="I45" s="358"/>
      <c r="J45" s="358"/>
      <c r="K45" s="358"/>
      <c r="L45" s="358"/>
      <c r="M45" s="442"/>
      <c r="N45" s="358"/>
      <c r="O45" s="358"/>
      <c r="P45" s="358"/>
      <c r="Q45" s="358"/>
      <c r="R45" s="442"/>
      <c r="S45" s="358"/>
      <c r="T45" s="358"/>
      <c r="U45" s="358"/>
      <c r="V45" s="358"/>
      <c r="W45" s="442"/>
      <c r="X45" s="358"/>
      <c r="Y45" s="358"/>
      <c r="Z45" s="358"/>
      <c r="AA45" s="358"/>
      <c r="AB45" s="442"/>
      <c r="AC45" s="358"/>
      <c r="AD45" s="358"/>
      <c r="AE45" s="358"/>
      <c r="AF45" s="358"/>
      <c r="AG45" s="441"/>
      <c r="AH45" s="426"/>
      <c r="AI45" s="426"/>
      <c r="AJ45" s="426"/>
      <c r="AK45" s="426"/>
      <c r="AL45" s="650"/>
      <c r="AM45" s="426"/>
      <c r="AN45" s="358"/>
      <c r="AO45" s="358"/>
      <c r="AP45" s="358"/>
      <c r="AQ45" s="441"/>
      <c r="AR45" s="358"/>
      <c r="AS45" s="358"/>
      <c r="AT45" s="358"/>
      <c r="AU45" s="358"/>
      <c r="AV45" s="441"/>
      <c r="AW45" s="193">
        <f>AW39-AW43</f>
        <v>-4785.75</v>
      </c>
      <c r="AX45" s="193">
        <f>AX39-AX43</f>
        <v>-262.25</v>
      </c>
      <c r="AY45" s="193">
        <f>AY39-AY43</f>
        <v>2163.5</v>
      </c>
      <c r="AZ45" s="193">
        <f>AZ39-AZ43</f>
        <v>629</v>
      </c>
      <c r="BA45" s="441"/>
      <c r="BB45" s="193">
        <f>BB39-BB43</f>
        <v>-4499.5</v>
      </c>
      <c r="BC45" s="193">
        <f>BC39-BC43</f>
        <v>-1732</v>
      </c>
      <c r="BD45" s="193">
        <f>BD39-BD43</f>
        <v>1685.5</v>
      </c>
      <c r="BE45" s="193">
        <f>BE39-BE43</f>
        <v>552</v>
      </c>
      <c r="BF45" s="441"/>
      <c r="BG45" s="193">
        <f>BG39-BG43</f>
        <v>-6019.75</v>
      </c>
      <c r="BH45" s="193">
        <f>BH39-BH43</f>
        <v>-1208</v>
      </c>
      <c r="BI45" s="193">
        <f>BI39-BI43</f>
        <v>-6.5</v>
      </c>
      <c r="BJ45" s="193">
        <f>BJ39-BJ43</f>
        <v>-285.5</v>
      </c>
      <c r="BK45" s="441"/>
      <c r="BL45" s="193">
        <f>BL39-BL43</f>
        <v>-7059.6749999999884</v>
      </c>
      <c r="BM45" s="193">
        <f>BM39-BM43</f>
        <v>-3695.5</v>
      </c>
      <c r="BN45" s="193">
        <f>BN39-BN43</f>
        <v>-3999.202500000014</v>
      </c>
      <c r="BO45" s="193">
        <f>BO39-BO43</f>
        <v>-3002.4125000000058</v>
      </c>
      <c r="BP45" s="441"/>
      <c r="BQ45" s="193">
        <f>BQ39-BQ43</f>
        <v>-1111.593499999959</v>
      </c>
      <c r="BR45" s="193">
        <f>BR39-BR43</f>
        <v>-5845.7155999999959</v>
      </c>
      <c r="BS45" s="193">
        <f>BS39-BS43</f>
        <v>-6573.2764200000092</v>
      </c>
      <c r="BT45" s="193">
        <f>BT39-BT43</f>
        <v>-5973.9913650000235</v>
      </c>
      <c r="BU45" s="441"/>
    </row>
    <row r="46" spans="1:73" s="3" customFormat="1" ht="13.15" hidden="1" customHeight="1" outlineLevel="1">
      <c r="B46" s="224"/>
      <c r="C46" s="326"/>
      <c r="D46" s="357"/>
      <c r="E46" s="358"/>
      <c r="F46" s="358"/>
      <c r="G46" s="358"/>
      <c r="H46" s="442"/>
      <c r="I46" s="358"/>
      <c r="J46" s="358"/>
      <c r="K46" s="358"/>
      <c r="L46" s="358"/>
      <c r="M46" s="442"/>
      <c r="N46" s="358"/>
      <c r="O46" s="358"/>
      <c r="P46" s="358"/>
      <c r="Q46" s="358"/>
      <c r="R46" s="442"/>
      <c r="S46" s="358"/>
      <c r="T46" s="358"/>
      <c r="U46" s="358"/>
      <c r="V46" s="358"/>
      <c r="W46" s="442"/>
      <c r="X46" s="358"/>
      <c r="Y46" s="358"/>
      <c r="Z46" s="358"/>
      <c r="AA46" s="358"/>
      <c r="AB46" s="442"/>
      <c r="AC46" s="358"/>
      <c r="AD46" s="358"/>
      <c r="AE46" s="358"/>
      <c r="AF46" s="358"/>
      <c r="AG46" s="441"/>
      <c r="AH46" s="426"/>
      <c r="AI46" s="426"/>
      <c r="AJ46" s="426"/>
      <c r="AK46" s="426"/>
      <c r="AL46" s="650"/>
      <c r="AM46" s="426"/>
      <c r="AN46" s="358"/>
      <c r="AO46" s="358"/>
      <c r="AP46" s="358"/>
      <c r="AQ46" s="441"/>
      <c r="AR46" s="358"/>
      <c r="AS46" s="358"/>
      <c r="AT46" s="358"/>
      <c r="AU46" s="358"/>
      <c r="AV46" s="441"/>
      <c r="AW46" s="358"/>
      <c r="AX46" s="358"/>
      <c r="AY46" s="358"/>
      <c r="AZ46" s="358"/>
      <c r="BA46" s="441"/>
      <c r="BB46" s="358"/>
      <c r="BC46" s="358"/>
      <c r="BD46" s="358"/>
      <c r="BE46" s="358"/>
      <c r="BF46" s="441"/>
      <c r="BG46" s="358"/>
      <c r="BH46" s="358"/>
      <c r="BI46" s="358"/>
      <c r="BJ46" s="358"/>
      <c r="BK46" s="441"/>
      <c r="BL46" s="358"/>
      <c r="BM46" s="358"/>
      <c r="BN46" s="358"/>
      <c r="BO46" s="358"/>
      <c r="BP46" s="441"/>
      <c r="BQ46" s="358"/>
      <c r="BR46" s="358"/>
      <c r="BS46" s="358"/>
      <c r="BT46" s="358"/>
      <c r="BU46" s="441"/>
    </row>
    <row r="47" spans="1:73" ht="11.25" customHeight="1" collapsed="1">
      <c r="A47" s="296"/>
      <c r="B47" s="272" t="s">
        <v>493</v>
      </c>
      <c r="C47" s="274"/>
      <c r="D47" s="205">
        <v>1976</v>
      </c>
      <c r="E47" s="205">
        <v>2393</v>
      </c>
      <c r="F47" s="205">
        <v>2890</v>
      </c>
      <c r="G47" s="205">
        <v>3575</v>
      </c>
      <c r="H47" s="444">
        <f>+D47+E47+F47+G47</f>
        <v>10834</v>
      </c>
      <c r="I47" s="205">
        <v>4127</v>
      </c>
      <c r="J47" s="205">
        <v>4898</v>
      </c>
      <c r="K47" s="205">
        <v>5070</v>
      </c>
      <c r="L47" s="205">
        <v>6121</v>
      </c>
      <c r="M47" s="444">
        <f>+I47+J47+K47+L47</f>
        <v>20216</v>
      </c>
      <c r="N47" s="205">
        <v>6270</v>
      </c>
      <c r="O47" s="205">
        <v>6850</v>
      </c>
      <c r="P47" s="205">
        <v>7537</v>
      </c>
      <c r="Q47" s="205">
        <v>9973</v>
      </c>
      <c r="R47" s="444">
        <f>+N47+O47+P47+Q47</f>
        <v>30630</v>
      </c>
      <c r="S47" s="205">
        <v>8501</v>
      </c>
      <c r="T47" s="205">
        <v>8937</v>
      </c>
      <c r="U47" s="205">
        <v>9241</v>
      </c>
      <c r="V47" s="205">
        <v>11245</v>
      </c>
      <c r="W47" s="444">
        <f>+S47+T47+U47+V47</f>
        <v>37924</v>
      </c>
      <c r="X47" s="205">
        <v>8483</v>
      </c>
      <c r="Y47" s="205">
        <v>8788</v>
      </c>
      <c r="Z47" s="205">
        <v>7922</v>
      </c>
      <c r="AA47" s="205">
        <v>8104</v>
      </c>
      <c r="AB47" s="444">
        <f>+X47+Y47+Z47+AA47</f>
        <v>33297</v>
      </c>
      <c r="AC47" s="205">
        <v>7340</v>
      </c>
      <c r="AD47" s="205">
        <v>6380</v>
      </c>
      <c r="AE47" s="205">
        <v>6679</v>
      </c>
      <c r="AF47" s="205">
        <v>8651</v>
      </c>
      <c r="AG47" s="444">
        <f>+AC47+AD47+AE47+AF47</f>
        <v>29050</v>
      </c>
      <c r="AH47" s="808">
        <v>6791</v>
      </c>
      <c r="AI47" s="808">
        <v>6482</v>
      </c>
      <c r="AJ47" s="808">
        <f>6516</f>
        <v>6516</v>
      </c>
      <c r="AK47" s="808">
        <f>8775</f>
        <v>8775</v>
      </c>
      <c r="AL47" s="654">
        <f>+AH47+AI47+AJ47+AK47</f>
        <v>28564</v>
      </c>
      <c r="AM47" s="205">
        <f>8166</f>
        <v>8166</v>
      </c>
      <c r="AN47" s="205">
        <f>7274</f>
        <v>7274</v>
      </c>
      <c r="AO47" s="205">
        <f>8745</f>
        <v>8745</v>
      </c>
      <c r="AP47" s="809">
        <f>10376</f>
        <v>10376</v>
      </c>
      <c r="AQ47" s="444">
        <f>+AM47+AN47+AO47+AP47</f>
        <v>34561</v>
      </c>
      <c r="AR47" s="809">
        <f>8359</f>
        <v>8359</v>
      </c>
      <c r="AS47" s="809">
        <f>8333</f>
        <v>8333</v>
      </c>
      <c r="AT47" s="809">
        <f>9269</f>
        <v>9269</v>
      </c>
      <c r="AU47" s="809">
        <f>11587</f>
        <v>11587</v>
      </c>
      <c r="AV47" s="444">
        <f>+AR47+AS47+AT47+AU47</f>
        <v>37548</v>
      </c>
      <c r="AW47" s="809">
        <f>9402</f>
        <v>9402</v>
      </c>
      <c r="AX47" s="205">
        <f>8721</f>
        <v>8721</v>
      </c>
      <c r="AY47" s="205">
        <f>8967</f>
        <v>8967</v>
      </c>
      <c r="AZ47" s="205">
        <f>10449</f>
        <v>10449</v>
      </c>
      <c r="BA47" s="444">
        <f>+AW47+AX47+AY47+AZ47</f>
        <v>37539</v>
      </c>
      <c r="BB47" s="205">
        <f>8183</f>
        <v>8183</v>
      </c>
      <c r="BC47" s="809">
        <f>7924</f>
        <v>7924</v>
      </c>
      <c r="BD47" s="205">
        <f>9061</f>
        <v>9061</v>
      </c>
      <c r="BE47" s="205">
        <f>9933</f>
        <v>9933</v>
      </c>
      <c r="BF47" s="444">
        <f>+BB47+BC47+BD47+BE47</f>
        <v>35101</v>
      </c>
      <c r="BG47" s="205">
        <f>6318</f>
        <v>6318</v>
      </c>
      <c r="BH47" s="205">
        <f>6096</f>
        <v>6096</v>
      </c>
      <c r="BI47" s="205">
        <f>7814</f>
        <v>7814</v>
      </c>
      <c r="BJ47" s="205">
        <f>8241</f>
        <v>8241</v>
      </c>
      <c r="BK47" s="444">
        <f>+BG47+BH47+BI47+BJ47</f>
        <v>28469</v>
      </c>
      <c r="BL47" s="205">
        <f>BG47*(1+BL48)</f>
        <v>5054.4000000000005</v>
      </c>
      <c r="BM47" s="205">
        <f>BH47*(1+BM48)</f>
        <v>4998.72</v>
      </c>
      <c r="BN47" s="205">
        <f>BI47*(1+BN48)</f>
        <v>6407.4800000000005</v>
      </c>
      <c r="BO47" s="205">
        <f>BJ47*(1+BO48)</f>
        <v>6757.6200000000008</v>
      </c>
      <c r="BP47" s="444">
        <f>+BL47+BM47+BN47+BO47</f>
        <v>23218.22</v>
      </c>
      <c r="BQ47" s="205">
        <f>BL47*(1+BQ48)</f>
        <v>4548.9600000000009</v>
      </c>
      <c r="BR47" s="205">
        <f>BM47*(1+BR48)</f>
        <v>4498.848</v>
      </c>
      <c r="BS47" s="205">
        <f>BN47*(1+BS48)</f>
        <v>5766.7320000000009</v>
      </c>
      <c r="BT47" s="205">
        <f>BO47*(1+BT48)</f>
        <v>6081.8580000000011</v>
      </c>
      <c r="BU47" s="444">
        <f>+BQ47+BR47+BS47+BT47</f>
        <v>20896.398000000001</v>
      </c>
    </row>
    <row r="48" spans="1:73" s="3" customFormat="1" ht="13.35" hidden="1" customHeight="1" outlineLevel="1">
      <c r="B48" s="224" t="s">
        <v>126</v>
      </c>
      <c r="C48" s="326"/>
      <c r="H48" s="441"/>
      <c r="I48" s="360">
        <f t="shared" ref="I48:AN48" si="68">+I47/D47-1</f>
        <v>1.0885627530364372</v>
      </c>
      <c r="J48" s="360">
        <f t="shared" si="68"/>
        <v>1.0468031759297953</v>
      </c>
      <c r="K48" s="360">
        <f t="shared" si="68"/>
        <v>0.75432525951557095</v>
      </c>
      <c r="L48" s="360">
        <f t="shared" si="68"/>
        <v>0.71216783216783219</v>
      </c>
      <c r="M48" s="463">
        <f t="shared" si="68"/>
        <v>0.86597747830902705</v>
      </c>
      <c r="N48" s="360">
        <f t="shared" si="68"/>
        <v>0.51926338744850975</v>
      </c>
      <c r="O48" s="360">
        <f t="shared" si="68"/>
        <v>0.39853001224989781</v>
      </c>
      <c r="P48" s="360">
        <f t="shared" si="68"/>
        <v>0.48658777120315588</v>
      </c>
      <c r="Q48" s="360">
        <f t="shared" si="68"/>
        <v>0.62930893644829267</v>
      </c>
      <c r="R48" s="463">
        <f t="shared" si="68"/>
        <v>0.5151365255243372</v>
      </c>
      <c r="S48" s="360">
        <f t="shared" si="68"/>
        <v>0.35582137161084537</v>
      </c>
      <c r="T48" s="360">
        <f t="shared" si="68"/>
        <v>0.30467153284671533</v>
      </c>
      <c r="U48" s="360">
        <f t="shared" si="68"/>
        <v>0.22608464906461467</v>
      </c>
      <c r="V48" s="360">
        <f t="shared" si="68"/>
        <v>0.12754436979845574</v>
      </c>
      <c r="W48" s="463">
        <f t="shared" si="68"/>
        <v>0.23813254978778975</v>
      </c>
      <c r="X48" s="360">
        <f t="shared" si="68"/>
        <v>-2.1173979531819986E-3</v>
      </c>
      <c r="Y48" s="360">
        <f t="shared" si="68"/>
        <v>-1.6672261385252352E-2</v>
      </c>
      <c r="Z48" s="360">
        <f t="shared" si="68"/>
        <v>-0.14273347040363593</v>
      </c>
      <c r="AA48" s="360">
        <f t="shared" si="68"/>
        <v>-0.2793241440640285</v>
      </c>
      <c r="AB48" s="463">
        <f t="shared" si="68"/>
        <v>-0.12200717223921531</v>
      </c>
      <c r="AC48" s="360">
        <f t="shared" si="68"/>
        <v>-0.13474006837203822</v>
      </c>
      <c r="AD48" s="360">
        <f t="shared" si="68"/>
        <v>-0.27401001365498412</v>
      </c>
      <c r="AE48" s="360">
        <f t="shared" si="68"/>
        <v>-0.15690482201464273</v>
      </c>
      <c r="AF48" s="360">
        <f t="shared" si="68"/>
        <v>6.7497532082922085E-2</v>
      </c>
      <c r="AG48" s="463">
        <f t="shared" si="68"/>
        <v>-0.12754902844100069</v>
      </c>
      <c r="AH48" s="360">
        <f t="shared" si="68"/>
        <v>-7.4795640326975499E-2</v>
      </c>
      <c r="AI48" s="425">
        <f t="shared" si="68"/>
        <v>1.5987460815046983E-2</v>
      </c>
      <c r="AJ48" s="425">
        <f t="shared" si="68"/>
        <v>-2.4404851025602636E-2</v>
      </c>
      <c r="AK48" s="425">
        <f t="shared" si="68"/>
        <v>1.4333603051670307E-2</v>
      </c>
      <c r="AL48" s="649">
        <f t="shared" si="68"/>
        <v>-1.6729776247848549E-2</v>
      </c>
      <c r="AM48" s="360">
        <f t="shared" si="68"/>
        <v>0.2024738624650273</v>
      </c>
      <c r="AN48" s="360">
        <f t="shared" si="68"/>
        <v>0.12218451095340943</v>
      </c>
      <c r="AO48" s="360">
        <f t="shared" ref="AO48:BJ48" si="69">+AO47/AJ47-1</f>
        <v>0.34208103130755063</v>
      </c>
      <c r="AP48" s="360">
        <f t="shared" si="69"/>
        <v>0.18245014245014235</v>
      </c>
      <c r="AQ48" s="463">
        <f t="shared" si="69"/>
        <v>0.20994958689259202</v>
      </c>
      <c r="AR48" s="360">
        <f t="shared" si="69"/>
        <v>2.3634582414890914E-2</v>
      </c>
      <c r="AS48" s="360">
        <f t="shared" si="69"/>
        <v>0.14558702227110265</v>
      </c>
      <c r="AT48" s="360">
        <f t="shared" si="69"/>
        <v>5.9919954259576969E-2</v>
      </c>
      <c r="AU48" s="360">
        <f t="shared" si="69"/>
        <v>0.11671164225134922</v>
      </c>
      <c r="AV48" s="463">
        <f t="shared" si="69"/>
        <v>8.6426897369867861E-2</v>
      </c>
      <c r="AW48" s="360">
        <f t="shared" si="69"/>
        <v>0.12477569087211382</v>
      </c>
      <c r="AX48" s="360">
        <f t="shared" si="69"/>
        <v>4.6561862474499005E-2</v>
      </c>
      <c r="AY48" s="360">
        <f t="shared" si="69"/>
        <v>-3.258172402632431E-2</v>
      </c>
      <c r="AZ48" s="360">
        <f t="shared" si="69"/>
        <v>-9.8213515146284625E-2</v>
      </c>
      <c r="BA48" s="463">
        <f t="shared" si="69"/>
        <v>-2.3969319271333056E-4</v>
      </c>
      <c r="BB48" s="360">
        <f t="shared" si="69"/>
        <v>-0.12965326526271004</v>
      </c>
      <c r="BC48" s="360">
        <f t="shared" si="69"/>
        <v>-9.1388602224515503E-2</v>
      </c>
      <c r="BD48" s="360">
        <f t="shared" si="69"/>
        <v>1.048288167726108E-2</v>
      </c>
      <c r="BE48" s="360">
        <f t="shared" si="69"/>
        <v>-4.9382716049382713E-2</v>
      </c>
      <c r="BF48" s="463">
        <f t="shared" si="69"/>
        <v>-6.4945789712032798E-2</v>
      </c>
      <c r="BG48" s="360">
        <f t="shared" si="69"/>
        <v>-0.22791152389099356</v>
      </c>
      <c r="BH48" s="360">
        <f t="shared" si="69"/>
        <v>-0.23069156991418471</v>
      </c>
      <c r="BI48" s="360">
        <f t="shared" si="69"/>
        <v>-0.13762277894272157</v>
      </c>
      <c r="BJ48" s="360">
        <f t="shared" si="69"/>
        <v>-0.17034128662035641</v>
      </c>
      <c r="BK48" s="463">
        <f>+BK47/BF47-1</f>
        <v>-0.18894048602603919</v>
      </c>
      <c r="BL48" s="381">
        <v>-0.2</v>
      </c>
      <c r="BM48" s="381">
        <v>-0.18</v>
      </c>
      <c r="BN48" s="381">
        <v>-0.18</v>
      </c>
      <c r="BO48" s="381">
        <v>-0.18</v>
      </c>
      <c r="BP48" s="463">
        <f>+BP47/BK47-1</f>
        <v>-0.18443851206575568</v>
      </c>
      <c r="BQ48" s="381">
        <v>-0.1</v>
      </c>
      <c r="BR48" s="381">
        <v>-0.1</v>
      </c>
      <c r="BS48" s="381">
        <v>-0.1</v>
      </c>
      <c r="BT48" s="381">
        <v>-0.1</v>
      </c>
      <c r="BU48" s="463">
        <f>+BU47/BP47-1</f>
        <v>-9.9999999999999978E-2</v>
      </c>
    </row>
    <row r="49" spans="1:73" s="3" customFormat="1" ht="13.35" hidden="1" customHeight="1" outlineLevel="1">
      <c r="B49" s="224" t="s">
        <v>141</v>
      </c>
      <c r="C49" s="326"/>
      <c r="D49" s="357"/>
      <c r="E49" s="358">
        <f>+E47/D47-1</f>
        <v>0.21103238866396756</v>
      </c>
      <c r="F49" s="358">
        <f>+F47/E47-1</f>
        <v>0.20768909318846629</v>
      </c>
      <c r="G49" s="358">
        <f>+G47/F47-1</f>
        <v>0.23702422145328716</v>
      </c>
      <c r="H49" s="442"/>
      <c r="I49" s="358">
        <f>+I47/G47-1</f>
        <v>0.15440559440559443</v>
      </c>
      <c r="J49" s="358">
        <f>+J47/I47-1</f>
        <v>0.18681851223649137</v>
      </c>
      <c r="K49" s="358">
        <f>+K47/J47-1</f>
        <v>3.5116374030216502E-2</v>
      </c>
      <c r="L49" s="358">
        <f>+L47/K47-1</f>
        <v>0.20729783037475347</v>
      </c>
      <c r="M49" s="442"/>
      <c r="N49" s="358">
        <f>+N47/L47-1</f>
        <v>2.4342427707890968E-2</v>
      </c>
      <c r="O49" s="358">
        <f>+O47/N47-1</f>
        <v>9.2503987240829311E-2</v>
      </c>
      <c r="P49" s="358">
        <f>+P47/O47-1</f>
        <v>0.10029197080291974</v>
      </c>
      <c r="Q49" s="358">
        <f>+Q47/P47-1</f>
        <v>0.32320551943744191</v>
      </c>
      <c r="R49" s="442"/>
      <c r="S49" s="358">
        <f>+S47/Q47-1</f>
        <v>-0.14759851599318163</v>
      </c>
      <c r="T49" s="358">
        <f>+T47/S47-1</f>
        <v>5.1288083754852387E-2</v>
      </c>
      <c r="U49" s="358">
        <f>+U47/T47-1</f>
        <v>3.4015889000783339E-2</v>
      </c>
      <c r="V49" s="358">
        <f>+V47/U47-1</f>
        <v>0.21685964722432627</v>
      </c>
      <c r="W49" s="442"/>
      <c r="X49" s="358">
        <f>+X47/V47-1</f>
        <v>-0.24562027567807909</v>
      </c>
      <c r="Y49" s="358">
        <f>+Y47/X47-1</f>
        <v>3.5954261464104631E-2</v>
      </c>
      <c r="Z49" s="358">
        <f>+Z47/Y47-1</f>
        <v>-9.8543468365953624E-2</v>
      </c>
      <c r="AA49" s="358">
        <f>+AA47/Z47-1</f>
        <v>2.2973996465539104E-2</v>
      </c>
      <c r="AB49" s="442"/>
      <c r="AC49" s="358">
        <f>+AC47/AA47-1</f>
        <v>-9.4274432379072071E-2</v>
      </c>
      <c r="AD49" s="358">
        <f>+AD47/AC47-1</f>
        <v>-0.13079019073569487</v>
      </c>
      <c r="AE49" s="358">
        <f>+AE47/AD47-1</f>
        <v>4.6865203761755403E-2</v>
      </c>
      <c r="AF49" s="358">
        <f>+AF47/AE47-1</f>
        <v>0.29525378050606377</v>
      </c>
      <c r="AG49" s="441"/>
      <c r="AH49" s="426">
        <f>+AH47/AF47-1</f>
        <v>-0.21500404577505494</v>
      </c>
      <c r="AI49" s="426">
        <f>+AI47/AH47-1</f>
        <v>-4.5501398910322455E-2</v>
      </c>
      <c r="AJ49" s="426">
        <f>+AJ47/AI47-1</f>
        <v>5.2452946621412977E-3</v>
      </c>
      <c r="AK49" s="426">
        <f>+AK47/AJ47-1</f>
        <v>0.34668508287292821</v>
      </c>
      <c r="AL49" s="650"/>
      <c r="AM49" s="426">
        <f>+AM47/AK47-1</f>
        <v>-6.9401709401709422E-2</v>
      </c>
      <c r="AN49" s="358">
        <f>+AN47/AM47-1</f>
        <v>-0.10923340680871907</v>
      </c>
      <c r="AO49" s="358">
        <f>+AO47/AN47-1</f>
        <v>0.20222711025570517</v>
      </c>
      <c r="AP49" s="358">
        <f>+AP47/AO47-1</f>
        <v>0.18650657518582037</v>
      </c>
      <c r="AQ49" s="441"/>
      <c r="AR49" s="358">
        <f>+AR47/AP47-1</f>
        <v>-0.19439090208172705</v>
      </c>
      <c r="AS49" s="358">
        <f>+AS47/AR47-1</f>
        <v>-3.1104199066873672E-3</v>
      </c>
      <c r="AT49" s="358">
        <f>+AT47/AS47-1</f>
        <v>0.11232449297971914</v>
      </c>
      <c r="AU49" s="358">
        <f>+AU47/AT47-1</f>
        <v>0.25008091487754891</v>
      </c>
      <c r="AV49" s="441"/>
      <c r="AW49" s="358">
        <f>+AW47/AU47-1</f>
        <v>-0.18857340122551136</v>
      </c>
      <c r="AX49" s="358">
        <f>+AX47/AW47-1</f>
        <v>-7.2431397574984069E-2</v>
      </c>
      <c r="AY49" s="358">
        <f>+AY47/AX47-1</f>
        <v>2.8207774337805303E-2</v>
      </c>
      <c r="AZ49" s="358">
        <f>+AZ47/AY47-1</f>
        <v>0.16527266644362659</v>
      </c>
      <c r="BA49" s="441"/>
      <c r="BB49" s="358">
        <f>+BB47/AZ47-1</f>
        <v>-0.21686285768973113</v>
      </c>
      <c r="BC49" s="358">
        <f>+BC47/BB47-1</f>
        <v>-3.1650983746792094E-2</v>
      </c>
      <c r="BD49" s="358">
        <f>+BD47/BC47-1</f>
        <v>0.14348813730439169</v>
      </c>
      <c r="BE49" s="358">
        <f>+BE47/BD47-1</f>
        <v>9.6236618474782043E-2</v>
      </c>
      <c r="BF49" s="441"/>
      <c r="BG49" s="358">
        <f>+BG47/BE47-1</f>
        <v>-0.36393838719420113</v>
      </c>
      <c r="BH49" s="358">
        <f>+BH47/BG47-1</f>
        <v>-3.5137701804368482E-2</v>
      </c>
      <c r="BI49" s="358">
        <f>+BI47/BH47-1</f>
        <v>0.28182414698162739</v>
      </c>
      <c r="BJ49" s="358">
        <f>+BJ47/BI47-1</f>
        <v>5.4645508062451942E-2</v>
      </c>
      <c r="BK49" s="441"/>
      <c r="BL49" s="358">
        <f>+BL47/BJ47-1</f>
        <v>-0.38667637422642875</v>
      </c>
      <c r="BM49" s="358">
        <f>+BM47/BL47-1</f>
        <v>-1.101614434947773E-2</v>
      </c>
      <c r="BN49" s="358">
        <f>+BN47/BM47-1</f>
        <v>0.28182414698162739</v>
      </c>
      <c r="BO49" s="358">
        <f>+BO47/BN47-1</f>
        <v>5.4645508062452164E-2</v>
      </c>
      <c r="BP49" s="441"/>
      <c r="BQ49" s="358">
        <f>+BQ47/BO47-1</f>
        <v>-0.32683992293144626</v>
      </c>
      <c r="BR49" s="358">
        <f>+BR47/BQ47-1</f>
        <v>-1.1016144349477952E-2</v>
      </c>
      <c r="BS49" s="358">
        <f>+BS47/BR47-1</f>
        <v>0.28182414698162761</v>
      </c>
      <c r="BT49" s="358">
        <f>+BT47/BS47-1</f>
        <v>5.4645508062451942E-2</v>
      </c>
      <c r="BU49" s="441"/>
    </row>
    <row r="50" spans="1:73" ht="12.75" hidden="1" outlineLevel="1">
      <c r="B50" s="272" t="s">
        <v>497</v>
      </c>
      <c r="C50" s="299"/>
      <c r="D50" s="159">
        <f t="shared" ref="D50:AI50" si="70">+D47/D$52</f>
        <v>0.11806883365200765</v>
      </c>
      <c r="E50" s="159">
        <f t="shared" si="70"/>
        <v>0.13383668903803131</v>
      </c>
      <c r="F50" s="159">
        <f t="shared" si="70"/>
        <v>0.14216144424221555</v>
      </c>
      <c r="G50" s="159">
        <f t="shared" si="70"/>
        <v>0.16298153635741966</v>
      </c>
      <c r="H50" s="440">
        <f t="shared" si="70"/>
        <v>0.14092091571279916</v>
      </c>
      <c r="I50" s="159">
        <f t="shared" si="70"/>
        <v>0.17508803190361036</v>
      </c>
      <c r="J50" s="159">
        <f t="shared" si="70"/>
        <v>0.1899185730903451</v>
      </c>
      <c r="K50" s="159">
        <f t="shared" si="70"/>
        <v>0.17907601017236507</v>
      </c>
      <c r="L50" s="159">
        <f t="shared" si="70"/>
        <v>0.18631479621343561</v>
      </c>
      <c r="M50" s="440">
        <f t="shared" si="70"/>
        <v>0.18290718925863597</v>
      </c>
      <c r="N50" s="159">
        <f t="shared" si="70"/>
        <v>0.18019312564662604</v>
      </c>
      <c r="O50" s="159">
        <f t="shared" si="70"/>
        <v>0.18380379950627884</v>
      </c>
      <c r="P50" s="159">
        <f t="shared" si="70"/>
        <v>0.18684151813381591</v>
      </c>
      <c r="Q50" s="159">
        <f t="shared" si="70"/>
        <v>0.22145490074166185</v>
      </c>
      <c r="R50" s="440">
        <f t="shared" si="70"/>
        <v>0.19455401208102288</v>
      </c>
      <c r="S50" s="159">
        <f t="shared" si="70"/>
        <v>0.18788816443805945</v>
      </c>
      <c r="T50" s="159">
        <f t="shared" si="70"/>
        <v>0.18837341652087769</v>
      </c>
      <c r="U50" s="159">
        <f t="shared" si="70"/>
        <v>0.18291403574751094</v>
      </c>
      <c r="V50" s="159">
        <f t="shared" si="70"/>
        <v>0.19478269906982384</v>
      </c>
      <c r="W50" s="440">
        <f t="shared" si="70"/>
        <v>0.1887329551109784</v>
      </c>
      <c r="X50" s="159">
        <f t="shared" si="70"/>
        <v>0.15560854810602587</v>
      </c>
      <c r="Y50" s="159">
        <f t="shared" si="70"/>
        <v>0.15037388135042179</v>
      </c>
      <c r="Z50" s="159">
        <f t="shared" si="70"/>
        <v>0.12702637697426442</v>
      </c>
      <c r="AA50" s="159">
        <f t="shared" si="70"/>
        <v>0.11784208230332995</v>
      </c>
      <c r="AB50" s="440">
        <f t="shared" si="70"/>
        <v>0.13641223969748986</v>
      </c>
      <c r="AC50" s="159">
        <f t="shared" si="70"/>
        <v>0.10029377604700417</v>
      </c>
      <c r="AD50" s="159">
        <f t="shared" si="70"/>
        <v>8.0801428589521149E-2</v>
      </c>
      <c r="AE50" s="159">
        <f t="shared" si="70"/>
        <v>8.0319884552943296E-2</v>
      </c>
      <c r="AF50" s="159">
        <f t="shared" si="70"/>
        <v>9.4393767458100561E-2</v>
      </c>
      <c r="AG50" s="440">
        <f t="shared" si="70"/>
        <v>8.8852321630111308E-2</v>
      </c>
      <c r="AH50" s="424">
        <f t="shared" si="70"/>
        <v>7.1984312062751743E-2</v>
      </c>
      <c r="AI50" s="424">
        <f t="shared" si="70"/>
        <v>6.5532999029440306E-2</v>
      </c>
      <c r="AJ50" s="424">
        <f t="shared" ref="AJ50:BP50" si="71">+AJ47/AJ$52</f>
        <v>6.2012847965738756E-2</v>
      </c>
      <c r="AK50" s="424">
        <f t="shared" si="71"/>
        <v>7.7545754204261255E-2</v>
      </c>
      <c r="AL50" s="648">
        <f t="shared" si="71"/>
        <v>6.9416699474587229E-2</v>
      </c>
      <c r="AM50" s="424">
        <f t="shared" si="71"/>
        <v>6.9526866523060685E-2</v>
      </c>
      <c r="AN50" s="159">
        <f t="shared" si="71"/>
        <v>5.7537909049920503E-2</v>
      </c>
      <c r="AO50" s="159">
        <f t="shared" si="71"/>
        <v>6.2511615937781456E-2</v>
      </c>
      <c r="AP50" s="159">
        <f t="shared" si="71"/>
        <v>6.8426120101821447E-2</v>
      </c>
      <c r="AQ50" s="440">
        <f t="shared" si="71"/>
        <v>6.4551254753419843E-2</v>
      </c>
      <c r="AR50" s="159">
        <f t="shared" si="71"/>
        <v>5.3112133380775681E-2</v>
      </c>
      <c r="AS50" s="159">
        <f t="shared" si="71"/>
        <v>4.976262279418351E-2</v>
      </c>
      <c r="AT50" s="159">
        <f t="shared" si="71"/>
        <v>5.2735186186100756E-2</v>
      </c>
      <c r="AU50" s="159">
        <f t="shared" si="71"/>
        <v>6.280931704963709E-2</v>
      </c>
      <c r="AV50" s="440">
        <f t="shared" si="71"/>
        <v>5.4807957575943353E-2</v>
      </c>
      <c r="AW50" s="159">
        <f t="shared" si="71"/>
        <v>5.132824527498444E-2</v>
      </c>
      <c r="AX50" s="159">
        <f t="shared" si="71"/>
        <v>4.5798279610549199E-2</v>
      </c>
      <c r="AY50" s="159">
        <f t="shared" si="71"/>
        <v>4.5095879663855407E-2</v>
      </c>
      <c r="AZ50" s="159">
        <f t="shared" si="71"/>
        <v>5.0904183798741155E-2</v>
      </c>
      <c r="BA50" s="440">
        <f t="shared" si="71"/>
        <v>4.8268821034142678E-2</v>
      </c>
      <c r="BB50" s="159">
        <f t="shared" si="71"/>
        <v>3.9897416394849367E-2</v>
      </c>
      <c r="BC50" s="159">
        <f t="shared" si="71"/>
        <v>3.8097802308753745E-2</v>
      </c>
      <c r="BD50" s="159">
        <f t="shared" si="71"/>
        <v>4.2212118106347889E-2</v>
      </c>
      <c r="BE50" s="159">
        <f t="shared" si="71"/>
        <v>4.5930611622067782E-2</v>
      </c>
      <c r="BF50" s="440">
        <f t="shared" si="71"/>
        <v>4.1588517630777942E-2</v>
      </c>
      <c r="BG50" s="159">
        <f t="shared" si="71"/>
        <v>3.0049511778666653E-2</v>
      </c>
      <c r="BH50" s="159">
        <f t="shared" si="71"/>
        <v>2.8460313829116731E-2</v>
      </c>
      <c r="BI50" s="159">
        <f t="shared" ref="BI50" si="72">+BI47/BI$52</f>
        <v>3.5850614791704899E-2</v>
      </c>
      <c r="BJ50" s="159">
        <f t="shared" si="71"/>
        <v>3.7909176219478535E-2</v>
      </c>
      <c r="BK50" s="440">
        <f t="shared" si="71"/>
        <v>3.3111419712163609E-2</v>
      </c>
      <c r="BL50" s="159">
        <f t="shared" si="71"/>
        <v>2.4303537449982204E-2</v>
      </c>
      <c r="BM50" s="159">
        <f t="shared" si="71"/>
        <v>2.3924900990160616E-2</v>
      </c>
      <c r="BN50" s="159">
        <f t="shared" si="71"/>
        <v>3.0475659586652215E-2</v>
      </c>
      <c r="BO50" s="159">
        <f t="shared" si="71"/>
        <v>3.1917468253605398E-2</v>
      </c>
      <c r="BP50" s="440">
        <f t="shared" si="71"/>
        <v>2.7677830176901893E-2</v>
      </c>
      <c r="BQ50" s="159">
        <f t="shared" ref="BQ50:BU50" si="73">+BQ47/BQ$52</f>
        <v>2.1505787952678334E-2</v>
      </c>
      <c r="BR50" s="159">
        <f t="shared" si="73"/>
        <v>2.1169793251025595E-2</v>
      </c>
      <c r="BS50" s="159">
        <f t="shared" si="73"/>
        <v>2.6987046463666765E-2</v>
      </c>
      <c r="BT50" s="159">
        <f t="shared" si="73"/>
        <v>2.8268620553072516E-2</v>
      </c>
      <c r="BU50" s="440">
        <f t="shared" si="73"/>
        <v>2.4501396685095433E-2</v>
      </c>
    </row>
    <row r="51" spans="1:73" s="7" customFormat="1" ht="3.6" customHeight="1" collapsed="1">
      <c r="B51" s="186"/>
      <c r="C51" s="192"/>
      <c r="D51" s="200" t="s">
        <v>1</v>
      </c>
      <c r="E51" s="200" t="s">
        <v>1</v>
      </c>
      <c r="F51" s="200" t="s">
        <v>1</v>
      </c>
      <c r="G51" s="200" t="s">
        <v>1</v>
      </c>
      <c r="H51" s="443" t="s">
        <v>1</v>
      </c>
      <c r="I51" s="200" t="s">
        <v>1</v>
      </c>
      <c r="J51" s="200" t="s">
        <v>1</v>
      </c>
      <c r="K51" s="200" t="s">
        <v>1</v>
      </c>
      <c r="L51" s="200" t="s">
        <v>1</v>
      </c>
      <c r="M51" s="443" t="s">
        <v>1</v>
      </c>
      <c r="N51" s="200" t="s">
        <v>1</v>
      </c>
      <c r="O51" s="200" t="s">
        <v>1</v>
      </c>
      <c r="P51" s="200" t="s">
        <v>1</v>
      </c>
      <c r="Q51" s="200" t="s">
        <v>1</v>
      </c>
      <c r="R51" s="443" t="s">
        <v>1</v>
      </c>
      <c r="S51" s="200" t="s">
        <v>1</v>
      </c>
      <c r="T51" s="200" t="s">
        <v>1</v>
      </c>
      <c r="U51" s="200" t="s">
        <v>1</v>
      </c>
      <c r="V51" s="200" t="s">
        <v>1</v>
      </c>
      <c r="W51" s="443" t="s">
        <v>1</v>
      </c>
      <c r="X51" s="200" t="s">
        <v>1</v>
      </c>
      <c r="Y51" s="200" t="s">
        <v>1</v>
      </c>
      <c r="Z51" s="200" t="s">
        <v>1</v>
      </c>
      <c r="AA51" s="200" t="s">
        <v>1</v>
      </c>
      <c r="AB51" s="443" t="s">
        <v>1</v>
      </c>
      <c r="AC51" s="200" t="s">
        <v>1</v>
      </c>
      <c r="AD51" s="200" t="s">
        <v>1</v>
      </c>
      <c r="AE51" s="200" t="s">
        <v>1</v>
      </c>
      <c r="AF51" s="200" t="s">
        <v>1</v>
      </c>
      <c r="AG51" s="443" t="s">
        <v>1</v>
      </c>
      <c r="AH51" s="615" t="s">
        <v>1</v>
      </c>
      <c r="AI51" s="615" t="s">
        <v>1</v>
      </c>
      <c r="AJ51" s="615" t="s">
        <v>1</v>
      </c>
      <c r="AK51" s="615" t="s">
        <v>1</v>
      </c>
      <c r="AL51" s="652" t="s">
        <v>1</v>
      </c>
      <c r="AM51" s="200" t="s">
        <v>1</v>
      </c>
      <c r="AN51" s="200" t="s">
        <v>1</v>
      </c>
      <c r="AO51" s="200" t="s">
        <v>1</v>
      </c>
      <c r="AP51" s="200" t="s">
        <v>1</v>
      </c>
      <c r="AQ51" s="443" t="s">
        <v>1</v>
      </c>
      <c r="AR51" s="200" t="s">
        <v>1</v>
      </c>
      <c r="AS51" s="200" t="s">
        <v>1</v>
      </c>
      <c r="AT51" s="200" t="s">
        <v>1</v>
      </c>
      <c r="AU51" s="200" t="s">
        <v>1</v>
      </c>
      <c r="AV51" s="443" t="s">
        <v>1</v>
      </c>
      <c r="AW51" s="200" t="s">
        <v>1</v>
      </c>
      <c r="AX51" s="200" t="s">
        <v>1</v>
      </c>
      <c r="AY51" s="200" t="s">
        <v>1</v>
      </c>
      <c r="AZ51" s="200" t="s">
        <v>1</v>
      </c>
      <c r="BA51" s="443" t="s">
        <v>1</v>
      </c>
      <c r="BB51" s="200" t="s">
        <v>1</v>
      </c>
      <c r="BC51" s="200" t="s">
        <v>1</v>
      </c>
      <c r="BD51" s="200" t="s">
        <v>1</v>
      </c>
      <c r="BE51" s="200" t="s">
        <v>1</v>
      </c>
      <c r="BF51" s="443" t="s">
        <v>1</v>
      </c>
      <c r="BG51" s="200" t="s">
        <v>1</v>
      </c>
      <c r="BH51" s="200" t="s">
        <v>1</v>
      </c>
      <c r="BI51" s="200" t="s">
        <v>1</v>
      </c>
      <c r="BJ51" s="200" t="s">
        <v>1</v>
      </c>
      <c r="BK51" s="443" t="s">
        <v>1</v>
      </c>
      <c r="BL51" s="200" t="s">
        <v>1</v>
      </c>
      <c r="BM51" s="200" t="s">
        <v>1</v>
      </c>
      <c r="BN51" s="200" t="s">
        <v>1</v>
      </c>
      <c r="BO51" s="200" t="s">
        <v>1</v>
      </c>
      <c r="BP51" s="443" t="s">
        <v>1</v>
      </c>
      <c r="BQ51" s="200" t="s">
        <v>1</v>
      </c>
      <c r="BR51" s="200" t="s">
        <v>1</v>
      </c>
      <c r="BS51" s="200" t="s">
        <v>1</v>
      </c>
      <c r="BT51" s="200" t="s">
        <v>1</v>
      </c>
      <c r="BU51" s="443" t="s">
        <v>1</v>
      </c>
    </row>
    <row r="52" spans="1:73" ht="12" customHeight="1">
      <c r="B52" s="191" t="s">
        <v>504</v>
      </c>
      <c r="C52" s="269"/>
      <c r="D52" s="199">
        <f>+D30+D34+D47</f>
        <v>16736</v>
      </c>
      <c r="E52" s="199">
        <f>+E30+E34+E47</f>
        <v>17880</v>
      </c>
      <c r="F52" s="199">
        <f>+F30+F34+F47</f>
        <v>20329</v>
      </c>
      <c r="G52" s="199">
        <f>+G30+G34+G47</f>
        <v>21935</v>
      </c>
      <c r="H52" s="439">
        <f>+G52+F52+E52+D52</f>
        <v>76880</v>
      </c>
      <c r="I52" s="199">
        <f>+I30+I34+I47</f>
        <v>23571</v>
      </c>
      <c r="J52" s="199">
        <f>+J30+J34+J47</f>
        <v>25790</v>
      </c>
      <c r="K52" s="199">
        <f>+K30+K34+K47</f>
        <v>28312</v>
      </c>
      <c r="L52" s="199">
        <f>+L30+L34+L47</f>
        <v>32853</v>
      </c>
      <c r="M52" s="439">
        <f>+L52+K52+J52+I52</f>
        <v>110526</v>
      </c>
      <c r="N52" s="199">
        <f>+N30+N34+N47</f>
        <v>34796</v>
      </c>
      <c r="O52" s="199">
        <f>+O30+O34+O47</f>
        <v>37268</v>
      </c>
      <c r="P52" s="199">
        <f>+P30+P34+P47</f>
        <v>40339</v>
      </c>
      <c r="Q52" s="199">
        <f>+Q30+Q34+Q47</f>
        <v>45034</v>
      </c>
      <c r="R52" s="439">
        <f>+Q52+P52+O52+N52</f>
        <v>157437</v>
      </c>
      <c r="S52" s="199">
        <f>+S30+S34+S47</f>
        <v>45245</v>
      </c>
      <c r="T52" s="199">
        <f>+T30+T34+T47</f>
        <v>47443</v>
      </c>
      <c r="U52" s="199">
        <f>+U30+U34+U47</f>
        <v>50521</v>
      </c>
      <c r="V52" s="199">
        <f>+V30+V34+V47</f>
        <v>57731</v>
      </c>
      <c r="W52" s="439">
        <f>+V52+U52+T52+S52</f>
        <v>200940</v>
      </c>
      <c r="X52" s="199">
        <f>+X30+X34+X47</f>
        <v>54515</v>
      </c>
      <c r="Y52" s="199">
        <f>+Y30+Y34+Y47</f>
        <v>58441</v>
      </c>
      <c r="Z52" s="199">
        <f>+Z30+Z34+Z47</f>
        <v>62365</v>
      </c>
      <c r="AA52" s="199">
        <f>+AA30+AA34+AA47</f>
        <v>68770</v>
      </c>
      <c r="AB52" s="439">
        <f>+AA52+Z52+Y52+X52</f>
        <v>244091</v>
      </c>
      <c r="AC52" s="199">
        <f>+AC30+AC34+AC47</f>
        <v>73185</v>
      </c>
      <c r="AD52" s="199">
        <f>+AD30+AD34+AD47</f>
        <v>78959</v>
      </c>
      <c r="AE52" s="199">
        <f>+AE30+AE34+AE47</f>
        <v>83155</v>
      </c>
      <c r="AF52" s="199">
        <f>+AF30+AF34+AF47</f>
        <v>91648</v>
      </c>
      <c r="AG52" s="439">
        <f>+AF52+AE52+AD52+AC52</f>
        <v>326947</v>
      </c>
      <c r="AH52" s="418">
        <f>SUM(AH47,AH39)</f>
        <v>94340</v>
      </c>
      <c r="AI52" s="418">
        <f>SUM(AI47,AI39)</f>
        <v>98912</v>
      </c>
      <c r="AJ52" s="418">
        <f>SUM(AJ47,AJ39)</f>
        <v>105075</v>
      </c>
      <c r="AK52" s="418">
        <f>SUM(AK47,AK39)</f>
        <v>113159</v>
      </c>
      <c r="AL52" s="614">
        <f>+AK52+AJ52+AI52+AH52</f>
        <v>411486</v>
      </c>
      <c r="AM52" s="199">
        <f>SUM(AM47,AM39)</f>
        <v>117451</v>
      </c>
      <c r="AN52" s="199">
        <f>SUM(AN47,AN39)</f>
        <v>126421</v>
      </c>
      <c r="AO52" s="199">
        <f>SUM(AO47,AO39)</f>
        <v>139894</v>
      </c>
      <c r="AP52" s="199">
        <f>SUM(AP47,AP39)</f>
        <v>151638</v>
      </c>
      <c r="AQ52" s="439">
        <f>+AP52+AO52+AN52+AM52</f>
        <v>535404</v>
      </c>
      <c r="AR52" s="199">
        <f>SUM(AR47,AR39)</f>
        <v>157384</v>
      </c>
      <c r="AS52" s="199">
        <f>SUM(AS47,AS39)</f>
        <v>167455</v>
      </c>
      <c r="AT52" s="199">
        <f>SUM(AT47,AT39)</f>
        <v>175765</v>
      </c>
      <c r="AU52" s="199">
        <f>SUM(AU47,AU39)</f>
        <v>184479</v>
      </c>
      <c r="AV52" s="439">
        <f>+AU52+AT52+AS52+AR52</f>
        <v>685083</v>
      </c>
      <c r="AW52" s="199">
        <f>SUM(AW47,AW39)</f>
        <v>183174</v>
      </c>
      <c r="AX52" s="199">
        <f>SUM(AX47,AX39)</f>
        <v>190422</v>
      </c>
      <c r="AY52" s="199">
        <f>SUM(AY47,AY39)</f>
        <v>198843</v>
      </c>
      <c r="AZ52" s="199">
        <f>SUM(AZ47,AZ39)</f>
        <v>205268</v>
      </c>
      <c r="BA52" s="439">
        <f>+AZ52+AY52+AX52+AW52</f>
        <v>777707</v>
      </c>
      <c r="BB52" s="199">
        <f>SUM(BB47,BB39)</f>
        <v>205101</v>
      </c>
      <c r="BC52" s="199">
        <f>SUM(BC47,BC39)</f>
        <v>207991</v>
      </c>
      <c r="BD52" s="199">
        <f>SUM(BD47,BD39)</f>
        <v>214654</v>
      </c>
      <c r="BE52" s="199">
        <f>SUM(BE47,BE39)</f>
        <v>216261</v>
      </c>
      <c r="BF52" s="439">
        <f>+BE52+BD52+BC52+BB52</f>
        <v>844007</v>
      </c>
      <c r="BG52" s="199">
        <f>SUM(BG47,BG39)</f>
        <v>210253</v>
      </c>
      <c r="BH52" s="199">
        <f>SUM(BH47,BH39)</f>
        <v>214193</v>
      </c>
      <c r="BI52" s="199">
        <f>SUM(BI47,BI39)</f>
        <v>217960</v>
      </c>
      <c r="BJ52" s="199">
        <f>SUM(BJ47,BJ39)</f>
        <v>217388</v>
      </c>
      <c r="BK52" s="439">
        <f>+BJ52+BI52+BH52+BG52</f>
        <v>859794</v>
      </c>
      <c r="BL52" s="199">
        <f>SUM(BL47,BL39)</f>
        <v>207969.72500000001</v>
      </c>
      <c r="BM52" s="199">
        <f>SUM(BM47,BM39)</f>
        <v>208933.78</v>
      </c>
      <c r="BN52" s="199">
        <f>SUM(BN47,BN39)</f>
        <v>210249.1</v>
      </c>
      <c r="BO52" s="199">
        <f>SUM(BO47,BO39)</f>
        <v>211721.68</v>
      </c>
      <c r="BP52" s="439">
        <f>+BO52+BN52+BM52+BL52</f>
        <v>838874.28500000003</v>
      </c>
      <c r="BQ52" s="199">
        <f>SUM(BQ47,BQ39)</f>
        <v>211522.59150000001</v>
      </c>
      <c r="BR52" s="199">
        <f>SUM(BR47,BR39)</f>
        <v>212512.60920000001</v>
      </c>
      <c r="BS52" s="199">
        <f>SUM(BS47,BS39)</f>
        <v>213685.1844</v>
      </c>
      <c r="BT52" s="199">
        <f>SUM(BT47,BT39)</f>
        <v>215145.1992</v>
      </c>
      <c r="BU52" s="439">
        <f>+BT52+BS52+BR52+BQ52</f>
        <v>852865.58429999999</v>
      </c>
    </row>
    <row r="53" spans="1:73" s="3" customFormat="1" ht="13.35" hidden="1" customHeight="1" outlineLevel="1">
      <c r="B53" s="224" t="s">
        <v>126</v>
      </c>
      <c r="C53" s="326"/>
      <c r="H53" s="441"/>
      <c r="I53" s="360">
        <f t="shared" ref="I53:AQ53" si="74">+I52/D52-1</f>
        <v>0.40840105162523899</v>
      </c>
      <c r="J53" s="360">
        <f t="shared" si="74"/>
        <v>0.44239373601789711</v>
      </c>
      <c r="K53" s="360">
        <f t="shared" si="74"/>
        <v>0.3926902454621477</v>
      </c>
      <c r="L53" s="360">
        <f t="shared" si="74"/>
        <v>0.49774333257351255</v>
      </c>
      <c r="M53" s="463">
        <f t="shared" si="74"/>
        <v>0.43764308012486985</v>
      </c>
      <c r="N53" s="360">
        <f t="shared" si="74"/>
        <v>0.47622077977175348</v>
      </c>
      <c r="O53" s="360">
        <f t="shared" si="74"/>
        <v>0.44505622334238071</v>
      </c>
      <c r="P53" s="360">
        <f t="shared" si="74"/>
        <v>0.42480220401243285</v>
      </c>
      <c r="Q53" s="360">
        <f t="shared" si="74"/>
        <v>0.37077283657504645</v>
      </c>
      <c r="R53" s="463">
        <f t="shared" si="74"/>
        <v>0.42443406981162801</v>
      </c>
      <c r="S53" s="360">
        <f t="shared" si="74"/>
        <v>0.30029313714220018</v>
      </c>
      <c r="T53" s="360">
        <f t="shared" si="74"/>
        <v>0.27302243211334121</v>
      </c>
      <c r="U53" s="360">
        <f t="shared" si="74"/>
        <v>0.25241081831478218</v>
      </c>
      <c r="V53" s="360">
        <f t="shared" si="74"/>
        <v>0.28194253230892219</v>
      </c>
      <c r="W53" s="463">
        <f t="shared" si="74"/>
        <v>0.27632005183025599</v>
      </c>
      <c r="X53" s="360">
        <f t="shared" si="74"/>
        <v>0.20488451762625703</v>
      </c>
      <c r="Y53" s="360">
        <f t="shared" si="74"/>
        <v>0.23181502012941846</v>
      </c>
      <c r="Z53" s="360">
        <f t="shared" si="74"/>
        <v>0.23443716474337406</v>
      </c>
      <c r="AA53" s="360">
        <f t="shared" si="74"/>
        <v>0.19121442552528101</v>
      </c>
      <c r="AB53" s="463">
        <f t="shared" si="74"/>
        <v>0.21474569523240761</v>
      </c>
      <c r="AC53" s="360">
        <f t="shared" si="74"/>
        <v>0.34247454828946156</v>
      </c>
      <c r="AD53" s="360">
        <f t="shared" si="74"/>
        <v>0.3510891326294896</v>
      </c>
      <c r="AE53" s="360">
        <f t="shared" si="74"/>
        <v>0.33336005772468535</v>
      </c>
      <c r="AF53" s="360">
        <f t="shared" si="74"/>
        <v>0.33267413116184374</v>
      </c>
      <c r="AG53" s="463">
        <f t="shared" si="74"/>
        <v>0.33944717339025199</v>
      </c>
      <c r="AH53" s="425">
        <f t="shared" si="74"/>
        <v>0.28906196624991454</v>
      </c>
      <c r="AI53" s="425">
        <f t="shared" si="74"/>
        <v>0.25270076875340375</v>
      </c>
      <c r="AJ53" s="425">
        <f t="shared" si="74"/>
        <v>0.26360411280139506</v>
      </c>
      <c r="AK53" s="425">
        <f t="shared" si="74"/>
        <v>0.23471325069832405</v>
      </c>
      <c r="AL53" s="649">
        <f t="shared" si="74"/>
        <v>0.25857096104261545</v>
      </c>
      <c r="AM53" s="360">
        <f t="shared" si="74"/>
        <v>0.24497562009751972</v>
      </c>
      <c r="AN53" s="360">
        <f t="shared" si="74"/>
        <v>0.27811590100291173</v>
      </c>
      <c r="AO53" s="360">
        <f t="shared" si="74"/>
        <v>0.33137282893171549</v>
      </c>
      <c r="AP53" s="360">
        <f t="shared" si="74"/>
        <v>0.3400436553875521</v>
      </c>
      <c r="AQ53" s="463">
        <f t="shared" si="74"/>
        <v>0.30114754815473677</v>
      </c>
      <c r="AR53" s="360">
        <f t="shared" ref="AR53:BP53" si="75">+AR52/AM52-1</f>
        <v>0.33999710517577553</v>
      </c>
      <c r="AS53" s="360">
        <f t="shared" si="75"/>
        <v>0.32458215011746461</v>
      </c>
      <c r="AT53" s="360">
        <f t="shared" si="75"/>
        <v>0.25641557179006957</v>
      </c>
      <c r="AU53" s="360">
        <f t="shared" si="75"/>
        <v>0.21657500098919802</v>
      </c>
      <c r="AV53" s="463">
        <f t="shared" si="75"/>
        <v>0.27956272272900473</v>
      </c>
      <c r="AW53" s="360">
        <f t="shared" si="75"/>
        <v>0.16386672088649412</v>
      </c>
      <c r="AX53" s="360">
        <f t="shared" si="75"/>
        <v>0.13715326505628367</v>
      </c>
      <c r="AY53" s="360">
        <f t="shared" si="75"/>
        <v>0.13130031576252388</v>
      </c>
      <c r="AZ53" s="360">
        <f t="shared" si="75"/>
        <v>0.11269033331707123</v>
      </c>
      <c r="BA53" s="463">
        <f t="shared" si="75"/>
        <v>0.13520113621269259</v>
      </c>
      <c r="BB53" s="360">
        <f t="shared" si="75"/>
        <v>0.1197058534508173</v>
      </c>
      <c r="BC53" s="360">
        <f t="shared" si="75"/>
        <v>9.2263498965455604E-2</v>
      </c>
      <c r="BD53" s="360">
        <f t="shared" si="75"/>
        <v>7.9514994241688175E-2</v>
      </c>
      <c r="BE53" s="360">
        <f t="shared" si="75"/>
        <v>5.3554377691603205E-2</v>
      </c>
      <c r="BF53" s="463">
        <f t="shared" si="75"/>
        <v>8.5250614948817471E-2</v>
      </c>
      <c r="BG53" s="360">
        <f t="shared" si="75"/>
        <v>2.5119331451333826E-2</v>
      </c>
      <c r="BH53" s="360">
        <f t="shared" si="75"/>
        <v>2.9818597920102219E-2</v>
      </c>
      <c r="BI53" s="360">
        <f t="shared" si="75"/>
        <v>1.5401529903938505E-2</v>
      </c>
      <c r="BJ53" s="360">
        <f t="shared" si="75"/>
        <v>5.2112956103966823E-3</v>
      </c>
      <c r="BK53" s="463">
        <f t="shared" si="75"/>
        <v>1.8704821168544772E-2</v>
      </c>
      <c r="BL53" s="360">
        <f t="shared" si="75"/>
        <v>-1.0859654796839924E-2</v>
      </c>
      <c r="BM53" s="360">
        <f t="shared" si="75"/>
        <v>-2.4553650212658651E-2</v>
      </c>
      <c r="BN53" s="360">
        <f t="shared" si="75"/>
        <v>-3.5377592218755693E-2</v>
      </c>
      <c r="BO53" s="360">
        <f t="shared" si="75"/>
        <v>-2.606546819511657E-2</v>
      </c>
      <c r="BP53" s="463">
        <f t="shared" si="75"/>
        <v>-2.433107814197355E-2</v>
      </c>
      <c r="BQ53" s="360">
        <f t="shared" ref="BQ53" si="76">+BQ52/BL52-1</f>
        <v>1.7083575506002147E-2</v>
      </c>
      <c r="BR53" s="360">
        <f t="shared" ref="BR53" si="77">+BR52/BM52-1</f>
        <v>1.7129011881180656E-2</v>
      </c>
      <c r="BS53" s="360">
        <f t="shared" ref="BS53" si="78">+BS52/BN52-1</f>
        <v>1.6342920849601761E-2</v>
      </c>
      <c r="BT53" s="360">
        <f t="shared" ref="BT53" si="79">+BT52/BO52-1</f>
        <v>1.616990380956751E-2</v>
      </c>
      <c r="BU53" s="463">
        <f t="shared" ref="BU53" si="80">+BU52/BP52-1</f>
        <v>1.6678660378771637E-2</v>
      </c>
    </row>
    <row r="54" spans="1:73" s="3" customFormat="1" ht="13.35" hidden="1" customHeight="1" outlineLevel="1">
      <c r="B54" s="224" t="s">
        <v>141</v>
      </c>
      <c r="C54" s="326"/>
      <c r="D54" s="357"/>
      <c r="E54" s="358">
        <f>+E52/D52-1</f>
        <v>6.8355640535372908E-2</v>
      </c>
      <c r="F54" s="358">
        <f>+F52/E52-1</f>
        <v>0.13696868008948537</v>
      </c>
      <c r="G54" s="358">
        <f>+G52/F52-1</f>
        <v>7.9000442717300334E-2</v>
      </c>
      <c r="H54" s="442"/>
      <c r="I54" s="358">
        <f>+I52/G52-1</f>
        <v>7.4583998176430466E-2</v>
      </c>
      <c r="J54" s="358">
        <f>+J52/I52-1</f>
        <v>9.414110559585942E-2</v>
      </c>
      <c r="K54" s="358">
        <f>+K52/J52-1</f>
        <v>9.7789841023652624E-2</v>
      </c>
      <c r="L54" s="358">
        <f>+L52/K52-1</f>
        <v>0.16039135348968636</v>
      </c>
      <c r="M54" s="442"/>
      <c r="N54" s="358">
        <f>+N52/L52-1</f>
        <v>5.9142239673698027E-2</v>
      </c>
      <c r="O54" s="358">
        <f>+O52/N52-1</f>
        <v>7.104264858029663E-2</v>
      </c>
      <c r="P54" s="358">
        <f>+P52/O52-1</f>
        <v>8.2403134056026728E-2</v>
      </c>
      <c r="Q54" s="358">
        <f>+Q52/P52-1</f>
        <v>0.11638860655940908</v>
      </c>
      <c r="R54" s="442"/>
      <c r="S54" s="358">
        <f>+S52/Q52-1</f>
        <v>4.6853488475373517E-3</v>
      </c>
      <c r="T54" s="358">
        <f>+T52/S52-1</f>
        <v>4.8579953586031621E-2</v>
      </c>
      <c r="U54" s="358">
        <f>+U52/T52-1</f>
        <v>6.4877853424109011E-2</v>
      </c>
      <c r="V54" s="358">
        <f>+V52/U52-1</f>
        <v>0.14271293125630935</v>
      </c>
      <c r="W54" s="442"/>
      <c r="X54" s="358">
        <f>+X52/V52-1</f>
        <v>-5.5706639413833137E-2</v>
      </c>
      <c r="Y54" s="358">
        <f>+Y52/X52-1</f>
        <v>7.2016876089149751E-2</v>
      </c>
      <c r="Z54" s="358">
        <f>+Z52/Y52-1</f>
        <v>6.7144641604353072E-2</v>
      </c>
      <c r="AA54" s="358">
        <f>+AA52/Z52-1</f>
        <v>0.10270183596568594</v>
      </c>
      <c r="AB54" s="463"/>
      <c r="AC54" s="358">
        <f>+AC52/AA52-1</f>
        <v>6.4199505598371287E-2</v>
      </c>
      <c r="AD54" s="358">
        <f>+AD52/AC52-1</f>
        <v>7.8895948623351808E-2</v>
      </c>
      <c r="AE54" s="358">
        <f>+AE52/AD52-1</f>
        <v>5.3141503818437519E-2</v>
      </c>
      <c r="AF54" s="358">
        <f>+AF52/AE52-1</f>
        <v>0.10213456797546749</v>
      </c>
      <c r="AG54" s="463"/>
      <c r="AH54" s="426">
        <f>+AH52/AF52-1</f>
        <v>2.9373254189944076E-2</v>
      </c>
      <c r="AI54" s="426">
        <f>+AI52/AH52-1</f>
        <v>4.8463006147975385E-2</v>
      </c>
      <c r="AJ54" s="426">
        <f>+AJ52/AI52-1</f>
        <v>6.2307910061468741E-2</v>
      </c>
      <c r="AK54" s="426">
        <f>+AK52/AJ52-1</f>
        <v>7.6935522246014854E-2</v>
      </c>
      <c r="AL54" s="649"/>
      <c r="AM54" s="358">
        <f>+AM52/AK52-1</f>
        <v>3.7928931856944681E-2</v>
      </c>
      <c r="AN54" s="358">
        <f>+AN52/AM52-1</f>
        <v>7.6372274395279716E-2</v>
      </c>
      <c r="AO54" s="358">
        <f>+AO52/AN52-1</f>
        <v>0.1065724840018667</v>
      </c>
      <c r="AP54" s="358">
        <f>+AP52/AO52-1</f>
        <v>8.3949275880309315E-2</v>
      </c>
      <c r="AQ54" s="463"/>
      <c r="AR54" s="358">
        <f>+AR52/AP52-1</f>
        <v>3.7892876455769553E-2</v>
      </c>
      <c r="AS54" s="358">
        <f>+AS52/AR52-1</f>
        <v>6.3989986275606148E-2</v>
      </c>
      <c r="AT54" s="358">
        <f>+AT52/AS52-1</f>
        <v>4.9625272461258252E-2</v>
      </c>
      <c r="AU54" s="358">
        <f>+AU52/AT52-1</f>
        <v>4.9577560947856592E-2</v>
      </c>
      <c r="AV54" s="463"/>
      <c r="AW54" s="358">
        <f>+AW52/AU52-1</f>
        <v>-7.073975899695939E-3</v>
      </c>
      <c r="AX54" s="358">
        <f>+AX52/AW52-1</f>
        <v>3.9568934455763483E-2</v>
      </c>
      <c r="AY54" s="358">
        <f>+AY52/AX52-1</f>
        <v>4.4222831395531959E-2</v>
      </c>
      <c r="AZ54" s="358">
        <f>+AZ52/AY52-1</f>
        <v>3.2311924483134913E-2</v>
      </c>
      <c r="BA54" s="463"/>
      <c r="BB54" s="358">
        <f>+BB52/AZ52-1</f>
        <v>-8.1357055166908498E-4</v>
      </c>
      <c r="BC54" s="358">
        <f>+BC52/BB52-1</f>
        <v>1.4090618768314078E-2</v>
      </c>
      <c r="BD54" s="358">
        <f>+BD52/BC52-1</f>
        <v>3.2035039977691415E-2</v>
      </c>
      <c r="BE54" s="358">
        <f>+BE52/BD52-1</f>
        <v>7.486466592749208E-3</v>
      </c>
      <c r="BF54" s="463"/>
      <c r="BG54" s="358">
        <f>+BG52/BE52-1</f>
        <v>-2.778124580946173E-2</v>
      </c>
      <c r="BH54" s="358">
        <f>+BH52/BG52-1</f>
        <v>1.8739328333008398E-2</v>
      </c>
      <c r="BI54" s="358">
        <f>+BI52/BH52-1</f>
        <v>1.7586942617172419E-2</v>
      </c>
      <c r="BJ54" s="358">
        <f>+BJ52/BI52-1</f>
        <v>-2.6243347403193118E-3</v>
      </c>
      <c r="BK54" s="463"/>
      <c r="BL54" s="358">
        <f>+BL52/BJ52-1</f>
        <v>-4.3324723535797749E-2</v>
      </c>
      <c r="BM54" s="358">
        <f>+BM52/BL52-1</f>
        <v>4.6355545260252651E-3</v>
      </c>
      <c r="BN54" s="358">
        <f>+BN52/BM52-1</f>
        <v>6.295391774369774E-3</v>
      </c>
      <c r="BO54" s="358">
        <f>+BO52/BN52-1</f>
        <v>7.0039776626866779E-3</v>
      </c>
      <c r="BP54" s="463"/>
      <c r="BQ54" s="358">
        <f>+BQ52/BO52-1</f>
        <v>-9.4033119329106629E-4</v>
      </c>
      <c r="BR54" s="358">
        <f>+BR52/BQ52-1</f>
        <v>4.6804348083073766E-3</v>
      </c>
      <c r="BS54" s="358">
        <f>+BS52/BR52-1</f>
        <v>5.5176735367097329E-3</v>
      </c>
      <c r="BT54" s="358">
        <f>+BT52/BS52-1</f>
        <v>6.8325504367536816E-3</v>
      </c>
      <c r="BU54" s="463"/>
    </row>
    <row r="55" spans="1:73" ht="5.25" customHeight="1" collapsed="1">
      <c r="B55" s="269"/>
      <c r="C55" s="269"/>
      <c r="D55" s="199"/>
      <c r="E55" s="199"/>
      <c r="F55" s="199"/>
      <c r="G55" s="199"/>
      <c r="H55" s="439"/>
      <c r="I55" s="199"/>
      <c r="J55" s="199"/>
      <c r="K55" s="199"/>
      <c r="L55" s="199"/>
      <c r="M55" s="439"/>
      <c r="N55" s="199"/>
      <c r="O55" s="199"/>
      <c r="P55" s="199"/>
      <c r="Q55" s="199"/>
      <c r="R55" s="439"/>
      <c r="S55" s="199"/>
      <c r="T55" s="199"/>
      <c r="U55" s="199"/>
      <c r="V55" s="199"/>
      <c r="W55" s="439"/>
      <c r="X55" s="199"/>
      <c r="Y55" s="199"/>
      <c r="Z55" s="199"/>
      <c r="AA55" s="199"/>
      <c r="AB55" s="439"/>
      <c r="AC55" s="199"/>
      <c r="AD55" s="199"/>
      <c r="AE55" s="199"/>
      <c r="AF55" s="199"/>
      <c r="AG55" s="439"/>
      <c r="AH55" s="418"/>
      <c r="AI55" s="418"/>
      <c r="AJ55" s="418"/>
      <c r="AK55" s="418"/>
      <c r="AL55" s="614"/>
      <c r="AM55" s="199"/>
      <c r="AN55" s="199"/>
      <c r="AO55" s="199"/>
      <c r="AP55" s="199"/>
      <c r="AQ55" s="439"/>
      <c r="AR55" s="199"/>
      <c r="AS55" s="199"/>
      <c r="AT55" s="199"/>
      <c r="AU55" s="199"/>
      <c r="AV55" s="439"/>
      <c r="AW55" s="199"/>
      <c r="AX55" s="199"/>
      <c r="AY55" s="199"/>
      <c r="AZ55" s="199"/>
      <c r="BA55" s="439"/>
      <c r="BB55" s="199"/>
      <c r="BC55" s="199"/>
      <c r="BD55" s="199"/>
      <c r="BE55" s="199"/>
      <c r="BF55" s="439"/>
      <c r="BG55" s="199"/>
      <c r="BH55" s="199"/>
      <c r="BI55" s="199"/>
      <c r="BJ55" s="199"/>
      <c r="BK55" s="439"/>
      <c r="BL55" s="199"/>
      <c r="BM55" s="199"/>
      <c r="BN55" s="199"/>
      <c r="BO55" s="199"/>
      <c r="BP55" s="439"/>
      <c r="BQ55" s="199"/>
      <c r="BR55" s="199"/>
      <c r="BS55" s="199"/>
      <c r="BT55" s="199"/>
      <c r="BU55" s="439"/>
    </row>
    <row r="56" spans="1:73" ht="13.15" hidden="1" outlineLevel="1">
      <c r="B56" s="737" t="s">
        <v>158</v>
      </c>
      <c r="C56" s="269"/>
      <c r="D56" s="199"/>
      <c r="E56" s="199"/>
      <c r="F56" s="199"/>
      <c r="G56" s="199"/>
      <c r="H56" s="439"/>
      <c r="I56" s="199"/>
      <c r="J56" s="199"/>
      <c r="K56" s="199"/>
      <c r="L56" s="199"/>
      <c r="M56" s="439"/>
      <c r="N56" s="199"/>
      <c r="O56" s="199"/>
      <c r="P56" s="199"/>
      <c r="Q56" s="199"/>
      <c r="R56" s="439"/>
      <c r="S56" s="199"/>
      <c r="T56" s="199"/>
      <c r="U56" s="199"/>
      <c r="V56" s="199"/>
      <c r="W56" s="439"/>
      <c r="X56" s="199"/>
      <c r="Y56" s="199"/>
      <c r="Z56" s="199"/>
      <c r="AA56" s="199"/>
      <c r="AB56" s="439"/>
      <c r="AC56" s="199"/>
      <c r="AD56" s="199"/>
      <c r="AE56" s="195"/>
      <c r="AF56" s="199"/>
      <c r="AG56" s="439"/>
      <c r="AH56" s="199"/>
      <c r="AI56" s="418"/>
      <c r="AJ56" s="418"/>
      <c r="AK56" s="418"/>
      <c r="AL56" s="614"/>
      <c r="AM56" s="199"/>
      <c r="AN56" s="199"/>
      <c r="AO56" s="199"/>
      <c r="AP56" s="199"/>
      <c r="AQ56" s="439"/>
      <c r="AR56" s="199"/>
      <c r="AS56" s="199"/>
      <c r="AT56" s="199"/>
      <c r="AU56" s="199"/>
      <c r="AV56" s="439"/>
      <c r="AW56" s="199"/>
      <c r="AX56" s="711"/>
      <c r="AY56" s="199"/>
      <c r="AZ56" s="199"/>
      <c r="BA56" s="439"/>
      <c r="BB56" s="199"/>
      <c r="BC56" s="199"/>
      <c r="BD56" s="199"/>
      <c r="BE56" s="199"/>
      <c r="BF56" s="439"/>
      <c r="BG56" s="199"/>
      <c r="BH56" s="199"/>
      <c r="BI56" s="199"/>
      <c r="BJ56" s="199"/>
      <c r="BK56" s="439"/>
      <c r="BL56" s="199"/>
      <c r="BM56" s="199"/>
      <c r="BN56" s="199"/>
      <c r="BO56" s="199"/>
      <c r="BP56" s="439"/>
      <c r="BQ56" s="199"/>
      <c r="BR56" s="199"/>
      <c r="BS56" s="199"/>
      <c r="BT56" s="199"/>
      <c r="BU56" s="439"/>
    </row>
    <row r="57" spans="1:73" ht="12.75" hidden="1" outlineLevel="1">
      <c r="A57" s="619"/>
      <c r="B57" s="620" t="s">
        <v>155</v>
      </c>
      <c r="C57" s="771"/>
      <c r="D57" s="622">
        <v>1239</v>
      </c>
      <c r="E57" s="622">
        <f>1022-47-217</f>
        <v>758</v>
      </c>
      <c r="F57" s="622">
        <v>1105</v>
      </c>
      <c r="G57" s="622">
        <v>1191</v>
      </c>
      <c r="H57" s="623">
        <f>+D57+E57+F57+G57</f>
        <v>4293</v>
      </c>
      <c r="I57" s="622">
        <f>1546-1-203</f>
        <v>1342</v>
      </c>
      <c r="J57" s="622">
        <f>1339-1-276</f>
        <v>1062</v>
      </c>
      <c r="K57" s="622">
        <f>1504-23-285</f>
        <v>1196</v>
      </c>
      <c r="L57" s="622">
        <f>2532-247-448</f>
        <v>1837</v>
      </c>
      <c r="M57" s="623">
        <f>+I57+J57+K57+L57</f>
        <v>5437</v>
      </c>
      <c r="N57" s="622">
        <f>2598-18-446</f>
        <v>2134</v>
      </c>
      <c r="O57" s="622">
        <f>2687-67-445</f>
        <v>2175</v>
      </c>
      <c r="P57" s="622">
        <f>3415-52-447</f>
        <v>2916</v>
      </c>
      <c r="Q57" s="622">
        <f>3747-86-444</f>
        <v>3217</v>
      </c>
      <c r="R57" s="623">
        <f>+N57+O57+P57+Q57</f>
        <v>10442</v>
      </c>
      <c r="S57" s="622">
        <f>4710-60-439</f>
        <v>4211</v>
      </c>
      <c r="T57" s="622">
        <f>5557-90-439</f>
        <v>5028</v>
      </c>
      <c r="U57" s="622">
        <f>6888-92-853</f>
        <v>5943</v>
      </c>
      <c r="V57" s="622">
        <f>8428-94-908</f>
        <v>7426</v>
      </c>
      <c r="W57" s="623">
        <f>+S57+T57+U57+V57</f>
        <v>22608</v>
      </c>
      <c r="X57" s="622">
        <f>8436-125-908</f>
        <v>7403</v>
      </c>
      <c r="Y57" s="622">
        <f>9650-157-893</f>
        <v>8600</v>
      </c>
      <c r="Z57" s="622">
        <f>10294-142-901</f>
        <v>9251</v>
      </c>
      <c r="AA57" s="622">
        <f>11430-69-1283</f>
        <v>10078</v>
      </c>
      <c r="AB57" s="623">
        <f>+X57+Y57+Z57+AA57</f>
        <v>35332</v>
      </c>
      <c r="AC57" s="193">
        <f>12485-157-1358</f>
        <v>10970</v>
      </c>
      <c r="AD57" s="193">
        <f>14556-207-1662</f>
        <v>12687</v>
      </c>
      <c r="AE57" s="193">
        <f>15627-216-1661</f>
        <v>13750</v>
      </c>
      <c r="AF57" s="193">
        <f>17016-209-1658</f>
        <v>15149</v>
      </c>
      <c r="AG57" s="684">
        <f>+AC57+AD57+AE57+AF57</f>
        <v>52556</v>
      </c>
      <c r="AH57" s="193">
        <f>21256-AH61-573-1658</f>
        <v>17393</v>
      </c>
      <c r="AI57" s="653">
        <f>+AI65-AI61</f>
        <v>18562.25</v>
      </c>
      <c r="AJ57" s="653">
        <f>25196-730-2434</f>
        <v>22032</v>
      </c>
      <c r="AK57" s="193">
        <f>27295-2433-727</f>
        <v>24135</v>
      </c>
      <c r="AL57" s="654">
        <f>+AH57+AI57+AJ57+AK57</f>
        <v>82122.25</v>
      </c>
      <c r="AM57" s="193">
        <f>29650-1018-2741</f>
        <v>25891</v>
      </c>
      <c r="AN57" s="622">
        <f>33169-1200-2920</f>
        <v>29049</v>
      </c>
      <c r="AO57" s="622">
        <f>36497-1073-4810</f>
        <v>30614</v>
      </c>
      <c r="AP57" s="193">
        <f>41457-1066-4902</f>
        <v>35489</v>
      </c>
      <c r="AQ57" s="623">
        <f>+AM57+AN57+AO57+AP57</f>
        <v>121043</v>
      </c>
      <c r="AR57" s="193">
        <f>43472-1495-4844</f>
        <v>37133</v>
      </c>
      <c r="AS57" s="193">
        <f>45867-2012-4844</f>
        <v>39011</v>
      </c>
      <c r="AT57" s="193">
        <f>45957-2006-4429</f>
        <v>39522</v>
      </c>
      <c r="AU57" s="193">
        <f>46916-2049-4376</f>
        <v>40491</v>
      </c>
      <c r="AV57" s="623">
        <f>+AR57+AS57+AT57+AU57</f>
        <v>156157</v>
      </c>
      <c r="AW57" s="622">
        <f>48188-2123-4375</f>
        <v>41690</v>
      </c>
      <c r="AX57" s="622">
        <f>51148-2269-4843</f>
        <v>44036</v>
      </c>
      <c r="AY57" s="622">
        <f>51261-1940-4775</f>
        <v>44546</v>
      </c>
      <c r="AZ57" s="622">
        <f>52307-1870-4393</f>
        <v>46044</v>
      </c>
      <c r="BA57" s="623">
        <f>+AW57+AX57+AY57+AZ57</f>
        <v>176316</v>
      </c>
      <c r="BB57" s="622"/>
      <c r="BC57" s="622"/>
      <c r="BD57" s="622"/>
      <c r="BE57" s="622"/>
      <c r="BF57" s="623"/>
      <c r="BG57" s="622"/>
      <c r="BH57" s="622"/>
      <c r="BI57" s="622"/>
      <c r="BJ57" s="622"/>
      <c r="BK57" s="623"/>
      <c r="BL57" s="622"/>
      <c r="BM57" s="622"/>
      <c r="BN57" s="622"/>
      <c r="BO57" s="622"/>
      <c r="BP57" s="623"/>
      <c r="BQ57" s="622"/>
      <c r="BR57" s="622"/>
      <c r="BS57" s="622"/>
      <c r="BT57" s="622"/>
      <c r="BU57" s="623"/>
    </row>
    <row r="58" spans="1:73" ht="12.75" hidden="1" outlineLevel="1">
      <c r="A58" s="619"/>
      <c r="B58" s="624" t="s">
        <v>244</v>
      </c>
      <c r="C58" s="625"/>
      <c r="D58" s="626">
        <f t="shared" ref="D58:AI58" si="81">+D57/D$52</f>
        <v>7.4032026768642442E-2</v>
      </c>
      <c r="E58" s="626">
        <f t="shared" si="81"/>
        <v>4.2393736017897095E-2</v>
      </c>
      <c r="F58" s="626">
        <f t="shared" si="81"/>
        <v>5.4355846327905945E-2</v>
      </c>
      <c r="G58" s="626">
        <f t="shared" si="81"/>
        <v>5.4296785958513789E-2</v>
      </c>
      <c r="H58" s="627">
        <f t="shared" si="81"/>
        <v>5.5840270551508843E-2</v>
      </c>
      <c r="I58" s="626">
        <f t="shared" si="81"/>
        <v>5.6934368503669765E-2</v>
      </c>
      <c r="J58" s="626">
        <f t="shared" si="81"/>
        <v>4.1178751454051955E-2</v>
      </c>
      <c r="K58" s="626">
        <f t="shared" si="81"/>
        <v>4.224357163040407E-2</v>
      </c>
      <c r="L58" s="626">
        <f t="shared" si="81"/>
        <v>5.5915745898395881E-2</v>
      </c>
      <c r="M58" s="627">
        <f t="shared" si="81"/>
        <v>4.9192045310605649E-2</v>
      </c>
      <c r="N58" s="626">
        <f t="shared" si="81"/>
        <v>6.1328888377974483E-2</v>
      </c>
      <c r="O58" s="626">
        <f t="shared" si="81"/>
        <v>5.8361060427176127E-2</v>
      </c>
      <c r="P58" s="626">
        <f t="shared" si="81"/>
        <v>7.2287364585140929E-2</v>
      </c>
      <c r="Q58" s="626">
        <f t="shared" si="81"/>
        <v>7.1434915841364299E-2</v>
      </c>
      <c r="R58" s="627">
        <f t="shared" si="81"/>
        <v>6.632494267548289E-2</v>
      </c>
      <c r="S58" s="626">
        <f t="shared" si="81"/>
        <v>9.3071057575422694E-2</v>
      </c>
      <c r="T58" s="626">
        <f t="shared" si="81"/>
        <v>0.10597980734776469</v>
      </c>
      <c r="U58" s="626">
        <f t="shared" si="81"/>
        <v>0.11763425110350151</v>
      </c>
      <c r="V58" s="626">
        <f t="shared" si="81"/>
        <v>0.128631064765897</v>
      </c>
      <c r="W58" s="627">
        <f t="shared" si="81"/>
        <v>0.11251119737234995</v>
      </c>
      <c r="X58" s="626">
        <f t="shared" si="81"/>
        <v>0.13579748693020269</v>
      </c>
      <c r="Y58" s="626">
        <f t="shared" si="81"/>
        <v>0.14715696172207868</v>
      </c>
      <c r="Z58" s="626">
        <f t="shared" si="81"/>
        <v>0.1483364066383388</v>
      </c>
      <c r="AA58" s="626">
        <f t="shared" si="81"/>
        <v>0.14654645921186563</v>
      </c>
      <c r="AB58" s="627">
        <f t="shared" si="81"/>
        <v>0.14474929432056077</v>
      </c>
      <c r="AC58" s="681">
        <f t="shared" si="81"/>
        <v>0.14989410398305664</v>
      </c>
      <c r="AD58" s="681">
        <f t="shared" si="81"/>
        <v>0.16067832672652896</v>
      </c>
      <c r="AE58" s="681">
        <f t="shared" si="81"/>
        <v>0.16535385725452467</v>
      </c>
      <c r="AF58" s="681">
        <f t="shared" si="81"/>
        <v>0.16529547835195529</v>
      </c>
      <c r="AG58" s="683">
        <f t="shared" si="81"/>
        <v>0.16074776645756039</v>
      </c>
      <c r="AH58" s="681">
        <f t="shared" si="81"/>
        <v>0.18436506253974985</v>
      </c>
      <c r="AI58" s="424">
        <f t="shared" si="81"/>
        <v>0.18766428744742802</v>
      </c>
      <c r="AJ58" s="424">
        <f t="shared" ref="AJ58:BA58" si="82">+AJ57/AJ$52</f>
        <v>0.20967880085653104</v>
      </c>
      <c r="AK58" s="681">
        <f t="shared" si="82"/>
        <v>0.21328396327291688</v>
      </c>
      <c r="AL58" s="648">
        <f t="shared" si="82"/>
        <v>0.19957483365169168</v>
      </c>
      <c r="AM58" s="681">
        <f t="shared" si="82"/>
        <v>0.22044086470102425</v>
      </c>
      <c r="AN58" s="626">
        <f t="shared" si="82"/>
        <v>0.22977986252284036</v>
      </c>
      <c r="AO58" s="626">
        <f t="shared" si="82"/>
        <v>0.21883711953336096</v>
      </c>
      <c r="AP58" s="626">
        <f t="shared" si="82"/>
        <v>0.23403764227963966</v>
      </c>
      <c r="AQ58" s="627">
        <f t="shared" si="82"/>
        <v>0.22607787764006246</v>
      </c>
      <c r="AR58" s="626">
        <f t="shared" si="82"/>
        <v>0.23593885020078281</v>
      </c>
      <c r="AS58" s="626">
        <f t="shared" si="82"/>
        <v>0.23296407990206325</v>
      </c>
      <c r="AT58" s="626">
        <f t="shared" si="82"/>
        <v>0.22485705345205245</v>
      </c>
      <c r="AU58" s="626">
        <f t="shared" si="82"/>
        <v>0.21948839705332315</v>
      </c>
      <c r="AV58" s="627">
        <f t="shared" si="82"/>
        <v>0.22793880449522175</v>
      </c>
      <c r="AW58" s="626">
        <f t="shared" si="82"/>
        <v>0.22759780318167425</v>
      </c>
      <c r="AX58" s="626">
        <f t="shared" si="82"/>
        <v>0.23125479198832069</v>
      </c>
      <c r="AY58" s="626">
        <f t="shared" si="82"/>
        <v>0.22402599035419904</v>
      </c>
      <c r="AZ58" s="626">
        <f t="shared" si="82"/>
        <v>0.2243116316230489</v>
      </c>
      <c r="BA58" s="627">
        <f t="shared" si="82"/>
        <v>0.22671263084940729</v>
      </c>
      <c r="BB58" s="626"/>
      <c r="BC58" s="626"/>
      <c r="BD58" s="626"/>
      <c r="BE58" s="626"/>
      <c r="BF58" s="627"/>
      <c r="BG58" s="626"/>
      <c r="BH58" s="626"/>
      <c r="BI58" s="626"/>
      <c r="BJ58" s="626"/>
      <c r="BK58" s="627"/>
      <c r="BL58" s="626"/>
      <c r="BM58" s="626"/>
      <c r="BN58" s="626"/>
      <c r="BO58" s="626"/>
      <c r="BP58" s="627"/>
      <c r="BQ58" s="626"/>
      <c r="BR58" s="626"/>
      <c r="BS58" s="626"/>
      <c r="BT58" s="626"/>
      <c r="BU58" s="627"/>
    </row>
    <row r="59" spans="1:73" s="3" customFormat="1" ht="13.35" hidden="1" customHeight="1" outlineLevel="1">
      <c r="A59" s="628"/>
      <c r="B59" s="629" t="s">
        <v>243</v>
      </c>
      <c r="C59" s="630"/>
      <c r="D59" s="628"/>
      <c r="E59" s="628"/>
      <c r="F59" s="628"/>
      <c r="G59" s="628"/>
      <c r="H59" s="631"/>
      <c r="I59" s="632">
        <f>+I57/D57-1</f>
        <v>8.3131557707828874E-2</v>
      </c>
      <c r="J59" s="632">
        <f>+J57/E57-1</f>
        <v>0.40105540897097636</v>
      </c>
      <c r="K59" s="632">
        <f>+K57/F57-1</f>
        <v>8.2352941176470518E-2</v>
      </c>
      <c r="L59" s="632">
        <f>+L57/G57-1</f>
        <v>0.54240134340890012</v>
      </c>
      <c r="M59" s="633">
        <f t="shared" ref="M59:AG59" si="83">+M57/H57-1</f>
        <v>0.26648031679478223</v>
      </c>
      <c r="N59" s="632">
        <f t="shared" si="83"/>
        <v>0.5901639344262295</v>
      </c>
      <c r="O59" s="632">
        <f t="shared" si="83"/>
        <v>1.0480225988700567</v>
      </c>
      <c r="P59" s="632">
        <f t="shared" si="83"/>
        <v>1.4381270903010033</v>
      </c>
      <c r="Q59" s="632">
        <f t="shared" si="83"/>
        <v>0.75122482308111049</v>
      </c>
      <c r="R59" s="633">
        <f t="shared" si="83"/>
        <v>0.92054441787750596</v>
      </c>
      <c r="S59" s="632">
        <f t="shared" si="83"/>
        <v>0.9732895970009372</v>
      </c>
      <c r="T59" s="632">
        <f t="shared" si="83"/>
        <v>1.3117241379310345</v>
      </c>
      <c r="U59" s="632">
        <f t="shared" si="83"/>
        <v>1.038065843621399</v>
      </c>
      <c r="V59" s="632">
        <f t="shared" si="83"/>
        <v>1.3083618277898665</v>
      </c>
      <c r="W59" s="633">
        <f t="shared" si="83"/>
        <v>1.165102470791036</v>
      </c>
      <c r="X59" s="632">
        <f t="shared" si="83"/>
        <v>0.75801472334362385</v>
      </c>
      <c r="Y59" s="632">
        <f t="shared" si="83"/>
        <v>0.71042163882259346</v>
      </c>
      <c r="Z59" s="632">
        <f t="shared" si="83"/>
        <v>0.55662123506646477</v>
      </c>
      <c r="AA59" s="632">
        <f t="shared" si="83"/>
        <v>0.35712361971451667</v>
      </c>
      <c r="AB59" s="633">
        <f t="shared" si="83"/>
        <v>0.56280962491153574</v>
      </c>
      <c r="AC59" s="360">
        <f t="shared" si="83"/>
        <v>0.48183168985546398</v>
      </c>
      <c r="AD59" s="360">
        <f t="shared" si="83"/>
        <v>0.47523255813953491</v>
      </c>
      <c r="AE59" s="360">
        <f t="shared" si="83"/>
        <v>0.48632580261593339</v>
      </c>
      <c r="AF59" s="360">
        <f t="shared" si="83"/>
        <v>0.50317523318118673</v>
      </c>
      <c r="AG59" s="463">
        <f t="shared" si="83"/>
        <v>0.48749009396581</v>
      </c>
      <c r="AH59" s="360">
        <f t="shared" ref="AH59:BA59" si="84">+AH57/AC57-1</f>
        <v>0.58550592525068379</v>
      </c>
      <c r="AI59" s="425">
        <f t="shared" si="84"/>
        <v>0.46309214156222911</v>
      </c>
      <c r="AJ59" s="425">
        <f t="shared" si="84"/>
        <v>0.60232727272727282</v>
      </c>
      <c r="AK59" s="360">
        <f t="shared" si="84"/>
        <v>0.59317446696151555</v>
      </c>
      <c r="AL59" s="649">
        <f t="shared" si="84"/>
        <v>0.5625665956313266</v>
      </c>
      <c r="AM59" s="360">
        <f t="shared" si="84"/>
        <v>0.48858736273213355</v>
      </c>
      <c r="AN59" s="632">
        <f t="shared" si="84"/>
        <v>0.5649503697019489</v>
      </c>
      <c r="AO59" s="632">
        <f t="shared" si="84"/>
        <v>0.38952432824981842</v>
      </c>
      <c r="AP59" s="632">
        <f t="shared" si="84"/>
        <v>0.47043712450797592</v>
      </c>
      <c r="AQ59" s="633">
        <f t="shared" si="84"/>
        <v>0.47393672238644213</v>
      </c>
      <c r="AR59" s="632">
        <f t="shared" si="84"/>
        <v>0.4342049360781739</v>
      </c>
      <c r="AS59" s="632">
        <f t="shared" si="84"/>
        <v>0.34293779476057695</v>
      </c>
      <c r="AT59" s="632">
        <f t="shared" si="84"/>
        <v>0.29097798392892149</v>
      </c>
      <c r="AU59" s="632">
        <f t="shared" si="84"/>
        <v>0.14094508157457231</v>
      </c>
      <c r="AV59" s="633">
        <f t="shared" si="84"/>
        <v>0.29009525540510395</v>
      </c>
      <c r="AW59" s="632">
        <f t="shared" si="84"/>
        <v>0.12272102981175781</v>
      </c>
      <c r="AX59" s="632">
        <f t="shared" si="84"/>
        <v>0.12880982287047238</v>
      </c>
      <c r="AY59" s="632">
        <f t="shared" si="84"/>
        <v>0.12711907292141089</v>
      </c>
      <c r="AZ59" s="632">
        <f t="shared" si="84"/>
        <v>0.13714158701933754</v>
      </c>
      <c r="BA59" s="633">
        <f t="shared" si="84"/>
        <v>0.12909443700890777</v>
      </c>
      <c r="BB59" s="632"/>
      <c r="BC59" s="632"/>
      <c r="BD59" s="632"/>
      <c r="BE59" s="632"/>
      <c r="BF59" s="633"/>
      <c r="BG59" s="632"/>
      <c r="BH59" s="632"/>
      <c r="BI59" s="632"/>
      <c r="BJ59" s="632"/>
      <c r="BK59" s="633"/>
      <c r="BL59" s="632"/>
      <c r="BM59" s="632"/>
      <c r="BN59" s="632"/>
      <c r="BO59" s="632"/>
      <c r="BP59" s="633"/>
      <c r="BQ59" s="632"/>
      <c r="BR59" s="632"/>
      <c r="BS59" s="632"/>
      <c r="BT59" s="632"/>
      <c r="BU59" s="633"/>
    </row>
    <row r="60" spans="1:73" s="3" customFormat="1" ht="13.35" hidden="1" customHeight="1" outlineLevel="1">
      <c r="A60" s="628"/>
      <c r="B60" s="629" t="s">
        <v>245</v>
      </c>
      <c r="C60" s="630"/>
      <c r="D60" s="634"/>
      <c r="E60" s="635">
        <f>+E57/D57-1</f>
        <v>-0.38821630347054081</v>
      </c>
      <c r="F60" s="635">
        <f>+F57/E57-1</f>
        <v>0.45778364116094994</v>
      </c>
      <c r="G60" s="635">
        <f>+G57/F57-1</f>
        <v>7.7828054298642479E-2</v>
      </c>
      <c r="H60" s="636"/>
      <c r="I60" s="635">
        <f>+I57/G57-1</f>
        <v>0.12678421494542391</v>
      </c>
      <c r="J60" s="635">
        <f>+J57/I57-1</f>
        <v>-0.20864381520119224</v>
      </c>
      <c r="K60" s="635">
        <f>+K57/J57-1</f>
        <v>0.12617702448210921</v>
      </c>
      <c r="L60" s="635">
        <f>+L57/K57-1</f>
        <v>0.535953177257525</v>
      </c>
      <c r="M60" s="636"/>
      <c r="N60" s="635">
        <f>+N57/L57-1</f>
        <v>0.16167664670658688</v>
      </c>
      <c r="O60" s="635">
        <f>+O57/N57-1</f>
        <v>1.921274601686962E-2</v>
      </c>
      <c r="P60" s="635">
        <f>+P57/O57-1</f>
        <v>0.3406896551724139</v>
      </c>
      <c r="Q60" s="635">
        <f>+Q57/P57-1</f>
        <v>0.10322359396433467</v>
      </c>
      <c r="R60" s="636"/>
      <c r="S60" s="635">
        <f>+S57/Q57-1</f>
        <v>0.30898352502331372</v>
      </c>
      <c r="T60" s="635">
        <f>+T57/S57-1</f>
        <v>0.19401567323676083</v>
      </c>
      <c r="U60" s="635">
        <f>+U57/T57-1</f>
        <v>0.18198090692124103</v>
      </c>
      <c r="V60" s="635">
        <f>+V57/U57-1</f>
        <v>0.24953727073868426</v>
      </c>
      <c r="W60" s="636"/>
      <c r="X60" s="635">
        <f>+X57/V57-1</f>
        <v>-3.0972259628332388E-3</v>
      </c>
      <c r="Y60" s="635">
        <f>+Y57/X57-1</f>
        <v>0.16169120626772937</v>
      </c>
      <c r="Z60" s="635">
        <f>+Z57/Y57-1</f>
        <v>7.5697674418604644E-2</v>
      </c>
      <c r="AA60" s="635">
        <f>+AA57/Z57-1</f>
        <v>8.9395741000972917E-2</v>
      </c>
      <c r="AB60" s="636"/>
      <c r="AC60" s="358">
        <f>+AC57/AA57-1</f>
        <v>8.8509624925580566E-2</v>
      </c>
      <c r="AD60" s="358">
        <f>+AD57/AC57-1</f>
        <v>0.15651777575205106</v>
      </c>
      <c r="AE60" s="358">
        <f>+AE57/AD57-1</f>
        <v>8.3786553164656663E-2</v>
      </c>
      <c r="AF60" s="358">
        <f>+AF57/AE57-1</f>
        <v>0.10174545454545458</v>
      </c>
      <c r="AG60" s="441"/>
      <c r="AH60" s="358">
        <f>+AH57/AF57-1</f>
        <v>0.14812858934583151</v>
      </c>
      <c r="AI60" s="426">
        <f>+AI57/AH57-1</f>
        <v>6.72253205312483E-2</v>
      </c>
      <c r="AJ60" s="426">
        <f>+AJ57/AI57-1</f>
        <v>0.18692507643200584</v>
      </c>
      <c r="AK60" s="358">
        <f>+AK57/AJ57-1</f>
        <v>9.5452069716775556E-2</v>
      </c>
      <c r="AL60" s="650"/>
      <c r="AM60" s="358">
        <f>+AM57/AL57-1</f>
        <v>-0.68472612477130135</v>
      </c>
      <c r="AN60" s="635">
        <f>+AN57/AM57-1</f>
        <v>0.12197288633115755</v>
      </c>
      <c r="AO60" s="635">
        <f>+AO57/AN57-1</f>
        <v>5.3874487934180149E-2</v>
      </c>
      <c r="AP60" s="635">
        <f>+AP57/AO57-1</f>
        <v>0.15924087019010913</v>
      </c>
      <c r="AQ60" s="631"/>
      <c r="AR60" s="635">
        <f>+AR57/AP57-1</f>
        <v>4.6324213136464731E-2</v>
      </c>
      <c r="AS60" s="635">
        <f>+AS57/AR57-1</f>
        <v>5.0574960277919967E-2</v>
      </c>
      <c r="AT60" s="635">
        <f>+AT57/AS57-1</f>
        <v>1.3098869549614145E-2</v>
      </c>
      <c r="AU60" s="635">
        <f>+AU57/AT57-1</f>
        <v>2.451798998026411E-2</v>
      </c>
      <c r="AV60" s="631"/>
      <c r="AW60" s="635">
        <f>+AW57/AU57-1</f>
        <v>2.9611518609073517E-2</v>
      </c>
      <c r="AX60" s="635">
        <f>+AX57/AW57-1</f>
        <v>5.6272487407052152E-2</v>
      </c>
      <c r="AY60" s="635">
        <f>+AY57/AX57-1</f>
        <v>1.1581433372695127E-2</v>
      </c>
      <c r="AZ60" s="635">
        <f>+AZ57/AY57-1</f>
        <v>3.362815965518795E-2</v>
      </c>
      <c r="BA60" s="631"/>
      <c r="BB60" s="635"/>
      <c r="BC60" s="635"/>
      <c r="BD60" s="635"/>
      <c r="BE60" s="635"/>
      <c r="BF60" s="631"/>
      <c r="BG60" s="635"/>
      <c r="BH60" s="635"/>
      <c r="BI60" s="635"/>
      <c r="BJ60" s="635"/>
      <c r="BK60" s="631"/>
      <c r="BL60" s="635"/>
      <c r="BM60" s="635"/>
      <c r="BN60" s="635"/>
      <c r="BO60" s="635"/>
      <c r="BP60" s="631"/>
      <c r="BQ60" s="635"/>
      <c r="BR60" s="635"/>
      <c r="BS60" s="635"/>
      <c r="BT60" s="635"/>
      <c r="BU60" s="631"/>
    </row>
    <row r="61" spans="1:73" ht="13.15" hidden="1" outlineLevel="1">
      <c r="A61" s="619"/>
      <c r="B61" s="637" t="s">
        <v>156</v>
      </c>
      <c r="C61" s="621"/>
      <c r="D61" s="622">
        <v>988</v>
      </c>
      <c r="E61" s="622">
        <v>1152</v>
      </c>
      <c r="F61" s="622">
        <v>1118</v>
      </c>
      <c r="G61" s="622">
        <v>1237</v>
      </c>
      <c r="H61" s="623">
        <f>+D61+E61+F61+G61</f>
        <v>4495</v>
      </c>
      <c r="I61" s="622">
        <f>1210-4</f>
        <v>1206</v>
      </c>
      <c r="J61" s="622">
        <f>1412-5</f>
        <v>1407</v>
      </c>
      <c r="K61" s="622">
        <v>1505</v>
      </c>
      <c r="L61" s="622">
        <v>1875</v>
      </c>
      <c r="M61" s="623">
        <f>+I61+J61+K61+L61</f>
        <v>5993</v>
      </c>
      <c r="N61" s="622">
        <f>1681-59</f>
        <v>1622</v>
      </c>
      <c r="O61" s="622">
        <v>1758</v>
      </c>
      <c r="P61" s="622">
        <v>1801</v>
      </c>
      <c r="Q61" s="622">
        <f>1865</f>
        <v>1865</v>
      </c>
      <c r="R61" s="623">
        <f>+N61+O61+P61+Q61</f>
        <v>7046</v>
      </c>
      <c r="S61" s="622">
        <f>1878-60</f>
        <v>1818</v>
      </c>
      <c r="T61" s="622">
        <f>1850-81</f>
        <v>1769</v>
      </c>
      <c r="U61" s="622">
        <f>1739-71</f>
        <v>1668</v>
      </c>
      <c r="V61" s="622">
        <f>2024-35</f>
        <v>1989</v>
      </c>
      <c r="W61" s="623">
        <f>+S61+T61+U61+V61</f>
        <v>7244</v>
      </c>
      <c r="X61" s="622">
        <f>1849-28</f>
        <v>1821</v>
      </c>
      <c r="Y61" s="622">
        <f>2007-60</f>
        <v>1947</v>
      </c>
      <c r="Z61" s="622">
        <f>1901-73</f>
        <v>1828</v>
      </c>
      <c r="AA61" s="622">
        <f>1921-72</f>
        <v>1849</v>
      </c>
      <c r="AB61" s="623">
        <f>+X61+Y61+Z61+AA61</f>
        <v>7445</v>
      </c>
      <c r="AC61" s="193">
        <f>1884-120</f>
        <v>1764</v>
      </c>
      <c r="AD61" s="193">
        <f>2081-166</f>
        <v>1915</v>
      </c>
      <c r="AE61" s="193">
        <f>2076-170</f>
        <v>1906</v>
      </c>
      <c r="AF61" s="193">
        <f>2454-160</f>
        <v>2294</v>
      </c>
      <c r="AG61" s="684">
        <f>+AC61+AD61+AE61+AF61</f>
        <v>7879</v>
      </c>
      <c r="AH61" s="193">
        <f>1632</f>
        <v>1632</v>
      </c>
      <c r="AI61" s="653">
        <f>+AI34*(1-0.795)</f>
        <v>1670.7499999999998</v>
      </c>
      <c r="AJ61" s="653"/>
      <c r="AK61" s="193"/>
      <c r="AL61" s="654">
        <f>+AH61+AI61+AJ61+AK61</f>
        <v>3302.75</v>
      </c>
      <c r="AM61" s="193"/>
      <c r="AN61" s="622"/>
      <c r="AO61" s="622"/>
      <c r="AP61" s="622"/>
      <c r="AQ61" s="623"/>
      <c r="AR61" s="622"/>
      <c r="AS61" s="622"/>
      <c r="AT61" s="622"/>
      <c r="AU61" s="622"/>
      <c r="AV61" s="623"/>
      <c r="AW61" s="622"/>
      <c r="AX61" s="622"/>
      <c r="AY61" s="622"/>
      <c r="AZ61" s="622"/>
      <c r="BA61" s="623"/>
      <c r="BB61" s="622"/>
      <c r="BC61" s="622"/>
      <c r="BD61" s="622"/>
      <c r="BE61" s="622"/>
      <c r="BF61" s="623"/>
      <c r="BG61" s="622"/>
      <c r="BH61" s="622"/>
      <c r="BI61" s="622"/>
      <c r="BJ61" s="622"/>
      <c r="BK61" s="623"/>
      <c r="BL61" s="622"/>
      <c r="BM61" s="622"/>
      <c r="BN61" s="622"/>
      <c r="BO61" s="622"/>
      <c r="BP61" s="623"/>
      <c r="BQ61" s="622"/>
      <c r="BR61" s="622"/>
      <c r="BS61" s="622"/>
      <c r="BT61" s="622"/>
      <c r="BU61" s="623"/>
    </row>
    <row r="62" spans="1:73" ht="12.75" hidden="1" outlineLevel="1">
      <c r="A62" s="619"/>
      <c r="B62" s="624" t="s">
        <v>244</v>
      </c>
      <c r="C62" s="625"/>
      <c r="D62" s="626">
        <f t="shared" ref="D62:AI62" si="85">+D61/D$52</f>
        <v>5.9034416826003827E-2</v>
      </c>
      <c r="E62" s="626">
        <f t="shared" si="85"/>
        <v>6.4429530201342289E-2</v>
      </c>
      <c r="F62" s="626">
        <f t="shared" si="85"/>
        <v>5.4995326872940134E-2</v>
      </c>
      <c r="G62" s="626">
        <f t="shared" si="85"/>
        <v>5.6393891041714155E-2</v>
      </c>
      <c r="H62" s="627">
        <f t="shared" si="85"/>
        <v>5.8467741935483868E-2</v>
      </c>
      <c r="I62" s="626">
        <f t="shared" si="85"/>
        <v>5.1164566628484155E-2</v>
      </c>
      <c r="J62" s="626">
        <f t="shared" si="85"/>
        <v>5.4556029468786349E-2</v>
      </c>
      <c r="K62" s="626">
        <f t="shared" si="85"/>
        <v>5.3157671658660637E-2</v>
      </c>
      <c r="L62" s="626">
        <f t="shared" si="85"/>
        <v>5.7072413478221166E-2</v>
      </c>
      <c r="M62" s="627">
        <f t="shared" si="85"/>
        <v>5.4222535873912021E-2</v>
      </c>
      <c r="N62" s="626">
        <f t="shared" si="85"/>
        <v>4.6614553396942177E-2</v>
      </c>
      <c r="O62" s="626">
        <f t="shared" si="85"/>
        <v>4.7171836428034776E-2</v>
      </c>
      <c r="P62" s="626">
        <f t="shared" si="85"/>
        <v>4.4646619896378192E-2</v>
      </c>
      <c r="Q62" s="626">
        <f t="shared" si="85"/>
        <v>4.1413154505484745E-2</v>
      </c>
      <c r="R62" s="627">
        <f t="shared" si="85"/>
        <v>4.475440970038809E-2</v>
      </c>
      <c r="S62" s="626">
        <f t="shared" si="85"/>
        <v>4.0181235495634876E-2</v>
      </c>
      <c r="T62" s="626">
        <f t="shared" si="85"/>
        <v>3.7286849482536938E-2</v>
      </c>
      <c r="U62" s="626">
        <f t="shared" si="85"/>
        <v>3.3015973555551158E-2</v>
      </c>
      <c r="V62" s="626">
        <f t="shared" si="85"/>
        <v>3.4452893592697167E-2</v>
      </c>
      <c r="W62" s="627">
        <f t="shared" si="85"/>
        <v>3.6050562356922465E-2</v>
      </c>
      <c r="X62" s="626">
        <f t="shared" si="85"/>
        <v>3.34036503714574E-2</v>
      </c>
      <c r="Y62" s="626">
        <f t="shared" si="85"/>
        <v>3.3315651682893861E-2</v>
      </c>
      <c r="Z62" s="626">
        <f t="shared" si="85"/>
        <v>2.9311312434859297E-2</v>
      </c>
      <c r="AA62" s="626">
        <f t="shared" si="85"/>
        <v>2.6886723862149194E-2</v>
      </c>
      <c r="AB62" s="627">
        <f t="shared" si="85"/>
        <v>3.0500919738949819E-2</v>
      </c>
      <c r="AC62" s="681">
        <f t="shared" si="85"/>
        <v>2.4103299856527979E-2</v>
      </c>
      <c r="AD62" s="681">
        <f t="shared" si="85"/>
        <v>2.4253093377575703E-2</v>
      </c>
      <c r="AE62" s="681">
        <f t="shared" si="85"/>
        <v>2.2921051049245383E-2</v>
      </c>
      <c r="AF62" s="681">
        <f t="shared" si="85"/>
        <v>2.5030551675977654E-2</v>
      </c>
      <c r="AG62" s="683">
        <f t="shared" si="85"/>
        <v>2.4098707129901788E-2</v>
      </c>
      <c r="AH62" s="681">
        <f t="shared" si="85"/>
        <v>1.7299130803476784E-2</v>
      </c>
      <c r="AI62" s="424">
        <f t="shared" si="85"/>
        <v>1.6891277094791327E-2</v>
      </c>
      <c r="AJ62" s="424">
        <f t="shared" ref="AJ62:BA62" si="86">+AJ61/AJ$52</f>
        <v>0</v>
      </c>
      <c r="AK62" s="681">
        <f t="shared" si="86"/>
        <v>0</v>
      </c>
      <c r="AL62" s="648">
        <f t="shared" si="86"/>
        <v>8.0263970098618173E-3</v>
      </c>
      <c r="AM62" s="681">
        <f t="shared" si="86"/>
        <v>0</v>
      </c>
      <c r="AN62" s="626">
        <f t="shared" si="86"/>
        <v>0</v>
      </c>
      <c r="AO62" s="626">
        <f t="shared" si="86"/>
        <v>0</v>
      </c>
      <c r="AP62" s="626">
        <f t="shared" si="86"/>
        <v>0</v>
      </c>
      <c r="AQ62" s="627">
        <f t="shared" si="86"/>
        <v>0</v>
      </c>
      <c r="AR62" s="626">
        <f t="shared" si="86"/>
        <v>0</v>
      </c>
      <c r="AS62" s="626">
        <f t="shared" si="86"/>
        <v>0</v>
      </c>
      <c r="AT62" s="626">
        <f t="shared" si="86"/>
        <v>0</v>
      </c>
      <c r="AU62" s="626">
        <f t="shared" si="86"/>
        <v>0</v>
      </c>
      <c r="AV62" s="627">
        <f t="shared" si="86"/>
        <v>0</v>
      </c>
      <c r="AW62" s="626">
        <f t="shared" si="86"/>
        <v>0</v>
      </c>
      <c r="AX62" s="626">
        <f t="shared" si="86"/>
        <v>0</v>
      </c>
      <c r="AY62" s="626">
        <f t="shared" si="86"/>
        <v>0</v>
      </c>
      <c r="AZ62" s="626">
        <f t="shared" si="86"/>
        <v>0</v>
      </c>
      <c r="BA62" s="627">
        <f t="shared" si="86"/>
        <v>0</v>
      </c>
      <c r="BB62" s="626"/>
      <c r="BC62" s="626"/>
      <c r="BD62" s="626"/>
      <c r="BE62" s="626"/>
      <c r="BF62" s="627"/>
      <c r="BG62" s="626"/>
      <c r="BH62" s="626"/>
      <c r="BI62" s="626"/>
      <c r="BJ62" s="626"/>
      <c r="BK62" s="627"/>
      <c r="BL62" s="626"/>
      <c r="BM62" s="626"/>
      <c r="BN62" s="626"/>
      <c r="BO62" s="626"/>
      <c r="BP62" s="627"/>
      <c r="BQ62" s="626"/>
      <c r="BR62" s="626"/>
      <c r="BS62" s="626"/>
      <c r="BT62" s="626"/>
      <c r="BU62" s="627"/>
    </row>
    <row r="63" spans="1:73" s="3" customFormat="1" ht="13.35" hidden="1" customHeight="1" outlineLevel="1">
      <c r="A63" s="628"/>
      <c r="B63" s="629" t="s">
        <v>243</v>
      </c>
      <c r="C63" s="630"/>
      <c r="D63" s="628"/>
      <c r="E63" s="628"/>
      <c r="F63" s="628"/>
      <c r="G63" s="628"/>
      <c r="H63" s="631"/>
      <c r="I63" s="632">
        <f>+I61/D61-1</f>
        <v>0.22064777327935214</v>
      </c>
      <c r="J63" s="632">
        <f>+J61/E61-1</f>
        <v>0.22135416666666674</v>
      </c>
      <c r="K63" s="632">
        <f>+K61/F61-1</f>
        <v>0.34615384615384626</v>
      </c>
      <c r="L63" s="632">
        <f>+L61/G61-1</f>
        <v>0.51576394502829426</v>
      </c>
      <c r="M63" s="633">
        <f t="shared" ref="M63:AG63" si="87">+M61/H61-1</f>
        <v>0.33325917686318141</v>
      </c>
      <c r="N63" s="632">
        <f t="shared" si="87"/>
        <v>0.34494195688225537</v>
      </c>
      <c r="O63" s="632">
        <f t="shared" si="87"/>
        <v>0.24946695095948823</v>
      </c>
      <c r="P63" s="632">
        <f t="shared" si="87"/>
        <v>0.19667774086378742</v>
      </c>
      <c r="Q63" s="632">
        <f t="shared" si="87"/>
        <v>-5.3333333333333011E-3</v>
      </c>
      <c r="R63" s="633">
        <f t="shared" si="87"/>
        <v>0.175704989154013</v>
      </c>
      <c r="S63" s="632">
        <f t="shared" si="87"/>
        <v>0.12083847102342782</v>
      </c>
      <c r="T63" s="632">
        <f t="shared" si="87"/>
        <v>6.2571103526734007E-3</v>
      </c>
      <c r="U63" s="632">
        <f t="shared" si="87"/>
        <v>-7.3847862298722977E-2</v>
      </c>
      <c r="V63" s="632">
        <f t="shared" si="87"/>
        <v>6.6487935656836417E-2</v>
      </c>
      <c r="W63" s="633">
        <f t="shared" si="87"/>
        <v>2.8101050241271741E-2</v>
      </c>
      <c r="X63" s="632">
        <f t="shared" si="87"/>
        <v>1.6501650165017256E-3</v>
      </c>
      <c r="Y63" s="632">
        <f t="shared" si="87"/>
        <v>0.10062182023742228</v>
      </c>
      <c r="Z63" s="632">
        <f t="shared" si="87"/>
        <v>9.592326139088736E-2</v>
      </c>
      <c r="AA63" s="632">
        <f t="shared" si="87"/>
        <v>-7.0387129210658594E-2</v>
      </c>
      <c r="AB63" s="633">
        <f t="shared" si="87"/>
        <v>2.7747101049144129E-2</v>
      </c>
      <c r="AC63" s="360">
        <f t="shared" si="87"/>
        <v>-3.1301482701812211E-2</v>
      </c>
      <c r="AD63" s="360">
        <f t="shared" si="87"/>
        <v>-1.6435541859270653E-2</v>
      </c>
      <c r="AE63" s="360">
        <f t="shared" si="87"/>
        <v>4.2669584245076608E-2</v>
      </c>
      <c r="AF63" s="360">
        <f t="shared" si="87"/>
        <v>0.24067063277447276</v>
      </c>
      <c r="AG63" s="463">
        <f t="shared" si="87"/>
        <v>5.8294157152451342E-2</v>
      </c>
      <c r="AH63" s="360">
        <f t="shared" ref="AH63:AQ63" si="88">+AH61/AC61-1</f>
        <v>-7.4829931972789088E-2</v>
      </c>
      <c r="AI63" s="425">
        <f t="shared" si="88"/>
        <v>-0.12754569190600529</v>
      </c>
      <c r="AJ63" s="425">
        <f t="shared" si="88"/>
        <v>-1</v>
      </c>
      <c r="AK63" s="360">
        <f t="shared" si="88"/>
        <v>-1</v>
      </c>
      <c r="AL63" s="649">
        <f t="shared" si="88"/>
        <v>-0.58081609341286966</v>
      </c>
      <c r="AM63" s="360">
        <f t="shared" si="88"/>
        <v>-1</v>
      </c>
      <c r="AN63" s="632">
        <f t="shared" si="88"/>
        <v>-1</v>
      </c>
      <c r="AO63" s="632" t="e">
        <f t="shared" si="88"/>
        <v>#DIV/0!</v>
      </c>
      <c r="AP63" s="632" t="e">
        <f t="shared" si="88"/>
        <v>#DIV/0!</v>
      </c>
      <c r="AQ63" s="633">
        <f t="shared" si="88"/>
        <v>-1</v>
      </c>
      <c r="AR63" s="632"/>
      <c r="AS63" s="632"/>
      <c r="AT63" s="632"/>
      <c r="AU63" s="632"/>
      <c r="AV63" s="633"/>
      <c r="AW63" s="632"/>
      <c r="AX63" s="632"/>
      <c r="AY63" s="632"/>
      <c r="AZ63" s="632"/>
      <c r="BA63" s="633"/>
      <c r="BB63" s="632"/>
      <c r="BC63" s="632"/>
      <c r="BD63" s="632"/>
      <c r="BE63" s="632"/>
      <c r="BF63" s="633"/>
      <c r="BG63" s="632"/>
      <c r="BH63" s="632"/>
      <c r="BI63" s="632"/>
      <c r="BJ63" s="632"/>
      <c r="BK63" s="633"/>
      <c r="BL63" s="632"/>
      <c r="BM63" s="632"/>
      <c r="BN63" s="632"/>
      <c r="BO63" s="632"/>
      <c r="BP63" s="633"/>
      <c r="BQ63" s="632"/>
      <c r="BR63" s="632"/>
      <c r="BS63" s="632"/>
      <c r="BT63" s="632"/>
      <c r="BU63" s="633"/>
    </row>
    <row r="64" spans="1:73" s="3" customFormat="1" ht="13.35" hidden="1" customHeight="1" outlineLevel="1">
      <c r="A64" s="628"/>
      <c r="B64" s="629" t="s">
        <v>245</v>
      </c>
      <c r="C64" s="630"/>
      <c r="D64" s="634"/>
      <c r="E64" s="635">
        <f>+E61/D61-1</f>
        <v>0.165991902834008</v>
      </c>
      <c r="F64" s="635">
        <f>+F61/E61-1</f>
        <v>-2.951388888888884E-2</v>
      </c>
      <c r="G64" s="635">
        <f>+G61/F61-1</f>
        <v>0.10644007155635071</v>
      </c>
      <c r="H64" s="636"/>
      <c r="I64" s="635">
        <f>+I61/G61-1</f>
        <v>-2.5060630557801167E-2</v>
      </c>
      <c r="J64" s="635">
        <f>+J61/I61-1</f>
        <v>0.16666666666666674</v>
      </c>
      <c r="K64" s="635">
        <f>+K61/J61-1</f>
        <v>6.9651741293532243E-2</v>
      </c>
      <c r="L64" s="635">
        <f>+L61/K61-1</f>
        <v>0.24584717607973428</v>
      </c>
      <c r="M64" s="636"/>
      <c r="N64" s="635">
        <f>+N61/L61-1</f>
        <v>-0.13493333333333335</v>
      </c>
      <c r="O64" s="635">
        <f>+O61/N61-1</f>
        <v>8.3847102342786695E-2</v>
      </c>
      <c r="P64" s="635">
        <f>+P61/O61-1</f>
        <v>2.4459613196814667E-2</v>
      </c>
      <c r="Q64" s="635">
        <f>+Q61/P61-1</f>
        <v>3.5535813436979424E-2</v>
      </c>
      <c r="R64" s="636"/>
      <c r="S64" s="635">
        <f>+S61/Q61-1</f>
        <v>-2.5201072386058954E-2</v>
      </c>
      <c r="T64" s="635">
        <f>+T61/S61-1</f>
        <v>-2.6952695269526927E-2</v>
      </c>
      <c r="U64" s="635">
        <f>+U61/T61-1</f>
        <v>-5.7094403617863221E-2</v>
      </c>
      <c r="V64" s="635">
        <f>+V61/U61-1</f>
        <v>0.19244604316546754</v>
      </c>
      <c r="W64" s="636"/>
      <c r="X64" s="635">
        <f>+X61/V61-1</f>
        <v>-8.446455505279038E-2</v>
      </c>
      <c r="Y64" s="635">
        <f>+Y61/X61-1</f>
        <v>6.9192751235584771E-2</v>
      </c>
      <c r="Z64" s="635">
        <f>+Z61/Y61-1</f>
        <v>-6.1119671289162847E-2</v>
      </c>
      <c r="AA64" s="635">
        <f>+AA61/Z61-1</f>
        <v>1.148796498905913E-2</v>
      </c>
      <c r="AB64" s="636"/>
      <c r="AC64" s="358">
        <f>+AC61/AA61-1</f>
        <v>-4.597079502433743E-2</v>
      </c>
      <c r="AD64" s="358">
        <f>+AD61/AC61-1</f>
        <v>8.5600907029478535E-2</v>
      </c>
      <c r="AE64" s="358">
        <f>+AE61/AD61-1</f>
        <v>-4.6997389033942572E-3</v>
      </c>
      <c r="AF64" s="358">
        <f>+AF61/AE61-1</f>
        <v>0.20356768100734524</v>
      </c>
      <c r="AG64" s="441"/>
      <c r="AH64" s="358">
        <f>+AH61/AF61-1</f>
        <v>-0.28857890148212728</v>
      </c>
      <c r="AI64" s="426">
        <f>+AI61/AH61-1</f>
        <v>2.3743872549019551E-2</v>
      </c>
      <c r="AJ64" s="426">
        <f>+AJ61/AI61-1</f>
        <v>-1</v>
      </c>
      <c r="AK64" s="685" t="str">
        <f>IFERROR(+AK61/AJ61-1,"NA")</f>
        <v>NA</v>
      </c>
      <c r="AL64" s="650"/>
      <c r="AM64" s="685">
        <f>IFERROR(+AM61/AL61-1,"NA")</f>
        <v>-1</v>
      </c>
      <c r="AN64" s="635" t="e">
        <f>+AN61/AM61-1</f>
        <v>#DIV/0!</v>
      </c>
      <c r="AO64" s="635" t="e">
        <f>+AO61/AN61-1</f>
        <v>#DIV/0!</v>
      </c>
      <c r="AP64" s="635" t="e">
        <f>+AP61/AO61-1</f>
        <v>#DIV/0!</v>
      </c>
      <c r="AQ64" s="631"/>
      <c r="AR64" s="635"/>
      <c r="AS64" s="635"/>
      <c r="AT64" s="635"/>
      <c r="AU64" s="635"/>
      <c r="AV64" s="631"/>
      <c r="AW64" s="635"/>
      <c r="AX64" s="635"/>
      <c r="AY64" s="635"/>
      <c r="AZ64" s="635"/>
      <c r="BA64" s="631"/>
      <c r="BB64" s="635"/>
      <c r="BC64" s="635"/>
      <c r="BD64" s="635"/>
      <c r="BE64" s="635"/>
      <c r="BF64" s="631"/>
      <c r="BG64" s="635"/>
      <c r="BH64" s="635"/>
      <c r="BI64" s="635"/>
      <c r="BJ64" s="635"/>
      <c r="BK64" s="631"/>
      <c r="BL64" s="635"/>
      <c r="BM64" s="635"/>
      <c r="BN64" s="635"/>
      <c r="BO64" s="635"/>
      <c r="BP64" s="631"/>
      <c r="BQ64" s="635"/>
      <c r="BR64" s="635"/>
      <c r="BS64" s="635"/>
      <c r="BT64" s="635"/>
      <c r="BU64" s="631"/>
    </row>
    <row r="65" spans="2:73" ht="12.75" collapsed="1">
      <c r="B65" s="272" t="s">
        <v>492</v>
      </c>
      <c r="C65" s="274"/>
      <c r="D65" s="205">
        <f>+SUM(D61,D57)</f>
        <v>2227</v>
      </c>
      <c r="E65" s="205">
        <f>+SUM(E61,E57)</f>
        <v>1910</v>
      </c>
      <c r="F65" s="205">
        <f>+SUM(F61,F57)</f>
        <v>2223</v>
      </c>
      <c r="G65" s="205">
        <f>+SUM(G61,G57)</f>
        <v>2428</v>
      </c>
      <c r="H65" s="444">
        <f>+D65+E65+F65+G65</f>
        <v>8788</v>
      </c>
      <c r="I65" s="205">
        <f>+SUM(I61,I57)</f>
        <v>2548</v>
      </c>
      <c r="J65" s="205">
        <f>+SUM(J61,J57)</f>
        <v>2469</v>
      </c>
      <c r="K65" s="205">
        <f>+SUM(K61,K57)</f>
        <v>2701</v>
      </c>
      <c r="L65" s="205">
        <f>+SUM(L61,L57)</f>
        <v>3712</v>
      </c>
      <c r="M65" s="444">
        <f>+I65+J65+K65+L65</f>
        <v>11430</v>
      </c>
      <c r="N65" s="205">
        <f>+SUM(N61,N57)</f>
        <v>3756</v>
      </c>
      <c r="O65" s="205">
        <f>+SUM(O61,O57)</f>
        <v>3933</v>
      </c>
      <c r="P65" s="205">
        <f>+SUM(P61,P57)</f>
        <v>4717</v>
      </c>
      <c r="Q65" s="205">
        <f>+SUM(Q61,Q57)</f>
        <v>5082</v>
      </c>
      <c r="R65" s="444">
        <f>+N65+O65+P65+Q65</f>
        <v>17488</v>
      </c>
      <c r="S65" s="205">
        <f>+SUM(S61,S57)</f>
        <v>6029</v>
      </c>
      <c r="T65" s="205">
        <f>+SUM(T61,T57)</f>
        <v>6797</v>
      </c>
      <c r="U65" s="205">
        <f>+SUM(U61,U57)</f>
        <v>7611</v>
      </c>
      <c r="V65" s="205">
        <f>+SUM(V61,V57)</f>
        <v>9415</v>
      </c>
      <c r="W65" s="444">
        <f>+S65+T65+U65+V65</f>
        <v>29852</v>
      </c>
      <c r="X65" s="205">
        <f>+SUM(X61,X57)</f>
        <v>9224</v>
      </c>
      <c r="Y65" s="205">
        <f>+SUM(Y61,Y57)</f>
        <v>10547</v>
      </c>
      <c r="Z65" s="205">
        <f>+SUM(Z61,Z57)</f>
        <v>11079</v>
      </c>
      <c r="AA65" s="205">
        <f>+SUM(AA61,AA57)</f>
        <v>11927</v>
      </c>
      <c r="AB65" s="444">
        <f>+X65+Y65+Z65+AA65</f>
        <v>42777</v>
      </c>
      <c r="AC65" s="205">
        <f>+SUM(AC61,AC57)</f>
        <v>12734</v>
      </c>
      <c r="AD65" s="205">
        <f>+SUM(AD61,AD57)</f>
        <v>14602</v>
      </c>
      <c r="AE65" s="205">
        <f>+SUM(AE61,AE57)</f>
        <v>15656</v>
      </c>
      <c r="AF65" s="808">
        <f>+SUM(AF61,AF57)</f>
        <v>17443</v>
      </c>
      <c r="AG65" s="654">
        <f>+AC65+AD65+AE65+AF65</f>
        <v>60435</v>
      </c>
      <c r="AH65" s="808">
        <f>+SUM(AH61,AH57)</f>
        <v>19025</v>
      </c>
      <c r="AI65" s="808">
        <v>20233</v>
      </c>
      <c r="AJ65" s="808">
        <f>+SUM(AJ61,AJ57)</f>
        <v>22032</v>
      </c>
      <c r="AK65" s="808">
        <f>+SUM(AK61,AK57)</f>
        <v>24135</v>
      </c>
      <c r="AL65" s="654">
        <f>+AH65+AI65+AJ65+AK65</f>
        <v>85425</v>
      </c>
      <c r="AM65" s="808">
        <f>+SUM(AM61,AM57)</f>
        <v>25891</v>
      </c>
      <c r="AN65" s="205">
        <f>+SUM(AN61,AN57)</f>
        <v>29049</v>
      </c>
      <c r="AO65" s="205">
        <f t="shared" ref="AO65:AZ65" si="89">+SUM(AO61,AO57)</f>
        <v>30614</v>
      </c>
      <c r="AP65" s="809">
        <f t="shared" si="89"/>
        <v>35489</v>
      </c>
      <c r="AQ65" s="444">
        <f>+AM65+AN65+AO65+AP65</f>
        <v>121043</v>
      </c>
      <c r="AR65" s="809">
        <f t="shared" si="89"/>
        <v>37133</v>
      </c>
      <c r="AS65" s="809">
        <f t="shared" si="89"/>
        <v>39011</v>
      </c>
      <c r="AT65" s="809">
        <f t="shared" si="89"/>
        <v>39522</v>
      </c>
      <c r="AU65" s="809">
        <f t="shared" si="89"/>
        <v>40491</v>
      </c>
      <c r="AV65" s="444">
        <f>+AR65+AS65+AT65+AU65</f>
        <v>156157</v>
      </c>
      <c r="AW65" s="809">
        <f t="shared" si="89"/>
        <v>41690</v>
      </c>
      <c r="AX65" s="205">
        <f t="shared" si="89"/>
        <v>44036</v>
      </c>
      <c r="AY65" s="205">
        <f t="shared" si="89"/>
        <v>44546</v>
      </c>
      <c r="AZ65" s="205">
        <f t="shared" si="89"/>
        <v>46044</v>
      </c>
      <c r="BA65" s="444">
        <f>+AW65+AX65+AY65+AZ65</f>
        <v>176316</v>
      </c>
      <c r="BB65" s="205">
        <f>54734-2298-4317</f>
        <v>48119</v>
      </c>
      <c r="BC65" s="809">
        <f>54982-2677-4012</f>
        <v>48293</v>
      </c>
      <c r="BD65" s="205">
        <f>56653-2564-4410</f>
        <v>49679</v>
      </c>
      <c r="BE65" s="205">
        <f>58932-2576-4424</f>
        <v>51932</v>
      </c>
      <c r="BF65" s="444">
        <f>+BB65+BC65+BD65+BE65</f>
        <v>198023</v>
      </c>
      <c r="BG65" s="205">
        <f>54368-1731-4423</f>
        <v>48214</v>
      </c>
      <c r="BH65" s="205">
        <f>57236-2054-4423</f>
        <v>50759</v>
      </c>
      <c r="BI65" s="205">
        <f>58263-1931-4424</f>
        <v>51908</v>
      </c>
      <c r="BJ65" s="205">
        <f>60252-1748-4423</f>
        <v>54081</v>
      </c>
      <c r="BK65" s="444">
        <f>+BG65+BH65+BI65+BJ65</f>
        <v>204962</v>
      </c>
      <c r="BL65" s="205">
        <f>+BL39*(1-BL$78)</f>
        <v>49714.254625000001</v>
      </c>
      <c r="BM65" s="205">
        <f>+BM39*(1-BM$78)</f>
        <v>50371.959819999996</v>
      </c>
      <c r="BN65" s="205">
        <f>+BN39*(1-BN$78)</f>
        <v>50960.404999999999</v>
      </c>
      <c r="BO65" s="205">
        <f>+BO39*(1-BO$78)</f>
        <v>52265.835299999999</v>
      </c>
      <c r="BP65" s="444">
        <f>+BL65+BM65+BN65+BO65</f>
        <v>203312.454745</v>
      </c>
      <c r="BQ65" s="205">
        <f>+BQ39*(1-BQ$78)</f>
        <v>51743.407875000004</v>
      </c>
      <c r="BR65" s="205">
        <f>+BR39*(1-BR$78)</f>
        <v>52003.440300000002</v>
      </c>
      <c r="BS65" s="205">
        <f>+BS39*(1-BS$78)</f>
        <v>52395.450004800005</v>
      </c>
      <c r="BT65" s="205">
        <f>+BT39*(1-BT$78)</f>
        <v>53311.152005999997</v>
      </c>
      <c r="BU65" s="444">
        <f>+BQ65+BR65+BS65+BT65</f>
        <v>209453.4501858</v>
      </c>
    </row>
    <row r="66" spans="2:73" ht="12.75" hidden="1" outlineLevel="1">
      <c r="B66" s="272" t="s">
        <v>244</v>
      </c>
      <c r="C66" s="299"/>
      <c r="D66" s="159">
        <f>+D65/D$52</f>
        <v>0.13306644359464628</v>
      </c>
      <c r="E66" s="159">
        <f>+E65/E$52</f>
        <v>0.10682326621923938</v>
      </c>
      <c r="F66" s="159">
        <f>+F65/F$52</f>
        <v>0.10935117320084609</v>
      </c>
      <c r="G66" s="159">
        <f>+G65/G$52</f>
        <v>0.11069067700022794</v>
      </c>
      <c r="H66" s="440">
        <f>+H65/H$52</f>
        <v>0.11430801248699271</v>
      </c>
      <c r="I66" s="159">
        <f t="shared" ref="I66:AQ66" si="90">+I65/I$52</f>
        <v>0.10809893513215392</v>
      </c>
      <c r="J66" s="159">
        <f t="shared" si="90"/>
        <v>9.5734780922838311E-2</v>
      </c>
      <c r="K66" s="159">
        <f t="shared" si="90"/>
        <v>9.5401243289064713E-2</v>
      </c>
      <c r="L66" s="159">
        <f t="shared" si="90"/>
        <v>0.11298815937661705</v>
      </c>
      <c r="M66" s="440">
        <f t="shared" si="90"/>
        <v>0.10341458118451767</v>
      </c>
      <c r="N66" s="159">
        <f t="shared" si="90"/>
        <v>0.10794344177491666</v>
      </c>
      <c r="O66" s="159">
        <f t="shared" si="90"/>
        <v>0.1055328968552109</v>
      </c>
      <c r="P66" s="159">
        <f t="shared" si="90"/>
        <v>0.11693398448151912</v>
      </c>
      <c r="Q66" s="159">
        <f t="shared" si="90"/>
        <v>0.11284807034684904</v>
      </c>
      <c r="R66" s="440">
        <f t="shared" si="90"/>
        <v>0.11107935237587098</v>
      </c>
      <c r="S66" s="159">
        <f t="shared" si="90"/>
        <v>0.13325229307105757</v>
      </c>
      <c r="T66" s="159">
        <f t="shared" si="90"/>
        <v>0.14326665683030163</v>
      </c>
      <c r="U66" s="159">
        <f t="shared" si="90"/>
        <v>0.15065022465905267</v>
      </c>
      <c r="V66" s="159">
        <f t="shared" si="90"/>
        <v>0.16308395835859418</v>
      </c>
      <c r="W66" s="440">
        <f t="shared" si="90"/>
        <v>0.14856175972927241</v>
      </c>
      <c r="X66" s="159">
        <f t="shared" si="90"/>
        <v>0.16920113730166009</v>
      </c>
      <c r="Y66" s="159">
        <f t="shared" si="90"/>
        <v>0.18047261340497253</v>
      </c>
      <c r="Z66" s="159">
        <f t="shared" si="90"/>
        <v>0.1776477190731981</v>
      </c>
      <c r="AA66" s="159">
        <f t="shared" si="90"/>
        <v>0.17343318307401484</v>
      </c>
      <c r="AB66" s="440">
        <f t="shared" si="90"/>
        <v>0.17525021405951061</v>
      </c>
      <c r="AC66" s="159">
        <f t="shared" si="90"/>
        <v>0.17399740383958462</v>
      </c>
      <c r="AD66" s="159">
        <f t="shared" si="90"/>
        <v>0.18493142010410465</v>
      </c>
      <c r="AE66" s="159">
        <f t="shared" si="90"/>
        <v>0.18827490830377006</v>
      </c>
      <c r="AF66" s="159">
        <f t="shared" si="90"/>
        <v>0.19032603002793297</v>
      </c>
      <c r="AG66" s="440">
        <f t="shared" si="90"/>
        <v>0.1848464735874622</v>
      </c>
      <c r="AH66" s="159">
        <f t="shared" si="90"/>
        <v>0.20166419334322663</v>
      </c>
      <c r="AI66" s="424">
        <f t="shared" si="90"/>
        <v>0.20455556454221935</v>
      </c>
      <c r="AJ66" s="424">
        <f t="shared" si="90"/>
        <v>0.20967880085653104</v>
      </c>
      <c r="AK66" s="424">
        <f t="shared" si="90"/>
        <v>0.21328396327291688</v>
      </c>
      <c r="AL66" s="648">
        <f t="shared" si="90"/>
        <v>0.2076012306615535</v>
      </c>
      <c r="AM66" s="424">
        <f>+AM65/AM$52</f>
        <v>0.22044086470102425</v>
      </c>
      <c r="AN66" s="159">
        <f t="shared" si="90"/>
        <v>0.22977986252284036</v>
      </c>
      <c r="AO66" s="159">
        <f>+AO65/AO$52</f>
        <v>0.21883711953336096</v>
      </c>
      <c r="AP66" s="159">
        <f t="shared" si="90"/>
        <v>0.23403764227963966</v>
      </c>
      <c r="AQ66" s="440">
        <f t="shared" si="90"/>
        <v>0.22607787764006246</v>
      </c>
      <c r="AR66" s="159">
        <f t="shared" ref="AR66:BP66" si="91">+AR65/AR$52</f>
        <v>0.23593885020078281</v>
      </c>
      <c r="AS66" s="159">
        <f t="shared" si="91"/>
        <v>0.23296407990206325</v>
      </c>
      <c r="AT66" s="159">
        <f t="shared" si="91"/>
        <v>0.22485705345205245</v>
      </c>
      <c r="AU66" s="159">
        <f t="shared" si="91"/>
        <v>0.21948839705332315</v>
      </c>
      <c r="AV66" s="440">
        <f t="shared" si="91"/>
        <v>0.22793880449522175</v>
      </c>
      <c r="AW66" s="159">
        <f t="shared" si="91"/>
        <v>0.22759780318167425</v>
      </c>
      <c r="AX66" s="159">
        <f t="shared" si="91"/>
        <v>0.23125479198832069</v>
      </c>
      <c r="AY66" s="159">
        <f t="shared" si="91"/>
        <v>0.22402599035419904</v>
      </c>
      <c r="AZ66" s="159">
        <f t="shared" si="91"/>
        <v>0.2243116316230489</v>
      </c>
      <c r="BA66" s="440">
        <f t="shared" si="91"/>
        <v>0.22671263084940729</v>
      </c>
      <c r="BB66" s="159">
        <f t="shared" si="91"/>
        <v>0.23461124031574687</v>
      </c>
      <c r="BC66" s="159">
        <f t="shared" si="91"/>
        <v>0.2321879312085619</v>
      </c>
      <c r="BD66" s="159">
        <f t="shared" si="91"/>
        <v>0.23143756929756726</v>
      </c>
      <c r="BE66" s="159">
        <f t="shared" si="91"/>
        <v>0.24013576188032054</v>
      </c>
      <c r="BF66" s="440">
        <f t="shared" si="91"/>
        <v>0.23462246166204784</v>
      </c>
      <c r="BG66" s="159">
        <f t="shared" si="91"/>
        <v>0.22931420716945775</v>
      </c>
      <c r="BH66" s="159">
        <f t="shared" si="91"/>
        <v>0.23697786575658403</v>
      </c>
      <c r="BI66" s="159">
        <f t="shared" ref="BI66" si="92">+BI65/BI$52</f>
        <v>0.23815378968618095</v>
      </c>
      <c r="BJ66" s="159">
        <f t="shared" si="91"/>
        <v>0.24877638140099728</v>
      </c>
      <c r="BK66" s="440">
        <f t="shared" si="91"/>
        <v>0.23838500850203653</v>
      </c>
      <c r="BL66" s="159">
        <f t="shared" si="91"/>
        <v>0.23904563332475437</v>
      </c>
      <c r="BM66" s="159">
        <f t="shared" si="91"/>
        <v>0.24109054945543032</v>
      </c>
      <c r="BN66" s="159">
        <f t="shared" si="91"/>
        <v>0.24238108510333695</v>
      </c>
      <c r="BO66" s="159">
        <f t="shared" si="91"/>
        <v>0.24686104559533062</v>
      </c>
      <c r="BP66" s="440">
        <f t="shared" si="91"/>
        <v>0.24236343678719391</v>
      </c>
      <c r="BQ66" s="159">
        <f t="shared" ref="BQ66:BU66" si="93">+BQ65/BQ$52</f>
        <v>0.24462355301183042</v>
      </c>
      <c r="BR66" s="159">
        <f t="shared" si="93"/>
        <v>0.24470755168724359</v>
      </c>
      <c r="BS66" s="159">
        <f t="shared" si="93"/>
        <v>0.24519926429115599</v>
      </c>
      <c r="BT66" s="159">
        <f t="shared" si="93"/>
        <v>0.2477915017589665</v>
      </c>
      <c r="BU66" s="440">
        <f t="shared" si="93"/>
        <v>0.24558787931126511</v>
      </c>
    </row>
    <row r="67" spans="2:73" s="3" customFormat="1" ht="13.35" hidden="1" customHeight="1" outlineLevel="1">
      <c r="B67" s="224" t="s">
        <v>243</v>
      </c>
      <c r="C67" s="326"/>
      <c r="H67" s="441"/>
      <c r="I67" s="360">
        <f t="shared" ref="I67:AN67" si="94">+I65/D65-1</f>
        <v>0.1441400987876067</v>
      </c>
      <c r="J67" s="360">
        <f t="shared" si="94"/>
        <v>0.29267015706806276</v>
      </c>
      <c r="K67" s="360">
        <f t="shared" si="94"/>
        <v>0.21502474134053084</v>
      </c>
      <c r="L67" s="360">
        <f t="shared" si="94"/>
        <v>0.52883031301482708</v>
      </c>
      <c r="M67" s="463">
        <f t="shared" si="94"/>
        <v>0.30063723258989539</v>
      </c>
      <c r="N67" s="360">
        <f t="shared" si="94"/>
        <v>0.47409733124018838</v>
      </c>
      <c r="O67" s="360">
        <f t="shared" si="94"/>
        <v>0.59295261239368169</v>
      </c>
      <c r="P67" s="360">
        <f t="shared" si="94"/>
        <v>0.74639022584228054</v>
      </c>
      <c r="Q67" s="360">
        <f t="shared" si="94"/>
        <v>0.36907327586206895</v>
      </c>
      <c r="R67" s="463">
        <f t="shared" si="94"/>
        <v>0.53000874890638672</v>
      </c>
      <c r="S67" s="360">
        <f t="shared" si="94"/>
        <v>0.60516506922257718</v>
      </c>
      <c r="T67" s="360">
        <f t="shared" si="94"/>
        <v>0.72819730485634371</v>
      </c>
      <c r="U67" s="360">
        <f t="shared" si="94"/>
        <v>0.61352554589781638</v>
      </c>
      <c r="V67" s="360">
        <f t="shared" si="94"/>
        <v>0.85261707988980717</v>
      </c>
      <c r="W67" s="463">
        <f t="shared" si="94"/>
        <v>0.70699908508691678</v>
      </c>
      <c r="X67" s="360">
        <f t="shared" si="94"/>
        <v>0.52993862995521646</v>
      </c>
      <c r="Y67" s="360">
        <f t="shared" si="94"/>
        <v>0.55171399146682365</v>
      </c>
      <c r="Z67" s="360">
        <f t="shared" si="94"/>
        <v>0.45565628695309424</v>
      </c>
      <c r="AA67" s="360">
        <f t="shared" si="94"/>
        <v>0.2668082846521509</v>
      </c>
      <c r="AB67" s="463">
        <f t="shared" si="94"/>
        <v>0.43296931528875793</v>
      </c>
      <c r="AC67" s="360">
        <f t="shared" si="94"/>
        <v>0.38052905464006948</v>
      </c>
      <c r="AD67" s="360">
        <f t="shared" si="94"/>
        <v>0.38446951739831237</v>
      </c>
      <c r="AE67" s="360">
        <f t="shared" si="94"/>
        <v>0.41312392815236043</v>
      </c>
      <c r="AF67" s="360">
        <f t="shared" si="94"/>
        <v>0.46248008719711575</v>
      </c>
      <c r="AG67" s="463">
        <f t="shared" si="94"/>
        <v>0.41279192089206806</v>
      </c>
      <c r="AH67" s="360">
        <f t="shared" si="94"/>
        <v>0.49403172608763946</v>
      </c>
      <c r="AI67" s="425">
        <f t="shared" si="94"/>
        <v>0.38563210519106961</v>
      </c>
      <c r="AJ67" s="425">
        <f t="shared" si="94"/>
        <v>0.40725600408788964</v>
      </c>
      <c r="AK67" s="425">
        <f t="shared" si="94"/>
        <v>0.38364960155936489</v>
      </c>
      <c r="AL67" s="649">
        <f t="shared" si="94"/>
        <v>0.41350210970464141</v>
      </c>
      <c r="AM67" s="425">
        <f t="shared" si="94"/>
        <v>0.36089356110381088</v>
      </c>
      <c r="AN67" s="360">
        <f t="shared" si="94"/>
        <v>0.43572381752582423</v>
      </c>
      <c r="AO67" s="360">
        <f t="shared" ref="AO67:BP67" si="95">+AO65/AJ65-1</f>
        <v>0.38952432824981842</v>
      </c>
      <c r="AP67" s="360">
        <f t="shared" si="95"/>
        <v>0.47043712450797592</v>
      </c>
      <c r="AQ67" s="463">
        <f t="shared" si="95"/>
        <v>0.41695054141059407</v>
      </c>
      <c r="AR67" s="360">
        <f t="shared" si="95"/>
        <v>0.4342049360781739</v>
      </c>
      <c r="AS67" s="360">
        <f t="shared" si="95"/>
        <v>0.34293779476057695</v>
      </c>
      <c r="AT67" s="360">
        <f t="shared" si="95"/>
        <v>0.29097798392892149</v>
      </c>
      <c r="AU67" s="360">
        <f t="shared" si="95"/>
        <v>0.14094508157457231</v>
      </c>
      <c r="AV67" s="463">
        <f t="shared" si="95"/>
        <v>0.29009525540510395</v>
      </c>
      <c r="AW67" s="360">
        <f t="shared" si="95"/>
        <v>0.12272102981175781</v>
      </c>
      <c r="AX67" s="360">
        <f t="shared" si="95"/>
        <v>0.12880982287047238</v>
      </c>
      <c r="AY67" s="360">
        <f t="shared" si="95"/>
        <v>0.12711907292141089</v>
      </c>
      <c r="AZ67" s="360">
        <f t="shared" si="95"/>
        <v>0.13714158701933754</v>
      </c>
      <c r="BA67" s="463">
        <f t="shared" si="95"/>
        <v>0.12909443700890777</v>
      </c>
      <c r="BB67" s="360">
        <f t="shared" si="95"/>
        <v>0.15420964260014403</v>
      </c>
      <c r="BC67" s="360">
        <f t="shared" si="95"/>
        <v>9.6670905622672443E-2</v>
      </c>
      <c r="BD67" s="360">
        <f t="shared" si="95"/>
        <v>0.1152292012750864</v>
      </c>
      <c r="BE67" s="360">
        <f t="shared" si="95"/>
        <v>0.12787768221700979</v>
      </c>
      <c r="BF67" s="463">
        <f t="shared" si="95"/>
        <v>0.12311418135620134</v>
      </c>
      <c r="BG67" s="360">
        <f t="shared" si="95"/>
        <v>1.9742721170432631E-3</v>
      </c>
      <c r="BH67" s="360">
        <f t="shared" si="95"/>
        <v>5.1063301099538272E-2</v>
      </c>
      <c r="BI67" s="360">
        <f t="shared" si="95"/>
        <v>4.4868052899615485E-2</v>
      </c>
      <c r="BJ67" s="360">
        <f t="shared" si="95"/>
        <v>4.1381036740352872E-2</v>
      </c>
      <c r="BK67" s="463">
        <f t="shared" si="95"/>
        <v>3.5041384081647031E-2</v>
      </c>
      <c r="BL67" s="360">
        <f t="shared" si="95"/>
        <v>3.1116576616750269E-2</v>
      </c>
      <c r="BM67" s="360">
        <f t="shared" si="95"/>
        <v>-7.6250552611359934E-3</v>
      </c>
      <c r="BN67" s="360">
        <f t="shared" si="95"/>
        <v>-1.8255278569777267E-2</v>
      </c>
      <c r="BO67" s="360">
        <f t="shared" si="95"/>
        <v>-3.3563815388029106E-2</v>
      </c>
      <c r="BP67" s="463">
        <f t="shared" si="95"/>
        <v>-8.0480540539221712E-3</v>
      </c>
      <c r="BQ67" s="360">
        <f t="shared" ref="BQ67" si="96">+BQ65/BL65-1</f>
        <v>4.081632653061229E-2</v>
      </c>
      <c r="BR67" s="360">
        <f t="shared" ref="BR67" si="97">+BR65/BM65-1</f>
        <v>3.238866396761142E-2</v>
      </c>
      <c r="BS67" s="360">
        <f t="shared" ref="BS67" si="98">+BS65/BN65-1</f>
        <v>2.8160000000000185E-2</v>
      </c>
      <c r="BT67" s="360">
        <f t="shared" ref="BT67" si="99">+BT65/BO65-1</f>
        <v>2.0000000000000018E-2</v>
      </c>
      <c r="BU67" s="463">
        <f t="shared" ref="BU67" si="100">+BU65/BP65-1</f>
        <v>3.0204718390234531E-2</v>
      </c>
    </row>
    <row r="68" spans="2:73" s="3" customFormat="1" ht="13.35" hidden="1" customHeight="1" outlineLevel="1">
      <c r="B68" s="224" t="s">
        <v>245</v>
      </c>
      <c r="C68" s="326"/>
      <c r="D68" s="357"/>
      <c r="E68" s="358">
        <f>+E65/D65-1</f>
        <v>-0.14234396048495734</v>
      </c>
      <c r="F68" s="358">
        <f>+F65/E65-1</f>
        <v>0.16387434554973823</v>
      </c>
      <c r="G68" s="358">
        <f>+G65/F65-1</f>
        <v>9.2217723796671258E-2</v>
      </c>
      <c r="H68" s="442"/>
      <c r="I68" s="358">
        <f>+I65/G65-1</f>
        <v>4.9423393739703503E-2</v>
      </c>
      <c r="J68" s="358">
        <f>+J65/I65-1</f>
        <v>-3.1004709576138101E-2</v>
      </c>
      <c r="K68" s="358">
        <f>+K65/J65-1</f>
        <v>9.3965168084244599E-2</v>
      </c>
      <c r="L68" s="358">
        <f>+L65/K65-1</f>
        <v>0.37430581266197716</v>
      </c>
      <c r="M68" s="442"/>
      <c r="N68" s="358">
        <f>+N65/L65-1</f>
        <v>1.18534482758621E-2</v>
      </c>
      <c r="O68" s="358">
        <f>+O65/N65-1</f>
        <v>4.712460063897761E-2</v>
      </c>
      <c r="P68" s="358">
        <f>+P65/O65-1</f>
        <v>0.19933892702771416</v>
      </c>
      <c r="Q68" s="358">
        <f>+Q65/P65-1</f>
        <v>7.737969048123805E-2</v>
      </c>
      <c r="R68" s="442"/>
      <c r="S68" s="358">
        <f>+S65/Q65-1</f>
        <v>0.18634395907123169</v>
      </c>
      <c r="T68" s="358">
        <f>+T65/S65-1</f>
        <v>0.12738430917233368</v>
      </c>
      <c r="U68" s="358">
        <f>+U65/T65-1</f>
        <v>0.11975871708106522</v>
      </c>
      <c r="V68" s="358">
        <f>+V65/U65-1</f>
        <v>0.23702535803442393</v>
      </c>
      <c r="W68" s="442"/>
      <c r="X68" s="358">
        <f>+X65/V65-1</f>
        <v>-2.028677642060539E-2</v>
      </c>
      <c r="Y68" s="358">
        <f>+Y65/X65-1</f>
        <v>0.14343018213356462</v>
      </c>
      <c r="Z68" s="358">
        <f>+Z65/Y65-1</f>
        <v>5.0440883663600999E-2</v>
      </c>
      <c r="AA68" s="358">
        <f>+AA65/Z65-1</f>
        <v>7.6541204079790592E-2</v>
      </c>
      <c r="AB68" s="442"/>
      <c r="AC68" s="358">
        <f>+AC65/AA65-1</f>
        <v>6.7661608116039273E-2</v>
      </c>
      <c r="AD68" s="358">
        <f>+AD65/AC65-1</f>
        <v>0.14669389037223191</v>
      </c>
      <c r="AE68" s="358">
        <f>+AE65/AD65-1</f>
        <v>7.2181892891384658E-2</v>
      </c>
      <c r="AF68" s="358">
        <f>+AF65/AE65-1</f>
        <v>0.11414154317833414</v>
      </c>
      <c r="AG68" s="441"/>
      <c r="AH68" s="358">
        <f>+AH65/AF65-1</f>
        <v>9.0695407900017289E-2</v>
      </c>
      <c r="AI68" s="426">
        <f>+AI65/AH65-1</f>
        <v>6.3495400788436296E-2</v>
      </c>
      <c r="AJ68" s="426">
        <f>+AJ65/AI65-1</f>
        <v>8.8914150150743776E-2</v>
      </c>
      <c r="AK68" s="426">
        <f>+AK65/AJ65-1</f>
        <v>9.5452069716775556E-2</v>
      </c>
      <c r="AL68" s="650"/>
      <c r="AM68" s="426">
        <f>+AM65/AK65-1</f>
        <v>7.2757406256473978E-2</v>
      </c>
      <c r="AN68" s="358">
        <f>+AN65/AM65-1</f>
        <v>0.12197288633115755</v>
      </c>
      <c r="AO68" s="358">
        <f>+AO65/AN65-1</f>
        <v>5.3874487934180149E-2</v>
      </c>
      <c r="AP68" s="358">
        <f>+AP65/AO65-1</f>
        <v>0.15924087019010913</v>
      </c>
      <c r="AQ68" s="441"/>
      <c r="AR68" s="358">
        <f>+AR65/AP65-1</f>
        <v>4.6324213136464731E-2</v>
      </c>
      <c r="AS68" s="358">
        <f>+AS65/AR65-1</f>
        <v>5.0574960277919967E-2</v>
      </c>
      <c r="AT68" s="358">
        <f>+AT65/AS65-1</f>
        <v>1.3098869549614145E-2</v>
      </c>
      <c r="AU68" s="358">
        <f>+AU65/AT65-1</f>
        <v>2.451798998026411E-2</v>
      </c>
      <c r="AV68" s="441"/>
      <c r="AW68" s="358">
        <f>+AW65/AU65-1</f>
        <v>2.9611518609073517E-2</v>
      </c>
      <c r="AX68" s="358">
        <f>+AX65/AW65-1</f>
        <v>5.6272487407052152E-2</v>
      </c>
      <c r="AY68" s="358">
        <f>+AY65/AX65-1</f>
        <v>1.1581433372695127E-2</v>
      </c>
      <c r="AZ68" s="358">
        <f>+AZ65/AY65-1</f>
        <v>3.362815965518795E-2</v>
      </c>
      <c r="BA68" s="441"/>
      <c r="BB68" s="358">
        <f>+BB65/AZ65-1</f>
        <v>4.5065589436191544E-2</v>
      </c>
      <c r="BC68" s="358">
        <f>+BC65/BB65-1</f>
        <v>3.6160352459526646E-3</v>
      </c>
      <c r="BD68" s="358">
        <f>+BD65/BC65-1</f>
        <v>2.8699811566893718E-2</v>
      </c>
      <c r="BE68" s="358">
        <f>+BE65/BD65-1</f>
        <v>4.535115441132076E-2</v>
      </c>
      <c r="BF68" s="441"/>
      <c r="BG68" s="358">
        <f>+BG65/BE65-1</f>
        <v>-7.159362242933065E-2</v>
      </c>
      <c r="BH68" s="358">
        <f>+BH65/BG65-1</f>
        <v>5.2785497988136143E-2</v>
      </c>
      <c r="BI68" s="358">
        <f>+BI65/BH65-1</f>
        <v>2.2636379755314406E-2</v>
      </c>
      <c r="BJ68" s="358">
        <f>+BJ65/BI65-1</f>
        <v>4.1862526007551804E-2</v>
      </c>
      <c r="BK68" s="441"/>
      <c r="BL68" s="358">
        <f>+BL65/BJ65-1</f>
        <v>-8.0744538285164813E-2</v>
      </c>
      <c r="BM68" s="358">
        <f>+BM65/BL65-1</f>
        <v>1.3229710471596823E-2</v>
      </c>
      <c r="BN68" s="358">
        <f>+BN65/BM65-1</f>
        <v>1.1681998915721303E-2</v>
      </c>
      <c r="BO68" s="358">
        <f>+BO65/BN65-1</f>
        <v>2.5616560543425759E-2</v>
      </c>
      <c r="BP68" s="441"/>
      <c r="BQ68" s="358">
        <f>+BQ65/BO65-1</f>
        <v>-9.99558166441461E-3</v>
      </c>
      <c r="BR68" s="358">
        <f>+BR65/BQ65-1</f>
        <v>5.0254213179807827E-3</v>
      </c>
      <c r="BS68" s="358">
        <f>+BS65/BR65-1</f>
        <v>7.5381494481625566E-3</v>
      </c>
      <c r="BT68" s="358">
        <f>+BT65/BS65-1</f>
        <v>1.7476746570858737E-2</v>
      </c>
      <c r="BU68" s="441"/>
    </row>
    <row r="69" spans="2:73" ht="12.75" collapsed="1">
      <c r="B69" s="272" t="s">
        <v>493</v>
      </c>
      <c r="C69" s="274"/>
      <c r="D69" s="205">
        <v>1631</v>
      </c>
      <c r="E69" s="205">
        <v>2036</v>
      </c>
      <c r="F69" s="205">
        <v>2433</v>
      </c>
      <c r="G69" s="205">
        <v>3320</v>
      </c>
      <c r="H69" s="444">
        <f>+D69+E69+F69+G69</f>
        <v>9420</v>
      </c>
      <c r="I69" s="205">
        <f>3736-44</f>
        <v>3692</v>
      </c>
      <c r="J69" s="205">
        <f>3976-46</f>
        <v>3930</v>
      </c>
      <c r="K69" s="205">
        <f>4054-79</f>
        <v>3975</v>
      </c>
      <c r="L69" s="205">
        <f>4555-82</f>
        <v>4473</v>
      </c>
      <c r="M69" s="444">
        <f>+I69+J69+K69+L69</f>
        <v>16070</v>
      </c>
      <c r="N69" s="205">
        <f>4433-60</f>
        <v>4373</v>
      </c>
      <c r="O69" s="205">
        <f>4848-75</f>
        <v>4773</v>
      </c>
      <c r="P69" s="205">
        <f>4822-114</f>
        <v>4708</v>
      </c>
      <c r="Q69" s="205">
        <f>6070-79</f>
        <v>5991</v>
      </c>
      <c r="R69" s="444">
        <f>+N69+O69+P69+Q69</f>
        <v>19845</v>
      </c>
      <c r="S69" s="205">
        <f>5676-82</f>
        <v>5594</v>
      </c>
      <c r="T69" s="205">
        <f>5672-137</f>
        <v>5535</v>
      </c>
      <c r="U69" s="205">
        <f>5740-142</f>
        <v>5598</v>
      </c>
      <c r="V69" s="205">
        <f>6748-141</f>
        <v>6607</v>
      </c>
      <c r="W69" s="444">
        <f>+S69+T69+U69+V69</f>
        <v>23334</v>
      </c>
      <c r="X69" s="205">
        <f>6309-221</f>
        <v>6088</v>
      </c>
      <c r="Y69" s="205">
        <f>5736-252</f>
        <v>5484</v>
      </c>
      <c r="Z69" s="205">
        <f>5615-263</f>
        <v>5352</v>
      </c>
      <c r="AA69" s="205">
        <f>5935-230</f>
        <v>5705</v>
      </c>
      <c r="AB69" s="444">
        <f>+X69+Y69+Z69+AA69</f>
        <v>22629</v>
      </c>
      <c r="AC69" s="205">
        <f>5604-296</f>
        <v>5308</v>
      </c>
      <c r="AD69" s="205">
        <f>5544-345</f>
        <v>5199</v>
      </c>
      <c r="AE69" s="205">
        <f>5927-293</f>
        <v>5634</v>
      </c>
      <c r="AF69" s="808">
        <f>5892-241</f>
        <v>5651</v>
      </c>
      <c r="AG69" s="654">
        <f>+AC69+AD69+AE69+AF69</f>
        <v>21792</v>
      </c>
      <c r="AH69" s="808">
        <f>6458-358</f>
        <v>6100</v>
      </c>
      <c r="AI69" s="808">
        <v>5542</v>
      </c>
      <c r="AJ69" s="808">
        <f>5832-402</f>
        <v>5430</v>
      </c>
      <c r="AK69" s="808">
        <f>6399-377</f>
        <v>6022</v>
      </c>
      <c r="AL69" s="654">
        <f>+AH69+AI69+AJ69+AK69</f>
        <v>23094</v>
      </c>
      <c r="AM69" s="808">
        <f>6639-536</f>
        <v>6103</v>
      </c>
      <c r="AN69" s="205">
        <f>6139-612</f>
        <v>5527</v>
      </c>
      <c r="AO69" s="205">
        <f>6973-531</f>
        <v>6442</v>
      </c>
      <c r="AP69" s="809">
        <f>8423-455</f>
        <v>7968</v>
      </c>
      <c r="AQ69" s="444">
        <f>+AM69+AN69+AO69+AP69</f>
        <v>26040</v>
      </c>
      <c r="AR69" s="809">
        <f>7817-595</f>
        <v>7222</v>
      </c>
      <c r="AS69" s="809">
        <f>8408-763</f>
        <v>7645</v>
      </c>
      <c r="AT69" s="809">
        <f>7893-739</f>
        <v>7154</v>
      </c>
      <c r="AU69" s="809">
        <f>8019-708</f>
        <v>7311</v>
      </c>
      <c r="AV69" s="444">
        <f>+AR69+AS69+AT69+AU69</f>
        <v>29332</v>
      </c>
      <c r="AW69" s="809">
        <f>7811-714</f>
        <v>7097</v>
      </c>
      <c r="AX69" s="205">
        <f>7016-715</f>
        <v>6301</v>
      </c>
      <c r="AY69" s="205">
        <f>6569-587</f>
        <v>5982</v>
      </c>
      <c r="AZ69" s="205">
        <f>7441-482</f>
        <v>6959</v>
      </c>
      <c r="BA69" s="444">
        <f>+AW69+AX69+AY69+AZ69</f>
        <v>26339</v>
      </c>
      <c r="BB69" s="205">
        <f>6260-373</f>
        <v>5887</v>
      </c>
      <c r="BC69" s="809">
        <f>5866-449</f>
        <v>5417</v>
      </c>
      <c r="BD69" s="205">
        <f>6364-437</f>
        <v>5927</v>
      </c>
      <c r="BE69" s="205">
        <f>6960-533</f>
        <v>6427</v>
      </c>
      <c r="BF69" s="444">
        <f>+BB69+BC69+BD69+BE69</f>
        <v>23658</v>
      </c>
      <c r="BG69" s="205">
        <f>5112-533</f>
        <v>4579</v>
      </c>
      <c r="BH69" s="205">
        <f>5823-526</f>
        <v>5297</v>
      </c>
      <c r="BI69" s="205">
        <f>6721-526</f>
        <v>6195</v>
      </c>
      <c r="BJ69" s="205">
        <f>7265-592</f>
        <v>6673</v>
      </c>
      <c r="BK69" s="444">
        <f>+BG69+BH69+BI69+BJ69</f>
        <v>22744</v>
      </c>
      <c r="BL69" s="205">
        <f>+BL47*(1-BL$80)</f>
        <v>4094.0640000000008</v>
      </c>
      <c r="BM69" s="205">
        <f>+BM47*(1-BM$80)</f>
        <v>4048.9632000000006</v>
      </c>
      <c r="BN69" s="205">
        <f>+BN47*(1-BN$80)</f>
        <v>5190.0588000000007</v>
      </c>
      <c r="BO69" s="205">
        <f>+BO47*(1-BO$80)</f>
        <v>5473.6722000000009</v>
      </c>
      <c r="BP69" s="444">
        <f>+BL69+BM69+BN69+BO69</f>
        <v>18806.758200000004</v>
      </c>
      <c r="BQ69" s="205">
        <f>+BQ47*(1-BQ$80)</f>
        <v>3684.6576000000009</v>
      </c>
      <c r="BR69" s="205">
        <f>+BR47*(1-BR$80)</f>
        <v>3644.0668800000003</v>
      </c>
      <c r="BS69" s="205">
        <f>+BS47*(1-BS$80)</f>
        <v>4671.052920000001</v>
      </c>
      <c r="BT69" s="205">
        <f>+BT47*(1-BT$80)</f>
        <v>4926.3049800000008</v>
      </c>
      <c r="BU69" s="444">
        <f>+BQ69+BR69+BS69+BT69</f>
        <v>16926.082380000003</v>
      </c>
    </row>
    <row r="70" spans="2:73" ht="12.75" hidden="1" outlineLevel="1">
      <c r="B70" s="272" t="s">
        <v>244</v>
      </c>
      <c r="C70" s="299"/>
      <c r="D70" s="159">
        <f t="shared" ref="D70:AI70" si="101">+D69/D$52</f>
        <v>9.7454588910133838E-2</v>
      </c>
      <c r="E70" s="159">
        <f t="shared" si="101"/>
        <v>0.11387024608501119</v>
      </c>
      <c r="F70" s="159">
        <f t="shared" si="101"/>
        <v>0.11968124354370603</v>
      </c>
      <c r="G70" s="159">
        <f t="shared" si="101"/>
        <v>0.15135627991793937</v>
      </c>
      <c r="H70" s="440">
        <f t="shared" si="101"/>
        <v>0.12252861602497399</v>
      </c>
      <c r="I70" s="159">
        <f t="shared" si="101"/>
        <v>0.15663315090577404</v>
      </c>
      <c r="J70" s="159">
        <f t="shared" si="101"/>
        <v>0.15238464521132222</v>
      </c>
      <c r="K70" s="159">
        <f t="shared" si="101"/>
        <v>0.14039983046058208</v>
      </c>
      <c r="L70" s="159">
        <f t="shared" si="101"/>
        <v>0.13615194959364441</v>
      </c>
      <c r="M70" s="440">
        <f t="shared" si="101"/>
        <v>0.145395653511391</v>
      </c>
      <c r="N70" s="159">
        <f t="shared" si="101"/>
        <v>0.12567536498448098</v>
      </c>
      <c r="O70" s="159">
        <f t="shared" si="101"/>
        <v>0.12807234088225825</v>
      </c>
      <c r="P70" s="159">
        <f t="shared" si="101"/>
        <v>0.11671087533156499</v>
      </c>
      <c r="Q70" s="159">
        <f t="shared" si="101"/>
        <v>0.13303281964737754</v>
      </c>
      <c r="R70" s="440">
        <f t="shared" si="101"/>
        <v>0.12605042016806722</v>
      </c>
      <c r="S70" s="159">
        <f t="shared" si="101"/>
        <v>0.12363797104652448</v>
      </c>
      <c r="T70" s="159">
        <f t="shared" si="101"/>
        <v>0.11666631536791518</v>
      </c>
      <c r="U70" s="159">
        <f t="shared" si="101"/>
        <v>0.11080540765226342</v>
      </c>
      <c r="V70" s="159">
        <f t="shared" si="101"/>
        <v>0.11444457916890405</v>
      </c>
      <c r="W70" s="440">
        <f t="shared" si="101"/>
        <v>0.11612421618393551</v>
      </c>
      <c r="X70" s="159">
        <f t="shared" si="101"/>
        <v>0.1116756855911217</v>
      </c>
      <c r="Y70" s="159">
        <f t="shared" si="101"/>
        <v>9.3838230009753429E-2</v>
      </c>
      <c r="Z70" s="159">
        <f t="shared" si="101"/>
        <v>8.5817365509500518E-2</v>
      </c>
      <c r="AA70" s="159">
        <f t="shared" si="101"/>
        <v>8.295768503708012E-2</v>
      </c>
      <c r="AB70" s="440">
        <f t="shared" si="101"/>
        <v>9.2707228042000725E-2</v>
      </c>
      <c r="AC70" s="159">
        <f t="shared" si="101"/>
        <v>7.2528523604563772E-2</v>
      </c>
      <c r="AD70" s="159">
        <f t="shared" si="101"/>
        <v>6.5844298939956178E-2</v>
      </c>
      <c r="AE70" s="159">
        <f t="shared" si="101"/>
        <v>6.7752991401599419E-2</v>
      </c>
      <c r="AF70" s="159">
        <f t="shared" si="101"/>
        <v>6.1659828910614528E-2</v>
      </c>
      <c r="AG70" s="440">
        <f t="shared" si="101"/>
        <v>6.6653004921286937E-2</v>
      </c>
      <c r="AH70" s="159">
        <f t="shared" si="101"/>
        <v>6.4659741361034556E-2</v>
      </c>
      <c r="AI70" s="424">
        <f t="shared" si="101"/>
        <v>5.6029602070527339E-2</v>
      </c>
      <c r="AJ70" s="424">
        <f t="shared" ref="AJ70:BO70" si="102">+AJ69/AJ$52</f>
        <v>5.1677373304782295E-2</v>
      </c>
      <c r="AK70" s="424">
        <f t="shared" si="102"/>
        <v>5.3217154623140889E-2</v>
      </c>
      <c r="AL70" s="648">
        <f t="shared" si="102"/>
        <v>5.6123416106501803E-2</v>
      </c>
      <c r="AM70" s="424">
        <f t="shared" si="102"/>
        <v>5.1962094831035921E-2</v>
      </c>
      <c r="AN70" s="159">
        <f t="shared" si="102"/>
        <v>4.3719002380933548E-2</v>
      </c>
      <c r="AO70" s="159">
        <f t="shared" si="102"/>
        <v>4.6049151500421749E-2</v>
      </c>
      <c r="AP70" s="159">
        <f t="shared" si="102"/>
        <v>5.2546195544652397E-2</v>
      </c>
      <c r="AQ70" s="440">
        <f t="shared" si="102"/>
        <v>4.8636170069704374E-2</v>
      </c>
      <c r="AR70" s="159">
        <f t="shared" si="102"/>
        <v>4.588776495704773E-2</v>
      </c>
      <c r="AS70" s="159">
        <f t="shared" si="102"/>
        <v>4.5654056313636497E-2</v>
      </c>
      <c r="AT70" s="159">
        <f t="shared" si="102"/>
        <v>4.0702073791710522E-2</v>
      </c>
      <c r="AU70" s="159">
        <f t="shared" si="102"/>
        <v>3.9630527051859564E-2</v>
      </c>
      <c r="AV70" s="440">
        <f t="shared" si="102"/>
        <v>4.2815250122977801E-2</v>
      </c>
      <c r="AW70" s="159">
        <f t="shared" si="102"/>
        <v>3.8744581654601637E-2</v>
      </c>
      <c r="AX70" s="159">
        <f t="shared" si="102"/>
        <v>3.3089664009410678E-2</v>
      </c>
      <c r="AY70" s="159">
        <f t="shared" si="102"/>
        <v>3.0084036149122674E-2</v>
      </c>
      <c r="AZ70" s="159">
        <f t="shared" si="102"/>
        <v>3.3902020772843308E-2</v>
      </c>
      <c r="BA70" s="440">
        <f t="shared" si="102"/>
        <v>3.3867510514885429E-2</v>
      </c>
      <c r="BB70" s="159">
        <f t="shared" si="102"/>
        <v>2.8702931726320203E-2</v>
      </c>
      <c r="BC70" s="159">
        <f t="shared" si="102"/>
        <v>2.6044396151756567E-2</v>
      </c>
      <c r="BD70" s="159">
        <f t="shared" si="102"/>
        <v>2.7611877719492764E-2</v>
      </c>
      <c r="BE70" s="159">
        <f t="shared" si="102"/>
        <v>2.9718719510221446E-2</v>
      </c>
      <c r="BF70" s="440">
        <f t="shared" si="102"/>
        <v>2.8030573206146395E-2</v>
      </c>
      <c r="BG70" s="159">
        <f t="shared" si="102"/>
        <v>2.1778523968742421E-2</v>
      </c>
      <c r="BH70" s="159">
        <f t="shared" si="102"/>
        <v>2.4730033194362094E-2</v>
      </c>
      <c r="BI70" s="159">
        <f t="shared" ref="BI70" si="103">+BI69/BI$52</f>
        <v>2.8422646357129749E-2</v>
      </c>
      <c r="BJ70" s="159">
        <f t="shared" si="102"/>
        <v>3.0696266583252065E-2</v>
      </c>
      <c r="BK70" s="440">
        <f t="shared" si="102"/>
        <v>2.6452848007778609E-2</v>
      </c>
      <c r="BL70" s="159">
        <f t="shared" si="102"/>
        <v>1.9685865334485589E-2</v>
      </c>
      <c r="BM70" s="159">
        <f t="shared" si="102"/>
        <v>1.93791698020301E-2</v>
      </c>
      <c r="BN70" s="159">
        <f t="shared" si="102"/>
        <v>2.4685284265188297E-2</v>
      </c>
      <c r="BO70" s="159">
        <f t="shared" si="102"/>
        <v>2.5853149285420374E-2</v>
      </c>
      <c r="BP70" s="440">
        <f t="shared" ref="BP70:BT70" si="104">+BP69/BP$52</f>
        <v>2.2419042443290536E-2</v>
      </c>
      <c r="BQ70" s="159">
        <f t="shared" si="104"/>
        <v>1.7419688241669451E-2</v>
      </c>
      <c r="BR70" s="159">
        <f t="shared" si="104"/>
        <v>1.7147532533330734E-2</v>
      </c>
      <c r="BS70" s="159">
        <f t="shared" si="104"/>
        <v>2.1859507635570083E-2</v>
      </c>
      <c r="BT70" s="159">
        <f t="shared" si="104"/>
        <v>2.2897582647988739E-2</v>
      </c>
      <c r="BU70" s="440">
        <f t="shared" ref="BU70" si="105">+BU69/BU$52</f>
        <v>1.9846131314927306E-2</v>
      </c>
    </row>
    <row r="71" spans="2:73" s="3" customFormat="1" ht="13.35" hidden="1" customHeight="1" outlineLevel="1">
      <c r="B71" s="224" t="s">
        <v>243</v>
      </c>
      <c r="C71" s="326"/>
      <c r="H71" s="441"/>
      <c r="I71" s="360">
        <f>+I69/D69-1</f>
        <v>1.2636419374616801</v>
      </c>
      <c r="J71" s="360">
        <f>+J69/E69-1</f>
        <v>0.93025540275049123</v>
      </c>
      <c r="K71" s="360">
        <f>+K69/F69-1</f>
        <v>0.63378545006165221</v>
      </c>
      <c r="L71" s="360">
        <f>+L69/G69-1</f>
        <v>0.34728915662650595</v>
      </c>
      <c r="M71" s="463">
        <f t="shared" ref="M71:AG71" si="106">+M69/H69-1</f>
        <v>0.70594479830148615</v>
      </c>
      <c r="N71" s="360">
        <f t="shared" si="106"/>
        <v>0.18445287107258945</v>
      </c>
      <c r="O71" s="360">
        <f t="shared" si="106"/>
        <v>0.21450381679389308</v>
      </c>
      <c r="P71" s="360">
        <f t="shared" si="106"/>
        <v>0.18440251572327049</v>
      </c>
      <c r="Q71" s="360">
        <f t="shared" si="106"/>
        <v>0.33936955063715635</v>
      </c>
      <c r="R71" s="463">
        <f t="shared" si="106"/>
        <v>0.2349097697573117</v>
      </c>
      <c r="S71" s="360">
        <f t="shared" si="106"/>
        <v>0.2792133546764235</v>
      </c>
      <c r="T71" s="360">
        <f t="shared" si="106"/>
        <v>0.1596480201131365</v>
      </c>
      <c r="U71" s="360">
        <f t="shared" si="106"/>
        <v>0.18903993203058622</v>
      </c>
      <c r="V71" s="360">
        <f t="shared" si="106"/>
        <v>0.1028208980136871</v>
      </c>
      <c r="W71" s="463">
        <f t="shared" si="106"/>
        <v>0.17581254724111872</v>
      </c>
      <c r="X71" s="360">
        <f t="shared" si="106"/>
        <v>8.8308902395423772E-2</v>
      </c>
      <c r="Y71" s="360">
        <f t="shared" si="106"/>
        <v>-9.2140921409213927E-3</v>
      </c>
      <c r="Z71" s="360">
        <f t="shared" si="106"/>
        <v>-4.394426580921762E-2</v>
      </c>
      <c r="AA71" s="360">
        <f t="shared" si="106"/>
        <v>-0.13652187074315125</v>
      </c>
      <c r="AB71" s="463">
        <f t="shared" si="106"/>
        <v>-3.0213422473643559E-2</v>
      </c>
      <c r="AC71" s="360">
        <f t="shared" si="106"/>
        <v>-0.12812089356110379</v>
      </c>
      <c r="AD71" s="360">
        <f t="shared" si="106"/>
        <v>-5.1969365426695835E-2</v>
      </c>
      <c r="AE71" s="360">
        <f t="shared" si="106"/>
        <v>5.2690582959641352E-2</v>
      </c>
      <c r="AF71" s="360">
        <f t="shared" si="106"/>
        <v>-9.4653812445223418E-3</v>
      </c>
      <c r="AG71" s="463">
        <f t="shared" si="106"/>
        <v>-3.6987935834548624E-2</v>
      </c>
      <c r="AH71" s="360">
        <f t="shared" ref="AH71:BP71" si="107">+AH69/AC69-1</f>
        <v>0.14920874152223051</v>
      </c>
      <c r="AI71" s="425">
        <f t="shared" si="107"/>
        <v>6.5974225812656329E-2</v>
      </c>
      <c r="AJ71" s="425">
        <f t="shared" si="107"/>
        <v>-3.620873269435565E-2</v>
      </c>
      <c r="AK71" s="425">
        <f t="shared" si="107"/>
        <v>6.5652096973986884E-2</v>
      </c>
      <c r="AL71" s="649">
        <f t="shared" si="107"/>
        <v>5.9746696035242186E-2</v>
      </c>
      <c r="AM71" s="425">
        <f t="shared" si="107"/>
        <v>4.9180327868847407E-4</v>
      </c>
      <c r="AN71" s="360">
        <f t="shared" si="107"/>
        <v>-2.7066041140382247E-3</v>
      </c>
      <c r="AO71" s="360">
        <f t="shared" si="107"/>
        <v>0.18637200736648252</v>
      </c>
      <c r="AP71" s="360">
        <f t="shared" si="107"/>
        <v>0.32314845566257056</v>
      </c>
      <c r="AQ71" s="463">
        <f t="shared" si="107"/>
        <v>0.12756560145492335</v>
      </c>
      <c r="AR71" s="360">
        <f t="shared" si="107"/>
        <v>0.18335244961494346</v>
      </c>
      <c r="AS71" s="360">
        <f t="shared" si="107"/>
        <v>0.38320969784693326</v>
      </c>
      <c r="AT71" s="360">
        <f t="shared" si="107"/>
        <v>0.11052468177584607</v>
      </c>
      <c r="AU71" s="360">
        <f t="shared" si="107"/>
        <v>-8.2454819277108404E-2</v>
      </c>
      <c r="AV71" s="463">
        <f t="shared" si="107"/>
        <v>0.12642089093701991</v>
      </c>
      <c r="AW71" s="360">
        <f t="shared" si="107"/>
        <v>-1.7308224868457511E-2</v>
      </c>
      <c r="AX71" s="360">
        <f t="shared" si="107"/>
        <v>-0.1758011772400262</v>
      </c>
      <c r="AY71" s="360">
        <f t="shared" si="107"/>
        <v>-0.16382443388314227</v>
      </c>
      <c r="AZ71" s="360">
        <f t="shared" si="107"/>
        <v>-4.8146628368212263E-2</v>
      </c>
      <c r="BA71" s="463">
        <f t="shared" si="107"/>
        <v>-0.10203872903313782</v>
      </c>
      <c r="BB71" s="360">
        <f t="shared" si="107"/>
        <v>-0.17049457517260813</v>
      </c>
      <c r="BC71" s="360">
        <f t="shared" si="107"/>
        <v>-0.14029519123948575</v>
      </c>
      <c r="BD71" s="360">
        <f t="shared" si="107"/>
        <v>-9.1942494149114262E-3</v>
      </c>
      <c r="BE71" s="360">
        <f t="shared" si="107"/>
        <v>-7.6447765483546481E-2</v>
      </c>
      <c r="BF71" s="463">
        <f t="shared" si="107"/>
        <v>-0.10178822278750144</v>
      </c>
      <c r="BG71" s="360">
        <f t="shared" si="107"/>
        <v>-0.22218447426533039</v>
      </c>
      <c r="BH71" s="360">
        <f t="shared" si="107"/>
        <v>-2.2152482924127748E-2</v>
      </c>
      <c r="BI71" s="360">
        <f t="shared" si="107"/>
        <v>4.5216804454192738E-2</v>
      </c>
      <c r="BJ71" s="360">
        <f t="shared" si="107"/>
        <v>3.8276023027851158E-2</v>
      </c>
      <c r="BK71" s="463">
        <f t="shared" si="107"/>
        <v>-3.8633865922732213E-2</v>
      </c>
      <c r="BL71" s="360">
        <f t="shared" si="107"/>
        <v>-0.10590434592705811</v>
      </c>
      <c r="BM71" s="360">
        <f t="shared" si="107"/>
        <v>-0.23561200679629968</v>
      </c>
      <c r="BN71" s="360">
        <f t="shared" si="107"/>
        <v>-0.16221811138014519</v>
      </c>
      <c r="BO71" s="360">
        <f t="shared" si="107"/>
        <v>-0.17972842799340616</v>
      </c>
      <c r="BP71" s="463">
        <f t="shared" si="107"/>
        <v>-0.17311122933520917</v>
      </c>
      <c r="BQ71" s="360">
        <f t="shared" ref="BQ71" si="108">+BQ69/BL69-1</f>
        <v>-9.9999999999999978E-2</v>
      </c>
      <c r="BR71" s="360">
        <f t="shared" ref="BR71" si="109">+BR69/BM69-1</f>
        <v>-0.10000000000000009</v>
      </c>
      <c r="BS71" s="360">
        <f t="shared" ref="BS71" si="110">+BS69/BN69-1</f>
        <v>-9.9999999999999978E-2</v>
      </c>
      <c r="BT71" s="360">
        <f t="shared" ref="BT71" si="111">+BT69/BO69-1</f>
        <v>-9.9999999999999978E-2</v>
      </c>
      <c r="BU71" s="463">
        <f t="shared" ref="BU71" si="112">+BU69/BP69-1</f>
        <v>-9.9999999999999978E-2</v>
      </c>
    </row>
    <row r="72" spans="2:73" s="3" customFormat="1" ht="13.35" hidden="1" customHeight="1" outlineLevel="1">
      <c r="B72" s="224" t="s">
        <v>245</v>
      </c>
      <c r="C72" s="326"/>
      <c r="D72" s="357"/>
      <c r="E72" s="358">
        <f>+E69/D69-1</f>
        <v>0.24831391784181478</v>
      </c>
      <c r="F72" s="358">
        <f>+F69/E69-1</f>
        <v>0.19499017681728881</v>
      </c>
      <c r="G72" s="358">
        <f>+G69/F69-1</f>
        <v>0.36457048910809697</v>
      </c>
      <c r="H72" s="442"/>
      <c r="I72" s="358">
        <f>+I69/G69-1</f>
        <v>0.11204819277108435</v>
      </c>
      <c r="J72" s="358">
        <f>+J69/I69-1</f>
        <v>6.4463705308775765E-2</v>
      </c>
      <c r="K72" s="358">
        <f>+K69/J69-1</f>
        <v>1.1450381679389388E-2</v>
      </c>
      <c r="L72" s="358">
        <f>+L69/K69-1</f>
        <v>0.12528301886792459</v>
      </c>
      <c r="M72" s="442"/>
      <c r="N72" s="358">
        <f>+N69/L69-1</f>
        <v>-2.2356360384529372E-2</v>
      </c>
      <c r="O72" s="358">
        <f>+O69/N69-1</f>
        <v>9.1470386462382702E-2</v>
      </c>
      <c r="P72" s="358">
        <f>+P69/O69-1</f>
        <v>-1.3618269432222885E-2</v>
      </c>
      <c r="Q72" s="358">
        <f>+Q69/P69-1</f>
        <v>0.27251486830926086</v>
      </c>
      <c r="R72" s="442"/>
      <c r="S72" s="358">
        <f>+S69/Q69-1</f>
        <v>-6.6266065765314686E-2</v>
      </c>
      <c r="T72" s="358">
        <f>+T69/S69-1</f>
        <v>-1.0547014658562781E-2</v>
      </c>
      <c r="U72" s="358">
        <f>+U69/T69-1</f>
        <v>1.1382113821138296E-2</v>
      </c>
      <c r="V72" s="358">
        <f>+V69/U69-1</f>
        <v>0.18024294390853868</v>
      </c>
      <c r="W72" s="442"/>
      <c r="X72" s="358">
        <f>+X69/V69-1</f>
        <v>-7.8553049795671237E-2</v>
      </c>
      <c r="Y72" s="358">
        <f>+Y69/X69-1</f>
        <v>-9.9211563731931629E-2</v>
      </c>
      <c r="Z72" s="358">
        <f>+Z69/Y69-1</f>
        <v>-2.4070021881838044E-2</v>
      </c>
      <c r="AA72" s="358">
        <f>+AA69/Z69-1</f>
        <v>6.5956651718983572E-2</v>
      </c>
      <c r="AB72" s="442"/>
      <c r="AC72" s="358">
        <f>+AC69/AA69-1</f>
        <v>-6.9588080631025395E-2</v>
      </c>
      <c r="AD72" s="358">
        <f>+AD69/AC69-1</f>
        <v>-2.0535041446872682E-2</v>
      </c>
      <c r="AE72" s="358">
        <f>+AE69/AD69-1</f>
        <v>8.3669936526254984E-2</v>
      </c>
      <c r="AF72" s="358">
        <f>+AF69/AE69-1</f>
        <v>3.0173943911964152E-3</v>
      </c>
      <c r="AG72" s="441"/>
      <c r="AH72" s="358">
        <f>+AH69/AF69-1</f>
        <v>7.9454963723234906E-2</v>
      </c>
      <c r="AI72" s="426">
        <f>+AI69/AH69-1</f>
        <v>-9.1475409836065613E-2</v>
      </c>
      <c r="AJ72" s="426">
        <f>+AJ69/AI69-1</f>
        <v>-2.020931071815224E-2</v>
      </c>
      <c r="AK72" s="426">
        <f>+AK69/AJ69-1</f>
        <v>0.10902394106813995</v>
      </c>
      <c r="AL72" s="650"/>
      <c r="AM72" s="426">
        <f>+AM69/AL69-1</f>
        <v>-0.73573222482029965</v>
      </c>
      <c r="AN72" s="358">
        <f>+AN69/AM69-1</f>
        <v>-9.43798132066197E-2</v>
      </c>
      <c r="AO72" s="358">
        <f>+AO69/AN69-1</f>
        <v>0.1655509317893975</v>
      </c>
      <c r="AP72" s="358">
        <f>+AP69/AO69-1</f>
        <v>0.23688295560384964</v>
      </c>
      <c r="AQ72" s="441"/>
      <c r="AR72" s="358">
        <f>+AR69/AP69-1</f>
        <v>-9.3624497991967925E-2</v>
      </c>
      <c r="AS72" s="358">
        <f>+AS69/AR69-1</f>
        <v>5.8571032954860103E-2</v>
      </c>
      <c r="AT72" s="358">
        <f>+AT69/AS69-1</f>
        <v>-6.4224983649444067E-2</v>
      </c>
      <c r="AU72" s="358">
        <f>+AU69/AT69-1</f>
        <v>2.1945764607212759E-2</v>
      </c>
      <c r="AV72" s="441"/>
      <c r="AW72" s="358">
        <f>+AW69/AU69-1</f>
        <v>-2.9270961564765385E-2</v>
      </c>
      <c r="AX72" s="358">
        <f>+AX69/AW69-1</f>
        <v>-0.1121600676342116</v>
      </c>
      <c r="AY72" s="358">
        <f>+AY69/AX69-1</f>
        <v>-5.0626884621488677E-2</v>
      </c>
      <c r="AZ72" s="358">
        <f>+AZ69/AY69-1</f>
        <v>0.16332330324306255</v>
      </c>
      <c r="BA72" s="441"/>
      <c r="BB72" s="358">
        <f>+BB69/AZ69-1</f>
        <v>-0.1540451214254922</v>
      </c>
      <c r="BC72" s="358">
        <f>+BC69/BB69-1</f>
        <v>-7.9836928826227282E-2</v>
      </c>
      <c r="BD72" s="358">
        <f>+BD69/BC69-1</f>
        <v>9.4148052427542872E-2</v>
      </c>
      <c r="BE72" s="358">
        <f>+BE69/BD69-1</f>
        <v>8.4359709802598326E-2</v>
      </c>
      <c r="BF72" s="441"/>
      <c r="BG72" s="358">
        <f>+BG69/BE69-1</f>
        <v>-0.28753695347751673</v>
      </c>
      <c r="BH72" s="358">
        <f>+BH69/BG69-1</f>
        <v>0.15680279537016806</v>
      </c>
      <c r="BI72" s="358">
        <f>+BI69/BH69-1</f>
        <v>0.16952992259769673</v>
      </c>
      <c r="BJ72" s="358">
        <f>+BJ69/BI69-1</f>
        <v>7.7158999192897593E-2</v>
      </c>
      <c r="BK72" s="441"/>
      <c r="BL72" s="358">
        <f>+BL69/BJ69-1</f>
        <v>-0.38647325041210834</v>
      </c>
      <c r="BM72" s="358">
        <f>+BM69/BL69-1</f>
        <v>-1.101614434947773E-2</v>
      </c>
      <c r="BN72" s="358">
        <f>+BN69/BM69-1</f>
        <v>0.28182414698162739</v>
      </c>
      <c r="BO72" s="358">
        <f>+BO69/BN69-1</f>
        <v>5.4645508062451942E-2</v>
      </c>
      <c r="BP72" s="441"/>
      <c r="BQ72" s="358">
        <f>+BQ69/BO69-1</f>
        <v>-0.32683992293144626</v>
      </c>
      <c r="BR72" s="358">
        <f>+BR69/BQ69-1</f>
        <v>-1.1016144349477841E-2</v>
      </c>
      <c r="BS72" s="358">
        <f>+BS69/BR69-1</f>
        <v>0.28182414698162739</v>
      </c>
      <c r="BT72" s="358">
        <f>+BT69/BS69-1</f>
        <v>5.4645508062451942E-2</v>
      </c>
      <c r="BU72" s="441"/>
    </row>
    <row r="73" spans="2:73" s="7" customFormat="1" ht="3.6" customHeight="1" collapsed="1">
      <c r="B73" s="186"/>
      <c r="C73" s="192"/>
      <c r="D73" s="174" t="s">
        <v>1</v>
      </c>
      <c r="E73" s="174" t="s">
        <v>1</v>
      </c>
      <c r="F73" s="174" t="s">
        <v>1</v>
      </c>
      <c r="G73" s="174" t="s">
        <v>1</v>
      </c>
      <c r="H73" s="445" t="s">
        <v>1</v>
      </c>
      <c r="I73" s="174" t="s">
        <v>1</v>
      </c>
      <c r="J73" s="174" t="s">
        <v>1</v>
      </c>
      <c r="K73" s="174" t="s">
        <v>1</v>
      </c>
      <c r="L73" s="174" t="s">
        <v>1</v>
      </c>
      <c r="M73" s="445" t="s">
        <v>1</v>
      </c>
      <c r="N73" s="174" t="s">
        <v>1</v>
      </c>
      <c r="O73" s="174" t="s">
        <v>1</v>
      </c>
      <c r="P73" s="174" t="s">
        <v>1</v>
      </c>
      <c r="Q73" s="174" t="s">
        <v>1</v>
      </c>
      <c r="R73" s="445" t="s">
        <v>1</v>
      </c>
      <c r="S73" s="174" t="s">
        <v>1</v>
      </c>
      <c r="T73" s="174" t="s">
        <v>1</v>
      </c>
      <c r="U73" s="174" t="s">
        <v>1</v>
      </c>
      <c r="V73" s="174" t="s">
        <v>1</v>
      </c>
      <c r="W73" s="445" t="s">
        <v>1</v>
      </c>
      <c r="X73" s="174" t="s">
        <v>1</v>
      </c>
      <c r="Y73" s="174" t="s">
        <v>1</v>
      </c>
      <c r="Z73" s="174" t="s">
        <v>1</v>
      </c>
      <c r="AA73" s="174" t="s">
        <v>1</v>
      </c>
      <c r="AB73" s="445" t="s">
        <v>1</v>
      </c>
      <c r="AC73" s="174" t="s">
        <v>1</v>
      </c>
      <c r="AD73" s="174" t="s">
        <v>1</v>
      </c>
      <c r="AE73" s="174" t="s">
        <v>1</v>
      </c>
      <c r="AF73" s="174" t="s">
        <v>1</v>
      </c>
      <c r="AG73" s="445" t="s">
        <v>1</v>
      </c>
      <c r="AH73" s="174" t="s">
        <v>1</v>
      </c>
      <c r="AI73" s="566" t="s">
        <v>1</v>
      </c>
      <c r="AJ73" s="566" t="s">
        <v>1</v>
      </c>
      <c r="AK73" s="566" t="s">
        <v>1</v>
      </c>
      <c r="AL73" s="656" t="s">
        <v>1</v>
      </c>
      <c r="AM73" s="174" t="s">
        <v>1</v>
      </c>
      <c r="AN73" s="174" t="s">
        <v>1</v>
      </c>
      <c r="AO73" s="174" t="s">
        <v>1</v>
      </c>
      <c r="AP73" s="174" t="s">
        <v>1</v>
      </c>
      <c r="AQ73" s="445" t="s">
        <v>1</v>
      </c>
      <c r="AR73" s="174" t="s">
        <v>1</v>
      </c>
      <c r="AS73" s="174" t="s">
        <v>1</v>
      </c>
      <c r="AT73" s="174" t="s">
        <v>1</v>
      </c>
      <c r="AU73" s="174" t="s">
        <v>1</v>
      </c>
      <c r="AV73" s="445" t="s">
        <v>1</v>
      </c>
      <c r="AW73" s="174" t="s">
        <v>1</v>
      </c>
      <c r="AX73" s="174" t="s">
        <v>1</v>
      </c>
      <c r="AY73" s="174" t="s">
        <v>1</v>
      </c>
      <c r="AZ73" s="174" t="s">
        <v>1</v>
      </c>
      <c r="BA73" s="445" t="s">
        <v>1</v>
      </c>
      <c r="BB73" s="174" t="s">
        <v>1</v>
      </c>
      <c r="BC73" s="174" t="s">
        <v>1</v>
      </c>
      <c r="BD73" s="174" t="s">
        <v>1</v>
      </c>
      <c r="BE73" s="174" t="s">
        <v>1</v>
      </c>
      <c r="BF73" s="445" t="s">
        <v>1</v>
      </c>
      <c r="BG73" s="174" t="s">
        <v>1</v>
      </c>
      <c r="BH73" s="174" t="s">
        <v>1</v>
      </c>
      <c r="BI73" s="174" t="s">
        <v>1</v>
      </c>
      <c r="BJ73" s="174" t="s">
        <v>1</v>
      </c>
      <c r="BK73" s="445" t="s">
        <v>1</v>
      </c>
      <c r="BL73" s="174" t="s">
        <v>1</v>
      </c>
      <c r="BM73" s="174" t="s">
        <v>1</v>
      </c>
      <c r="BN73" s="174" t="s">
        <v>1</v>
      </c>
      <c r="BO73" s="174" t="s">
        <v>1</v>
      </c>
      <c r="BP73" s="445" t="s">
        <v>1</v>
      </c>
      <c r="BQ73" s="174" t="s">
        <v>1</v>
      </c>
      <c r="BR73" s="174" t="s">
        <v>1</v>
      </c>
      <c r="BS73" s="174" t="s">
        <v>1</v>
      </c>
      <c r="BT73" s="174" t="s">
        <v>1</v>
      </c>
      <c r="BU73" s="445" t="s">
        <v>1</v>
      </c>
    </row>
    <row r="74" spans="2:73" ht="13.15">
      <c r="B74" s="191" t="s">
        <v>503</v>
      </c>
      <c r="C74" s="810"/>
      <c r="D74" s="811">
        <f>+D69+D61+D57</f>
        <v>3858</v>
      </c>
      <c r="E74" s="811">
        <f t="shared" ref="E74:AA74" si="113">+E69+E61+E57</f>
        <v>3946</v>
      </c>
      <c r="F74" s="811">
        <f t="shared" si="113"/>
        <v>4656</v>
      </c>
      <c r="G74" s="811">
        <f t="shared" si="113"/>
        <v>5748</v>
      </c>
      <c r="H74" s="812">
        <f>+G74+F74+E74+D74</f>
        <v>18208</v>
      </c>
      <c r="I74" s="811">
        <f t="shared" si="113"/>
        <v>6240</v>
      </c>
      <c r="J74" s="811">
        <f t="shared" si="113"/>
        <v>6399</v>
      </c>
      <c r="K74" s="811">
        <f t="shared" si="113"/>
        <v>6676</v>
      </c>
      <c r="L74" s="811">
        <f t="shared" si="113"/>
        <v>8185</v>
      </c>
      <c r="M74" s="812">
        <f>+L74+K74+J74+I74</f>
        <v>27500</v>
      </c>
      <c r="N74" s="811">
        <f t="shared" si="113"/>
        <v>8129</v>
      </c>
      <c r="O74" s="811">
        <f t="shared" si="113"/>
        <v>8706</v>
      </c>
      <c r="P74" s="811">
        <f t="shared" si="113"/>
        <v>9425</v>
      </c>
      <c r="Q74" s="811">
        <f t="shared" si="113"/>
        <v>11073</v>
      </c>
      <c r="R74" s="812">
        <f>+Q74+P74+O74+N74</f>
        <v>37333</v>
      </c>
      <c r="S74" s="811">
        <f t="shared" si="113"/>
        <v>11623</v>
      </c>
      <c r="T74" s="811">
        <f t="shared" si="113"/>
        <v>12332</v>
      </c>
      <c r="U74" s="811">
        <f t="shared" si="113"/>
        <v>13209</v>
      </c>
      <c r="V74" s="811">
        <f t="shared" si="113"/>
        <v>16022</v>
      </c>
      <c r="W74" s="812">
        <f>+V74+U74+T74+S74</f>
        <v>53186</v>
      </c>
      <c r="X74" s="811">
        <f t="shared" si="113"/>
        <v>15312</v>
      </c>
      <c r="Y74" s="811">
        <f t="shared" si="113"/>
        <v>16031</v>
      </c>
      <c r="Z74" s="811">
        <f t="shared" si="113"/>
        <v>16431</v>
      </c>
      <c r="AA74" s="811">
        <f t="shared" si="113"/>
        <v>17632</v>
      </c>
      <c r="AB74" s="812">
        <f>+AA74+Z74+Y74+X74</f>
        <v>65406</v>
      </c>
      <c r="AC74" s="811">
        <f>+AC69+AC61+AC57</f>
        <v>18042</v>
      </c>
      <c r="AD74" s="811">
        <f>+AD69+AD61+AD57</f>
        <v>19801</v>
      </c>
      <c r="AE74" s="811">
        <f>+AE69+AE61+AE57</f>
        <v>21290</v>
      </c>
      <c r="AF74" s="811">
        <f>+AF69+AF61+AF57</f>
        <v>23094</v>
      </c>
      <c r="AG74" s="812">
        <f>+AF74+AE74+AD74+AC74</f>
        <v>82227</v>
      </c>
      <c r="AH74" s="811">
        <f>+AH69+AH61+AH57</f>
        <v>25125</v>
      </c>
      <c r="AI74" s="813">
        <f>+AI69+AI61+AI57</f>
        <v>25775</v>
      </c>
      <c r="AJ74" s="813">
        <f>+AJ69+AJ61+AJ57</f>
        <v>27462</v>
      </c>
      <c r="AK74" s="813">
        <f>+AK69+AK61+AK57</f>
        <v>30157</v>
      </c>
      <c r="AL74" s="814">
        <f>+AK74+AJ74+AI74+AH74</f>
        <v>108519</v>
      </c>
      <c r="AM74" s="811">
        <f t="shared" ref="AM74:AU74" si="114">AM65+AM69</f>
        <v>31994</v>
      </c>
      <c r="AN74" s="811">
        <f t="shared" si="114"/>
        <v>34576</v>
      </c>
      <c r="AO74" s="811">
        <f t="shared" si="114"/>
        <v>37056</v>
      </c>
      <c r="AP74" s="811">
        <f t="shared" si="114"/>
        <v>43457</v>
      </c>
      <c r="AQ74" s="812">
        <f>+AP74+AO74+AN74+AM74</f>
        <v>147083</v>
      </c>
      <c r="AR74" s="811">
        <f t="shared" si="114"/>
        <v>44355</v>
      </c>
      <c r="AS74" s="811">
        <f t="shared" si="114"/>
        <v>46656</v>
      </c>
      <c r="AT74" s="811">
        <f t="shared" si="114"/>
        <v>46676</v>
      </c>
      <c r="AU74" s="811">
        <f t="shared" si="114"/>
        <v>47802</v>
      </c>
      <c r="AV74" s="812">
        <f>+AU74+AT74+AS74+AR74</f>
        <v>185489</v>
      </c>
      <c r="AW74" s="811">
        <f>AW65+AW69</f>
        <v>48787</v>
      </c>
      <c r="AX74" s="811">
        <f>AX65+AX69</f>
        <v>50337</v>
      </c>
      <c r="AY74" s="811">
        <f>AY65+AY69</f>
        <v>50528</v>
      </c>
      <c r="AZ74" s="811">
        <f>AZ65+AZ69</f>
        <v>53003</v>
      </c>
      <c r="BA74" s="812">
        <f>+AZ74+AY74+AX74+AW74</f>
        <v>202655</v>
      </c>
      <c r="BB74" s="811">
        <f>BB65+BB69</f>
        <v>54006</v>
      </c>
      <c r="BC74" s="811">
        <f>BC65+BC69</f>
        <v>53710</v>
      </c>
      <c r="BD74" s="811">
        <f>BD65+BD69</f>
        <v>55606</v>
      </c>
      <c r="BE74" s="811">
        <f>BE65+BE69</f>
        <v>58359</v>
      </c>
      <c r="BF74" s="812">
        <f>+BE74+BD74+BC74+BB74</f>
        <v>221681</v>
      </c>
      <c r="BG74" s="811">
        <f>BG65+BG69</f>
        <v>52793</v>
      </c>
      <c r="BH74" s="811">
        <f>BH65+BH69</f>
        <v>56056</v>
      </c>
      <c r="BI74" s="811">
        <f>BI65+BI69</f>
        <v>58103</v>
      </c>
      <c r="BJ74" s="811">
        <f>BJ65+BJ69</f>
        <v>60754</v>
      </c>
      <c r="BK74" s="812">
        <f>+BJ74+BI74+BH74+BG74</f>
        <v>227706</v>
      </c>
      <c r="BL74" s="811">
        <f>BL65+BL69</f>
        <v>53808.318625</v>
      </c>
      <c r="BM74" s="811">
        <f>BM65+BM69</f>
        <v>54420.923019999995</v>
      </c>
      <c r="BN74" s="811">
        <f>BN65+BN69</f>
        <v>56150.463799999998</v>
      </c>
      <c r="BO74" s="811">
        <f>BO65+BO69</f>
        <v>57739.5075</v>
      </c>
      <c r="BP74" s="812">
        <f>+BO74+BN74+BM74+BL74</f>
        <v>222119.21294499998</v>
      </c>
      <c r="BQ74" s="811">
        <f>BQ65+BQ69</f>
        <v>55428.065475000003</v>
      </c>
      <c r="BR74" s="811">
        <f>BR65+BR69</f>
        <v>55647.507180000001</v>
      </c>
      <c r="BS74" s="811">
        <f>BS65+BS69</f>
        <v>57066.502924800006</v>
      </c>
      <c r="BT74" s="811">
        <f>BT65+BT69</f>
        <v>58237.456985999997</v>
      </c>
      <c r="BU74" s="812">
        <f>+BT74+BS74+BR74+BQ74</f>
        <v>226379.53256580001</v>
      </c>
    </row>
    <row r="75" spans="2:73" ht="3.6" customHeight="1">
      <c r="B75" s="270"/>
      <c r="C75" s="297"/>
      <c r="D75" s="271" t="s">
        <v>1</v>
      </c>
      <c r="E75" s="271" t="s">
        <v>1</v>
      </c>
      <c r="F75" s="271" t="s">
        <v>1</v>
      </c>
      <c r="G75" s="271" t="s">
        <v>1</v>
      </c>
      <c r="H75" s="446" t="s">
        <v>1</v>
      </c>
      <c r="I75" s="271" t="s">
        <v>1</v>
      </c>
      <c r="J75" s="271" t="s">
        <v>1</v>
      </c>
      <c r="K75" s="271" t="s">
        <v>1</v>
      </c>
      <c r="L75" s="271" t="s">
        <v>1</v>
      </c>
      <c r="M75" s="446" t="s">
        <v>1</v>
      </c>
      <c r="N75" s="271" t="s">
        <v>1</v>
      </c>
      <c r="O75" s="271" t="s">
        <v>1</v>
      </c>
      <c r="P75" s="271" t="s">
        <v>1</v>
      </c>
      <c r="Q75" s="271" t="s">
        <v>1</v>
      </c>
      <c r="R75" s="446" t="s">
        <v>1</v>
      </c>
      <c r="S75" s="271" t="s">
        <v>1</v>
      </c>
      <c r="T75" s="271" t="s">
        <v>1</v>
      </c>
      <c r="U75" s="271" t="s">
        <v>1</v>
      </c>
      <c r="V75" s="271" t="s">
        <v>1</v>
      </c>
      <c r="W75" s="446" t="s">
        <v>1</v>
      </c>
      <c r="X75" s="271" t="s">
        <v>1</v>
      </c>
      <c r="Y75" s="271" t="s">
        <v>1</v>
      </c>
      <c r="Z75" s="271" t="s">
        <v>1</v>
      </c>
      <c r="AA75" s="271" t="s">
        <v>1</v>
      </c>
      <c r="AB75" s="446" t="s">
        <v>1</v>
      </c>
      <c r="AC75" s="271" t="s">
        <v>1</v>
      </c>
      <c r="AD75" s="271" t="s">
        <v>1</v>
      </c>
      <c r="AE75" s="271" t="s">
        <v>1</v>
      </c>
      <c r="AF75" s="271" t="s">
        <v>1</v>
      </c>
      <c r="AG75" s="446" t="s">
        <v>1</v>
      </c>
      <c r="AH75" s="271" t="s">
        <v>1</v>
      </c>
      <c r="AI75" s="657" t="s">
        <v>1</v>
      </c>
      <c r="AJ75" s="657" t="s">
        <v>1</v>
      </c>
      <c r="AK75" s="657" t="s">
        <v>1</v>
      </c>
      <c r="AL75" s="658" t="s">
        <v>1</v>
      </c>
      <c r="AM75" s="271" t="s">
        <v>1</v>
      </c>
      <c r="AN75" s="271" t="s">
        <v>1</v>
      </c>
      <c r="AO75" s="271" t="s">
        <v>1</v>
      </c>
      <c r="AP75" s="271" t="s">
        <v>1</v>
      </c>
      <c r="AQ75" s="446" t="s">
        <v>1</v>
      </c>
      <c r="AR75" s="271" t="s">
        <v>1</v>
      </c>
      <c r="AS75" s="271" t="s">
        <v>1</v>
      </c>
      <c r="AT75" s="271" t="s">
        <v>1</v>
      </c>
      <c r="AU75" s="271" t="s">
        <v>1</v>
      </c>
      <c r="AV75" s="446" t="s">
        <v>1</v>
      </c>
      <c r="AW75" s="271" t="s">
        <v>1</v>
      </c>
      <c r="AX75" s="271" t="s">
        <v>1</v>
      </c>
      <c r="AY75" s="271" t="s">
        <v>1</v>
      </c>
      <c r="AZ75" s="271" t="s">
        <v>1</v>
      </c>
      <c r="BA75" s="446" t="s">
        <v>1</v>
      </c>
      <c r="BB75" s="271" t="s">
        <v>1</v>
      </c>
      <c r="BC75" s="271" t="s">
        <v>1</v>
      </c>
      <c r="BD75" s="271" t="s">
        <v>1</v>
      </c>
      <c r="BE75" s="271" t="s">
        <v>1</v>
      </c>
      <c r="BF75" s="446" t="s">
        <v>1</v>
      </c>
      <c r="BG75" s="271" t="s">
        <v>1</v>
      </c>
      <c r="BH75" s="271" t="s">
        <v>1</v>
      </c>
      <c r="BI75" s="271" t="s">
        <v>1</v>
      </c>
      <c r="BJ75" s="271" t="s">
        <v>1</v>
      </c>
      <c r="BK75" s="446" t="s">
        <v>1</v>
      </c>
      <c r="BL75" s="271" t="s">
        <v>1</v>
      </c>
      <c r="BM75" s="271" t="s">
        <v>1</v>
      </c>
      <c r="BN75" s="271" t="s">
        <v>1</v>
      </c>
      <c r="BO75" s="271" t="s">
        <v>1</v>
      </c>
      <c r="BP75" s="446" t="s">
        <v>1</v>
      </c>
      <c r="BQ75" s="271" t="s">
        <v>1</v>
      </c>
      <c r="BR75" s="271" t="s">
        <v>1</v>
      </c>
      <c r="BS75" s="271" t="s">
        <v>1</v>
      </c>
      <c r="BT75" s="271" t="s">
        <v>1</v>
      </c>
      <c r="BU75" s="446" t="s">
        <v>1</v>
      </c>
    </row>
    <row r="76" spans="2:73" ht="13.15">
      <c r="B76" s="278" t="s">
        <v>2</v>
      </c>
      <c r="C76" s="300"/>
      <c r="D76" s="772">
        <f t="shared" ref="D76:AQ76" si="115">+D52-D74</f>
        <v>12878</v>
      </c>
      <c r="E76" s="772">
        <f t="shared" si="115"/>
        <v>13934</v>
      </c>
      <c r="F76" s="772">
        <f t="shared" si="115"/>
        <v>15673</v>
      </c>
      <c r="G76" s="772">
        <f t="shared" si="115"/>
        <v>16187</v>
      </c>
      <c r="H76" s="773">
        <f t="shared" si="115"/>
        <v>58672</v>
      </c>
      <c r="I76" s="772">
        <f t="shared" si="115"/>
        <v>17331</v>
      </c>
      <c r="J76" s="772">
        <f t="shared" si="115"/>
        <v>19391</v>
      </c>
      <c r="K76" s="772">
        <f t="shared" si="115"/>
        <v>21636</v>
      </c>
      <c r="L76" s="772">
        <f t="shared" si="115"/>
        <v>24668</v>
      </c>
      <c r="M76" s="773">
        <f t="shared" si="115"/>
        <v>83026</v>
      </c>
      <c r="N76" s="772">
        <f t="shared" si="115"/>
        <v>26667</v>
      </c>
      <c r="O76" s="772">
        <f t="shared" si="115"/>
        <v>28562</v>
      </c>
      <c r="P76" s="772">
        <f t="shared" si="115"/>
        <v>30914</v>
      </c>
      <c r="Q76" s="772">
        <f t="shared" si="115"/>
        <v>33961</v>
      </c>
      <c r="R76" s="773">
        <f t="shared" si="115"/>
        <v>120104</v>
      </c>
      <c r="S76" s="772">
        <f t="shared" si="115"/>
        <v>33622</v>
      </c>
      <c r="T76" s="772">
        <f t="shared" si="115"/>
        <v>35111</v>
      </c>
      <c r="U76" s="772">
        <f t="shared" si="115"/>
        <v>37312</v>
      </c>
      <c r="V76" s="772">
        <f t="shared" si="115"/>
        <v>41709</v>
      </c>
      <c r="W76" s="773">
        <f t="shared" si="115"/>
        <v>147754</v>
      </c>
      <c r="X76" s="772">
        <f t="shared" si="115"/>
        <v>39203</v>
      </c>
      <c r="Y76" s="772">
        <f t="shared" si="115"/>
        <v>42410</v>
      </c>
      <c r="Z76" s="772">
        <f t="shared" si="115"/>
        <v>45934</v>
      </c>
      <c r="AA76" s="772">
        <f t="shared" si="115"/>
        <v>51138</v>
      </c>
      <c r="AB76" s="773">
        <f t="shared" si="115"/>
        <v>178685</v>
      </c>
      <c r="AC76" s="772">
        <f t="shared" si="115"/>
        <v>55143</v>
      </c>
      <c r="AD76" s="772">
        <f t="shared" si="115"/>
        <v>59158</v>
      </c>
      <c r="AE76" s="772">
        <f t="shared" si="115"/>
        <v>61865</v>
      </c>
      <c r="AF76" s="772">
        <f t="shared" si="115"/>
        <v>68554</v>
      </c>
      <c r="AG76" s="773">
        <f t="shared" si="115"/>
        <v>244720</v>
      </c>
      <c r="AH76" s="772">
        <f t="shared" si="115"/>
        <v>69215</v>
      </c>
      <c r="AI76" s="774">
        <f t="shared" si="115"/>
        <v>73137</v>
      </c>
      <c r="AJ76" s="774">
        <f t="shared" si="115"/>
        <v>77613</v>
      </c>
      <c r="AK76" s="774">
        <f t="shared" si="115"/>
        <v>83002</v>
      </c>
      <c r="AL76" s="775">
        <f t="shared" si="115"/>
        <v>302967</v>
      </c>
      <c r="AM76" s="772">
        <f t="shared" si="115"/>
        <v>85457</v>
      </c>
      <c r="AN76" s="772">
        <f t="shared" si="115"/>
        <v>91845</v>
      </c>
      <c r="AO76" s="772">
        <f t="shared" si="115"/>
        <v>102838</v>
      </c>
      <c r="AP76" s="772">
        <f t="shared" si="115"/>
        <v>108181</v>
      </c>
      <c r="AQ76" s="773">
        <f t="shared" si="115"/>
        <v>388321</v>
      </c>
      <c r="AR76" s="772">
        <f t="shared" ref="AR76:BP76" si="116">+AR52-AR74</f>
        <v>113029</v>
      </c>
      <c r="AS76" s="772">
        <f t="shared" si="116"/>
        <v>120799</v>
      </c>
      <c r="AT76" s="772">
        <f t="shared" si="116"/>
        <v>129089</v>
      </c>
      <c r="AU76" s="772">
        <f t="shared" si="116"/>
        <v>136677</v>
      </c>
      <c r="AV76" s="773">
        <f t="shared" si="116"/>
        <v>499594</v>
      </c>
      <c r="AW76" s="772">
        <f t="shared" si="116"/>
        <v>134387</v>
      </c>
      <c r="AX76" s="772">
        <f t="shared" si="116"/>
        <v>140085</v>
      </c>
      <c r="AY76" s="772">
        <f t="shared" si="116"/>
        <v>148315</v>
      </c>
      <c r="AZ76" s="772">
        <f t="shared" si="116"/>
        <v>152265</v>
      </c>
      <c r="BA76" s="773">
        <f t="shared" si="116"/>
        <v>575052</v>
      </c>
      <c r="BB76" s="772">
        <f t="shared" si="116"/>
        <v>151095</v>
      </c>
      <c r="BC76" s="772">
        <f t="shared" si="116"/>
        <v>154281</v>
      </c>
      <c r="BD76" s="772">
        <f t="shared" si="116"/>
        <v>159048</v>
      </c>
      <c r="BE76" s="772">
        <f t="shared" si="116"/>
        <v>157902</v>
      </c>
      <c r="BF76" s="773">
        <f t="shared" si="116"/>
        <v>622326</v>
      </c>
      <c r="BG76" s="772">
        <f t="shared" si="116"/>
        <v>157460</v>
      </c>
      <c r="BH76" s="772">
        <f t="shared" si="116"/>
        <v>158137</v>
      </c>
      <c r="BI76" s="772">
        <f t="shared" ref="BI76" si="117">+BI52-BI74</f>
        <v>159857</v>
      </c>
      <c r="BJ76" s="772">
        <f t="shared" si="116"/>
        <v>156634</v>
      </c>
      <c r="BK76" s="773">
        <f t="shared" si="116"/>
        <v>632088</v>
      </c>
      <c r="BL76" s="772">
        <f t="shared" si="116"/>
        <v>154161.40637500002</v>
      </c>
      <c r="BM76" s="772">
        <f t="shared" si="116"/>
        <v>154512.85698000001</v>
      </c>
      <c r="BN76" s="772">
        <f t="shared" si="116"/>
        <v>154098.63620000001</v>
      </c>
      <c r="BO76" s="772">
        <f t="shared" si="116"/>
        <v>153982.17249999999</v>
      </c>
      <c r="BP76" s="773">
        <f t="shared" si="116"/>
        <v>616755.07205500011</v>
      </c>
      <c r="BQ76" s="772">
        <f t="shared" ref="BQ76:BU76" si="118">+BQ52-BQ74</f>
        <v>156094.526025</v>
      </c>
      <c r="BR76" s="772">
        <f t="shared" si="118"/>
        <v>156865.10201999999</v>
      </c>
      <c r="BS76" s="772">
        <f t="shared" si="118"/>
        <v>156618.68147519999</v>
      </c>
      <c r="BT76" s="772">
        <f t="shared" si="118"/>
        <v>156907.742214</v>
      </c>
      <c r="BU76" s="773">
        <f t="shared" si="118"/>
        <v>626486.05173419998</v>
      </c>
    </row>
    <row r="77" spans="2:73" ht="12.75" hidden="1" outlineLevel="1">
      <c r="B77" s="272"/>
      <c r="C77" s="280"/>
      <c r="D77" s="273"/>
      <c r="E77" s="273"/>
      <c r="F77" s="273"/>
      <c r="G77" s="273"/>
      <c r="H77" s="447"/>
      <c r="I77" s="273"/>
      <c r="J77" s="273"/>
      <c r="K77" s="273"/>
      <c r="L77" s="273"/>
      <c r="M77" s="447"/>
      <c r="N77" s="273"/>
      <c r="O77" s="273"/>
      <c r="P77" s="273"/>
      <c r="Q77" s="273"/>
      <c r="R77" s="447"/>
      <c r="S77" s="273"/>
      <c r="T77" s="273"/>
      <c r="U77" s="273"/>
      <c r="V77" s="273"/>
      <c r="W77" s="447"/>
      <c r="X77" s="273"/>
      <c r="Y77" s="273"/>
      <c r="Z77" s="273"/>
      <c r="AA77" s="273"/>
      <c r="AB77" s="447"/>
      <c r="AC77" s="273"/>
      <c r="AD77" s="273"/>
      <c r="AE77" s="273"/>
      <c r="AF77" s="273"/>
      <c r="AG77" s="447"/>
      <c r="AH77" s="273"/>
      <c r="AI77" s="659"/>
      <c r="AJ77" s="659"/>
      <c r="AK77" s="659"/>
      <c r="AL77" s="660"/>
      <c r="AM77" s="273"/>
      <c r="AN77" s="273"/>
      <c r="AO77" s="273"/>
      <c r="AP77" s="273"/>
      <c r="AQ77" s="447"/>
      <c r="AR77" s="273"/>
      <c r="AS77" s="273"/>
      <c r="AT77" s="273"/>
      <c r="AU77" s="273"/>
      <c r="AV77" s="447"/>
      <c r="AW77" s="273"/>
      <c r="AX77" s="273"/>
      <c r="AY77" s="273"/>
      <c r="AZ77" s="273"/>
      <c r="BA77" s="447"/>
      <c r="BB77" s="273"/>
      <c r="BC77" s="273"/>
      <c r="BD77" s="273"/>
      <c r="BE77" s="273"/>
      <c r="BF77" s="447"/>
      <c r="BG77" s="273"/>
      <c r="BH77" s="273"/>
      <c r="BI77" s="273"/>
      <c r="BJ77" s="273"/>
      <c r="BK77" s="447"/>
      <c r="BL77" s="273"/>
      <c r="BM77" s="273"/>
      <c r="BN77" s="273"/>
      <c r="BO77" s="273"/>
      <c r="BP77" s="447"/>
      <c r="BQ77" s="273"/>
      <c r="BR77" s="273"/>
      <c r="BS77" s="273"/>
      <c r="BT77" s="273"/>
      <c r="BU77" s="447"/>
    </row>
    <row r="78" spans="2:73" ht="13.9" hidden="1" customHeight="1" outlineLevel="1">
      <c r="B78" s="201" t="s">
        <v>451</v>
      </c>
      <c r="C78" s="280"/>
      <c r="D78" s="159">
        <f t="shared" ref="D78:AQ78" si="119">(D30-D57)/D30</f>
        <v>0.88327837965143663</v>
      </c>
      <c r="E78" s="159">
        <f t="shared" si="119"/>
        <v>0.93117225097611911</v>
      </c>
      <c r="F78" s="159">
        <f t="shared" si="119"/>
        <v>0.91108786610878656</v>
      </c>
      <c r="G78" s="159">
        <f t="shared" si="119"/>
        <v>0.90820101741945425</v>
      </c>
      <c r="H78" s="440">
        <f t="shared" si="119"/>
        <v>0.90871783967680209</v>
      </c>
      <c r="I78" s="159">
        <f t="shared" si="119"/>
        <v>0.90164895566141445</v>
      </c>
      <c r="J78" s="159">
        <f t="shared" si="119"/>
        <v>0.92745406106974515</v>
      </c>
      <c r="K78" s="159">
        <f t="shared" si="119"/>
        <v>0.92635467980295572</v>
      </c>
      <c r="L78" s="159">
        <f t="shared" si="119"/>
        <v>0.90271672933326275</v>
      </c>
      <c r="M78" s="440">
        <f t="shared" si="119"/>
        <v>0.91425236961218792</v>
      </c>
      <c r="N78" s="159">
        <f t="shared" si="119"/>
        <v>0.8940680069496153</v>
      </c>
      <c r="O78" s="159">
        <f t="shared" si="119"/>
        <v>0.89862975391498878</v>
      </c>
      <c r="P78" s="159">
        <f t="shared" si="119"/>
        <v>0.87380993595291678</v>
      </c>
      <c r="Q78" s="159">
        <f t="shared" si="119"/>
        <v>0.86973071471957886</v>
      </c>
      <c r="R78" s="440">
        <f t="shared" si="119"/>
        <v>0.88320433090242045</v>
      </c>
      <c r="S78" s="159">
        <f t="shared" si="119"/>
        <v>0.83767635494564796</v>
      </c>
      <c r="T78" s="159">
        <f t="shared" si="119"/>
        <v>0.81492932862190814</v>
      </c>
      <c r="U78" s="159">
        <f t="shared" si="119"/>
        <v>0.79939917639910885</v>
      </c>
      <c r="V78" s="159">
        <f t="shared" si="119"/>
        <v>0.78166529460190526</v>
      </c>
      <c r="W78" s="440">
        <f t="shared" si="119"/>
        <v>0.80635214307739744</v>
      </c>
      <c r="X78" s="159">
        <f t="shared" si="119"/>
        <v>0.79015845120326544</v>
      </c>
      <c r="Y78" s="159">
        <f t="shared" si="119"/>
        <v>0.77973004123658529</v>
      </c>
      <c r="Z78" s="159">
        <f t="shared" si="119"/>
        <v>0.78892970407720919</v>
      </c>
      <c r="AA78" s="159">
        <f t="shared" si="119"/>
        <v>0.80011900039666795</v>
      </c>
      <c r="AB78" s="440">
        <f t="shared" si="119"/>
        <v>0.79040285695641599</v>
      </c>
      <c r="AC78" s="159">
        <f t="shared" si="119"/>
        <v>0.80510943718021599</v>
      </c>
      <c r="AD78" s="159">
        <f t="shared" si="119"/>
        <v>0.79927856091888561</v>
      </c>
      <c r="AE78" s="159">
        <f t="shared" si="119"/>
        <v>0.79568486433474994</v>
      </c>
      <c r="AF78" s="159">
        <f t="shared" si="119"/>
        <v>0.79618168608562279</v>
      </c>
      <c r="AG78" s="440">
        <f t="shared" si="119"/>
        <v>0.79872778311804193</v>
      </c>
      <c r="AH78" s="159">
        <f t="shared" si="119"/>
        <v>0.77915490468349557</v>
      </c>
      <c r="AI78" s="424">
        <f t="shared" si="119"/>
        <v>0.7797549833887043</v>
      </c>
      <c r="AJ78" s="424">
        <f t="shared" si="119"/>
        <v>0.757399577167019</v>
      </c>
      <c r="AK78" s="424">
        <f t="shared" si="119"/>
        <v>0.75026127626990613</v>
      </c>
      <c r="AL78" s="648">
        <f t="shared" si="119"/>
        <v>0.76569540963891036</v>
      </c>
      <c r="AM78" s="424">
        <f t="shared" si="119"/>
        <v>0.74502176439305901</v>
      </c>
      <c r="AN78" s="424">
        <f t="shared" si="119"/>
        <v>0.73905661902751452</v>
      </c>
      <c r="AO78" s="424">
        <f t="shared" si="119"/>
        <v>0.75239062267845991</v>
      </c>
      <c r="AP78" s="424">
        <f t="shared" si="119"/>
        <v>0.73466424136918607</v>
      </c>
      <c r="AQ78" s="440">
        <f t="shared" si="119"/>
        <v>0.74260112469292694</v>
      </c>
      <c r="AR78" s="424">
        <f>(AR39-AR57)/AR39</f>
        <v>0.75082704244254317</v>
      </c>
      <c r="AS78" s="424">
        <f>(AS39-AS57)/AS39</f>
        <v>0.75483591206747025</v>
      </c>
      <c r="AT78" s="424">
        <f>(AT39-AT57)/AT39</f>
        <v>0.76262492792619641</v>
      </c>
      <c r="AU78" s="424">
        <f>(AU39-AU57)/AU39</f>
        <v>0.76580177220461332</v>
      </c>
      <c r="AV78" s="440">
        <f>(AV30-AV57)/AV30</f>
        <v>0.74732690752668318</v>
      </c>
      <c r="AW78" s="424">
        <f>(AW39-AW57)/AW39</f>
        <v>0.76008793131229424</v>
      </c>
      <c r="AX78" s="424">
        <f>(AX39-AX57)/AX39</f>
        <v>0.75764580271985293</v>
      </c>
      <c r="AY78" s="424">
        <f>(AY39-AY57)/AY39</f>
        <v>0.76539425730476729</v>
      </c>
      <c r="AZ78" s="424">
        <f>(AZ39-AZ57)/AZ39</f>
        <v>0.76365754880170822</v>
      </c>
      <c r="BA78" s="440">
        <f>(BA39-BA57)/BA39</f>
        <v>0.7617892154213638</v>
      </c>
      <c r="BB78" s="424">
        <f t="shared" ref="BB78:BF78" si="120">(BB39-BB65)/BB39</f>
        <v>0.75563940320336387</v>
      </c>
      <c r="BC78" s="424">
        <f t="shared" si="120"/>
        <v>0.75861586368566525</v>
      </c>
      <c r="BD78" s="424">
        <f t="shared" si="120"/>
        <v>0.75836239560685437</v>
      </c>
      <c r="BE78" s="424">
        <f t="shared" si="120"/>
        <v>0.74830367182350432</v>
      </c>
      <c r="BF78" s="440">
        <f t="shared" si="120"/>
        <v>0.75519652468890086</v>
      </c>
      <c r="BG78" s="424">
        <f>(BG39-BG65)/BG39</f>
        <v>0.76358153333169887</v>
      </c>
      <c r="BH78" s="424">
        <f>(BH39-BH65)/BH39</f>
        <v>0.75608009726233438</v>
      </c>
      <c r="BI78" s="424">
        <f>(BI39-BI65)/BI39</f>
        <v>0.75299077784016821</v>
      </c>
      <c r="BJ78" s="424">
        <f>(BJ39-BJ65)/BJ39</f>
        <v>0.74142110572946296</v>
      </c>
      <c r="BK78" s="440">
        <f>(BK39-BK65)/BK39</f>
        <v>0.7534514179171804</v>
      </c>
      <c r="BL78" s="361">
        <v>0.755</v>
      </c>
      <c r="BM78" s="361">
        <v>0.753</v>
      </c>
      <c r="BN78" s="361">
        <v>0.75</v>
      </c>
      <c r="BO78" s="361">
        <v>0.745</v>
      </c>
      <c r="BP78" s="440">
        <f>(BP39-BP65)/BP39</f>
        <v>0.75073751858266391</v>
      </c>
      <c r="BQ78" s="361">
        <v>0.75</v>
      </c>
      <c r="BR78" s="361">
        <v>0.75</v>
      </c>
      <c r="BS78" s="361">
        <v>0.748</v>
      </c>
      <c r="BT78" s="361">
        <v>0.745</v>
      </c>
      <c r="BU78" s="440">
        <f>(BU39-BU65)/BU39</f>
        <v>0.74824374071196298</v>
      </c>
    </row>
    <row r="79" spans="2:73" ht="12.75" hidden="1" outlineLevel="2">
      <c r="B79" s="186" t="s">
        <v>156</v>
      </c>
      <c r="C79" s="280"/>
      <c r="D79" s="159">
        <f t="shared" ref="D79:AI79" si="121">(D34-D61)/D34</f>
        <v>0.76164053075995175</v>
      </c>
      <c r="E79" s="159">
        <f t="shared" si="121"/>
        <v>0.74251229324988821</v>
      </c>
      <c r="F79" s="159">
        <f t="shared" si="121"/>
        <v>0.77689084015166632</v>
      </c>
      <c r="G79" s="159">
        <f t="shared" si="121"/>
        <v>0.77033048644634239</v>
      </c>
      <c r="H79" s="440">
        <f t="shared" si="121"/>
        <v>0.76362010938157343</v>
      </c>
      <c r="I79" s="159">
        <f t="shared" si="121"/>
        <v>0.79203310915675118</v>
      </c>
      <c r="J79" s="159">
        <f t="shared" si="121"/>
        <v>0.77498800575723648</v>
      </c>
      <c r="K79" s="159">
        <f t="shared" si="121"/>
        <v>0.78506141102542126</v>
      </c>
      <c r="L79" s="159">
        <f t="shared" si="121"/>
        <v>0.76111606574085866</v>
      </c>
      <c r="M79" s="440">
        <f t="shared" si="121"/>
        <v>0.77723673939709326</v>
      </c>
      <c r="N79" s="159">
        <f t="shared" si="121"/>
        <v>0.80646700871017774</v>
      </c>
      <c r="O79" s="159">
        <f t="shared" si="121"/>
        <v>0.80383842892211554</v>
      </c>
      <c r="P79" s="159">
        <f t="shared" si="121"/>
        <v>0.81421497833711576</v>
      </c>
      <c r="Q79" s="159">
        <f t="shared" si="121"/>
        <v>0.82008489291915876</v>
      </c>
      <c r="R79" s="440">
        <f t="shared" si="121"/>
        <v>0.81161938881907869</v>
      </c>
      <c r="S79" s="159">
        <f t="shared" si="121"/>
        <v>0.83169783373449357</v>
      </c>
      <c r="T79" s="159">
        <f t="shared" si="121"/>
        <v>0.84397600987828536</v>
      </c>
      <c r="U79" s="159">
        <f t="shared" si="121"/>
        <v>0.85687317659172813</v>
      </c>
      <c r="V79" s="159">
        <f t="shared" si="121"/>
        <v>0.8405483405483406</v>
      </c>
      <c r="W79" s="440">
        <f t="shared" si="121"/>
        <v>0.84343390680383845</v>
      </c>
      <c r="X79" s="159">
        <f t="shared" si="121"/>
        <v>0.83065191109457825</v>
      </c>
      <c r="Y79" s="159">
        <f t="shared" si="121"/>
        <v>0.8164938737040528</v>
      </c>
      <c r="Z79" s="159">
        <f t="shared" si="121"/>
        <v>0.82777463727152822</v>
      </c>
      <c r="AA79" s="159">
        <f t="shared" si="121"/>
        <v>0.81953933242240873</v>
      </c>
      <c r="AB79" s="440">
        <f t="shared" si="121"/>
        <v>0.82367430073656533</v>
      </c>
      <c r="AC79" s="159">
        <f t="shared" si="121"/>
        <v>0.81542324997384119</v>
      </c>
      <c r="AD79" s="159">
        <f t="shared" si="121"/>
        <v>0.79566794707639776</v>
      </c>
      <c r="AE79" s="159">
        <f t="shared" si="121"/>
        <v>0.7923294835476139</v>
      </c>
      <c r="AF79" s="159">
        <f t="shared" si="121"/>
        <v>0.73543997232153158</v>
      </c>
      <c r="AG79" s="440">
        <f t="shared" si="121"/>
        <v>0.78576866605035622</v>
      </c>
      <c r="AH79" s="159">
        <f t="shared" si="121"/>
        <v>0.81438599524136646</v>
      </c>
      <c r="AI79" s="424">
        <f t="shared" si="121"/>
        <v>0.79500000000000004</v>
      </c>
      <c r="AJ79" s="424"/>
      <c r="AK79" s="424"/>
      <c r="AL79" s="648">
        <f>(AL34-AL61)/AL34</f>
        <v>0.89815267092712447</v>
      </c>
      <c r="AM79" s="424"/>
      <c r="AN79" s="687"/>
      <c r="AO79" s="687"/>
      <c r="AP79" s="687"/>
      <c r="AQ79" s="440"/>
      <c r="AR79" s="687"/>
      <c r="AS79" s="687"/>
      <c r="AT79" s="687"/>
      <c r="AU79" s="687"/>
      <c r="AV79" s="440"/>
      <c r="AW79" s="687"/>
      <c r="AX79" s="687"/>
      <c r="AY79" s="687"/>
      <c r="AZ79" s="361"/>
      <c r="BA79" s="440"/>
      <c r="BB79" s="361"/>
      <c r="BC79" s="361"/>
      <c r="BD79" s="361"/>
      <c r="BE79" s="361"/>
      <c r="BF79" s="440"/>
      <c r="BG79" s="361"/>
      <c r="BH79" s="361"/>
      <c r="BI79" s="361"/>
      <c r="BJ79" s="361"/>
      <c r="BK79" s="440"/>
      <c r="BL79" s="361"/>
      <c r="BM79" s="361"/>
      <c r="BN79" s="361"/>
      <c r="BO79" s="361"/>
      <c r="BP79" s="440"/>
      <c r="BQ79" s="361"/>
      <c r="BR79" s="361"/>
      <c r="BS79" s="361"/>
      <c r="BT79" s="361"/>
      <c r="BU79" s="440"/>
    </row>
    <row r="80" spans="2:73" ht="12.75" hidden="1" outlineLevel="1">
      <c r="B80" s="186" t="s">
        <v>157</v>
      </c>
      <c r="C80" s="280"/>
      <c r="D80" s="159">
        <f t="shared" ref="D80:AI80" si="122">(D47-D69)/D47</f>
        <v>0.17459514170040485</v>
      </c>
      <c r="E80" s="159">
        <f t="shared" si="122"/>
        <v>0.14918512327622233</v>
      </c>
      <c r="F80" s="159">
        <f t="shared" si="122"/>
        <v>0.15813148788927336</v>
      </c>
      <c r="G80" s="159">
        <f t="shared" si="122"/>
        <v>7.1328671328671323E-2</v>
      </c>
      <c r="H80" s="440">
        <f t="shared" si="122"/>
        <v>0.13051504522798596</v>
      </c>
      <c r="I80" s="159">
        <f t="shared" si="122"/>
        <v>0.10540344075599709</v>
      </c>
      <c r="J80" s="159">
        <f t="shared" si="122"/>
        <v>0.1976316864026133</v>
      </c>
      <c r="K80" s="159">
        <f t="shared" si="122"/>
        <v>0.21597633136094674</v>
      </c>
      <c r="L80" s="159">
        <f t="shared" si="122"/>
        <v>0.26923705276915538</v>
      </c>
      <c r="M80" s="440">
        <f t="shared" si="122"/>
        <v>0.20508508112386228</v>
      </c>
      <c r="N80" s="159">
        <f t="shared" si="122"/>
        <v>0.30255183413078152</v>
      </c>
      <c r="O80" s="159">
        <f t="shared" si="122"/>
        <v>0.3032116788321168</v>
      </c>
      <c r="P80" s="159">
        <f t="shared" si="122"/>
        <v>0.37534828180973862</v>
      </c>
      <c r="Q80" s="159">
        <f t="shared" si="122"/>
        <v>0.39927805073698985</v>
      </c>
      <c r="R80" s="440">
        <f t="shared" si="122"/>
        <v>0.35210577864838394</v>
      </c>
      <c r="S80" s="159">
        <f t="shared" si="122"/>
        <v>0.34195976943888956</v>
      </c>
      <c r="T80" s="159">
        <f t="shared" si="122"/>
        <v>0.38066465256797583</v>
      </c>
      <c r="U80" s="159">
        <f t="shared" si="122"/>
        <v>0.39422140460989069</v>
      </c>
      <c r="V80" s="159">
        <f t="shared" si="122"/>
        <v>0.41244997776789682</v>
      </c>
      <c r="W80" s="440">
        <f t="shared" si="122"/>
        <v>0.38471680202510283</v>
      </c>
      <c r="X80" s="159">
        <f t="shared" si="122"/>
        <v>0.28232936461157609</v>
      </c>
      <c r="Y80" s="159">
        <f t="shared" si="122"/>
        <v>0.37596722803823396</v>
      </c>
      <c r="Z80" s="159">
        <f t="shared" si="122"/>
        <v>0.32441302701338048</v>
      </c>
      <c r="AA80" s="159">
        <f t="shared" si="122"/>
        <v>0.29602665350444224</v>
      </c>
      <c r="AB80" s="440">
        <f t="shared" si="122"/>
        <v>0.32038922425443733</v>
      </c>
      <c r="AC80" s="159">
        <f t="shared" si="122"/>
        <v>0.27683923705722069</v>
      </c>
      <c r="AD80" s="159">
        <f t="shared" si="122"/>
        <v>0.18510971786833855</v>
      </c>
      <c r="AE80" s="159">
        <f t="shared" si="122"/>
        <v>0.1564605479862255</v>
      </c>
      <c r="AF80" s="159">
        <f t="shared" si="122"/>
        <v>0.34678071899202406</v>
      </c>
      <c r="AG80" s="440">
        <f t="shared" si="122"/>
        <v>0.24984509466437177</v>
      </c>
      <c r="AH80" s="159">
        <f t="shared" si="122"/>
        <v>0.10175231924606096</v>
      </c>
      <c r="AI80" s="424">
        <f t="shared" si="122"/>
        <v>0.14501697007096576</v>
      </c>
      <c r="AJ80" s="424">
        <f t="shared" ref="AJ80:BG80" si="123">(AJ47-AJ69)/AJ47</f>
        <v>0.16666666666666666</v>
      </c>
      <c r="AK80" s="424">
        <f t="shared" si="123"/>
        <v>0.31373219373219374</v>
      </c>
      <c r="AL80" s="648">
        <f t="shared" si="123"/>
        <v>0.1914997899453858</v>
      </c>
      <c r="AM80" s="424">
        <f t="shared" si="123"/>
        <v>0.25263286798922363</v>
      </c>
      <c r="AN80" s="424">
        <f t="shared" si="123"/>
        <v>0.24017047016772064</v>
      </c>
      <c r="AO80" s="424">
        <f t="shared" si="123"/>
        <v>0.26335048599199545</v>
      </c>
      <c r="AP80" s="424">
        <f t="shared" si="123"/>
        <v>0.23207401696222052</v>
      </c>
      <c r="AQ80" s="440">
        <f t="shared" si="123"/>
        <v>0.24654957900523711</v>
      </c>
      <c r="AR80" s="424">
        <f t="shared" si="123"/>
        <v>0.13602105515013757</v>
      </c>
      <c r="AS80" s="424">
        <f t="shared" si="123"/>
        <v>8.2563302532101285E-2</v>
      </c>
      <c r="AT80" s="424">
        <f t="shared" si="123"/>
        <v>0.22817995468766858</v>
      </c>
      <c r="AU80" s="424">
        <f t="shared" si="123"/>
        <v>0.36903426253560023</v>
      </c>
      <c r="AV80" s="440">
        <f t="shared" si="123"/>
        <v>0.21881325237029936</v>
      </c>
      <c r="AW80" s="424">
        <f t="shared" si="123"/>
        <v>0.24516060412678153</v>
      </c>
      <c r="AX80" s="424">
        <f t="shared" si="123"/>
        <v>0.27749111340442612</v>
      </c>
      <c r="AY80" s="424">
        <f t="shared" si="123"/>
        <v>0.3328872532619605</v>
      </c>
      <c r="AZ80" s="424">
        <f t="shared" si="123"/>
        <v>0.33400325389989471</v>
      </c>
      <c r="BA80" s="440">
        <f t="shared" si="123"/>
        <v>0.29835637603558968</v>
      </c>
      <c r="BB80" s="424">
        <f t="shared" si="123"/>
        <v>0.28058169375534647</v>
      </c>
      <c r="BC80" s="424">
        <f t="shared" si="123"/>
        <v>0.31638061585058053</v>
      </c>
      <c r="BD80" s="424">
        <f t="shared" si="123"/>
        <v>0.34587793841739323</v>
      </c>
      <c r="BE80" s="424">
        <f t="shared" si="123"/>
        <v>0.35296486459277154</v>
      </c>
      <c r="BF80" s="440">
        <f t="shared" si="123"/>
        <v>0.3260021082020455</v>
      </c>
      <c r="BG80" s="424">
        <f t="shared" si="123"/>
        <v>0.27524533080088637</v>
      </c>
      <c r="BH80" s="424">
        <f t="shared" ref="BH80:BJ80" si="124">(BH47-BH69)/BH47</f>
        <v>0.13106955380577429</v>
      </c>
      <c r="BI80" s="424">
        <f t="shared" si="124"/>
        <v>0.20719221909393395</v>
      </c>
      <c r="BJ80" s="424">
        <f t="shared" si="124"/>
        <v>0.1902681713384298</v>
      </c>
      <c r="BK80" s="440">
        <f>(BK47-BK69)/BK47</f>
        <v>0.20109592890512487</v>
      </c>
      <c r="BL80" s="361">
        <v>0.19</v>
      </c>
      <c r="BM80" s="361">
        <v>0.19</v>
      </c>
      <c r="BN80" s="361">
        <v>0.19</v>
      </c>
      <c r="BO80" s="361">
        <v>0.19</v>
      </c>
      <c r="BP80" s="440">
        <f>(BP47-BP69)/BP47</f>
        <v>0.18999999999999986</v>
      </c>
      <c r="BQ80" s="361">
        <v>0.19</v>
      </c>
      <c r="BR80" s="361">
        <v>0.19</v>
      </c>
      <c r="BS80" s="361">
        <v>0.19</v>
      </c>
      <c r="BT80" s="361">
        <v>0.19</v>
      </c>
      <c r="BU80" s="440">
        <f>(BU47-BU69)/BU47</f>
        <v>0.18999999999999986</v>
      </c>
    </row>
    <row r="81" spans="2:73" ht="4.5" hidden="1" customHeight="1" outlineLevel="1">
      <c r="B81" s="270"/>
      <c r="C81" s="297"/>
      <c r="D81" s="200" t="s">
        <v>1</v>
      </c>
      <c r="E81" s="200" t="s">
        <v>1</v>
      </c>
      <c r="F81" s="200" t="s">
        <v>1</v>
      </c>
      <c r="G81" s="200" t="s">
        <v>1</v>
      </c>
      <c r="H81" s="443" t="s">
        <v>1</v>
      </c>
      <c r="I81" s="200" t="s">
        <v>1</v>
      </c>
      <c r="J81" s="200" t="s">
        <v>1</v>
      </c>
      <c r="K81" s="200" t="s">
        <v>1</v>
      </c>
      <c r="L81" s="200" t="s">
        <v>1</v>
      </c>
      <c r="M81" s="443" t="s">
        <v>1</v>
      </c>
      <c r="N81" s="200" t="s">
        <v>1</v>
      </c>
      <c r="O81" s="200" t="s">
        <v>1</v>
      </c>
      <c r="P81" s="200" t="s">
        <v>1</v>
      </c>
      <c r="Q81" s="200" t="s">
        <v>1</v>
      </c>
      <c r="R81" s="443" t="s">
        <v>1</v>
      </c>
      <c r="S81" s="200" t="s">
        <v>1</v>
      </c>
      <c r="T81" s="200" t="s">
        <v>1</v>
      </c>
      <c r="U81" s="200" t="s">
        <v>1</v>
      </c>
      <c r="V81" s="200" t="s">
        <v>1</v>
      </c>
      <c r="W81" s="443" t="s">
        <v>1</v>
      </c>
      <c r="X81" s="200" t="s">
        <v>1</v>
      </c>
      <c r="Y81" s="200" t="s">
        <v>1</v>
      </c>
      <c r="Z81" s="200" t="s">
        <v>1</v>
      </c>
      <c r="AA81" s="200" t="s">
        <v>1</v>
      </c>
      <c r="AB81" s="443" t="s">
        <v>1</v>
      </c>
      <c r="AC81" s="200" t="s">
        <v>1</v>
      </c>
      <c r="AD81" s="200" t="s">
        <v>1</v>
      </c>
      <c r="AE81" s="200" t="s">
        <v>1</v>
      </c>
      <c r="AF81" s="200" t="s">
        <v>1</v>
      </c>
      <c r="AG81" s="443" t="s">
        <v>1</v>
      </c>
      <c r="AH81" s="200" t="s">
        <v>1</v>
      </c>
      <c r="AI81" s="615" t="s">
        <v>1</v>
      </c>
      <c r="AJ81" s="615" t="s">
        <v>1</v>
      </c>
      <c r="AK81" s="615" t="s">
        <v>1</v>
      </c>
      <c r="AL81" s="652" t="s">
        <v>1</v>
      </c>
      <c r="AM81" s="200" t="s">
        <v>1</v>
      </c>
      <c r="AN81" s="200" t="s">
        <v>1</v>
      </c>
      <c r="AO81" s="200" t="s">
        <v>1</v>
      </c>
      <c r="AP81" s="200" t="s">
        <v>1</v>
      </c>
      <c r="AQ81" s="443" t="s">
        <v>1</v>
      </c>
      <c r="AR81" s="200" t="s">
        <v>1</v>
      </c>
      <c r="AS81" s="200" t="s">
        <v>1</v>
      </c>
      <c r="AT81" s="200" t="s">
        <v>1</v>
      </c>
      <c r="AU81" s="200" t="s">
        <v>1</v>
      </c>
      <c r="AV81" s="443" t="s">
        <v>1</v>
      </c>
      <c r="AW81" s="200" t="s">
        <v>1</v>
      </c>
      <c r="AX81" s="200" t="s">
        <v>1</v>
      </c>
      <c r="AY81" s="200" t="s">
        <v>1</v>
      </c>
      <c r="AZ81" s="200" t="s">
        <v>1</v>
      </c>
      <c r="BA81" s="443" t="s">
        <v>1</v>
      </c>
      <c r="BB81" s="200" t="s">
        <v>1</v>
      </c>
      <c r="BC81" s="200" t="s">
        <v>1</v>
      </c>
      <c r="BD81" s="200" t="s">
        <v>1</v>
      </c>
      <c r="BE81" s="200" t="s">
        <v>1</v>
      </c>
      <c r="BF81" s="443" t="s">
        <v>1</v>
      </c>
      <c r="BG81" s="200" t="s">
        <v>1</v>
      </c>
      <c r="BH81" s="200" t="s">
        <v>1</v>
      </c>
      <c r="BI81" s="200" t="s">
        <v>1</v>
      </c>
      <c r="BJ81" s="200" t="s">
        <v>1</v>
      </c>
      <c r="BK81" s="443" t="s">
        <v>1</v>
      </c>
      <c r="BL81" s="200" t="s">
        <v>1</v>
      </c>
      <c r="BM81" s="200" t="s">
        <v>1</v>
      </c>
      <c r="BN81" s="200" t="s">
        <v>1</v>
      </c>
      <c r="BO81" s="200" t="s">
        <v>1</v>
      </c>
      <c r="BP81" s="443" t="s">
        <v>1</v>
      </c>
      <c r="BQ81" s="200" t="s">
        <v>1</v>
      </c>
      <c r="BR81" s="200" t="s">
        <v>1</v>
      </c>
      <c r="BS81" s="200" t="s">
        <v>1</v>
      </c>
      <c r="BT81" s="200" t="s">
        <v>1</v>
      </c>
      <c r="BU81" s="443" t="s">
        <v>1</v>
      </c>
    </row>
    <row r="82" spans="2:73" ht="12.75" collapsed="1">
      <c r="B82" s="171" t="s">
        <v>159</v>
      </c>
      <c r="C82" s="298"/>
      <c r="D82" s="159">
        <f t="shared" ref="D82:AQ82" si="125">+D76/D52</f>
        <v>0.76947896749521993</v>
      </c>
      <c r="E82" s="159">
        <f t="shared" si="125"/>
        <v>0.77930648769574939</v>
      </c>
      <c r="F82" s="159">
        <f t="shared" si="125"/>
        <v>0.7709675832554479</v>
      </c>
      <c r="G82" s="159">
        <f t="shared" si="125"/>
        <v>0.73795304308183274</v>
      </c>
      <c r="H82" s="440">
        <f t="shared" si="125"/>
        <v>0.76316337148803326</v>
      </c>
      <c r="I82" s="159">
        <f t="shared" si="125"/>
        <v>0.73526791396207203</v>
      </c>
      <c r="J82" s="159">
        <f t="shared" si="125"/>
        <v>0.75188057386583951</v>
      </c>
      <c r="K82" s="159">
        <f t="shared" si="125"/>
        <v>0.76419892625035324</v>
      </c>
      <c r="L82" s="159">
        <f t="shared" si="125"/>
        <v>0.75085989102973849</v>
      </c>
      <c r="M82" s="440">
        <f t="shared" si="125"/>
        <v>0.75118976530409132</v>
      </c>
      <c r="N82" s="159">
        <f t="shared" si="125"/>
        <v>0.76638119324060239</v>
      </c>
      <c r="O82" s="159">
        <f t="shared" si="125"/>
        <v>0.76639476226253089</v>
      </c>
      <c r="P82" s="159">
        <f t="shared" si="125"/>
        <v>0.76635514018691586</v>
      </c>
      <c r="Q82" s="159">
        <f t="shared" si="125"/>
        <v>0.75411911000577336</v>
      </c>
      <c r="R82" s="440">
        <f t="shared" si="125"/>
        <v>0.76287022745606181</v>
      </c>
      <c r="S82" s="159">
        <f t="shared" si="125"/>
        <v>0.74310973588241791</v>
      </c>
      <c r="T82" s="159">
        <f t="shared" si="125"/>
        <v>0.74006702780178324</v>
      </c>
      <c r="U82" s="159">
        <f t="shared" si="125"/>
        <v>0.73854436768868392</v>
      </c>
      <c r="V82" s="159">
        <f t="shared" si="125"/>
        <v>0.72247146247250182</v>
      </c>
      <c r="W82" s="440">
        <f t="shared" si="125"/>
        <v>0.73531402408679203</v>
      </c>
      <c r="X82" s="159">
        <f t="shared" si="125"/>
        <v>0.71912317710721818</v>
      </c>
      <c r="Y82" s="159">
        <f t="shared" si="125"/>
        <v>0.725689156585274</v>
      </c>
      <c r="Z82" s="159">
        <f t="shared" si="125"/>
        <v>0.73653491541730132</v>
      </c>
      <c r="AA82" s="159">
        <f t="shared" si="125"/>
        <v>0.74360913188890509</v>
      </c>
      <c r="AB82" s="440">
        <f t="shared" si="125"/>
        <v>0.73204255789848871</v>
      </c>
      <c r="AC82" s="159">
        <f t="shared" si="125"/>
        <v>0.75347407255585164</v>
      </c>
      <c r="AD82" s="159">
        <f t="shared" si="125"/>
        <v>0.74922428095593918</v>
      </c>
      <c r="AE82" s="159">
        <f t="shared" si="125"/>
        <v>0.74397210029463046</v>
      </c>
      <c r="AF82" s="159">
        <f t="shared" si="125"/>
        <v>0.74801414106145248</v>
      </c>
      <c r="AG82" s="440">
        <f t="shared" si="125"/>
        <v>0.7485005214912509</v>
      </c>
      <c r="AH82" s="159">
        <f t="shared" si="125"/>
        <v>0.73367606529573881</v>
      </c>
      <c r="AI82" s="424">
        <f t="shared" si="125"/>
        <v>0.73941483338725333</v>
      </c>
      <c r="AJ82" s="424">
        <f t="shared" si="125"/>
        <v>0.73864382583868671</v>
      </c>
      <c r="AK82" s="424">
        <f t="shared" si="125"/>
        <v>0.73349888210394221</v>
      </c>
      <c r="AL82" s="648">
        <f t="shared" si="125"/>
        <v>0.73627535323194471</v>
      </c>
      <c r="AM82" s="159">
        <f t="shared" si="125"/>
        <v>0.72759704046793983</v>
      </c>
      <c r="AN82" s="159">
        <f t="shared" si="125"/>
        <v>0.72650113509622605</v>
      </c>
      <c r="AO82" s="159">
        <f t="shared" si="125"/>
        <v>0.73511372896621729</v>
      </c>
      <c r="AP82" s="159">
        <f>+AP76/AP52</f>
        <v>0.71341616217570791</v>
      </c>
      <c r="AQ82" s="440">
        <f t="shared" si="125"/>
        <v>0.72528595229023318</v>
      </c>
      <c r="AR82" s="159">
        <f t="shared" ref="AR82:BP82" si="126">+AR76/AR52</f>
        <v>0.71817338484216942</v>
      </c>
      <c r="AS82" s="159">
        <f t="shared" si="126"/>
        <v>0.72138186378430025</v>
      </c>
      <c r="AT82" s="159">
        <f t="shared" si="126"/>
        <v>0.73444087275623704</v>
      </c>
      <c r="AU82" s="159">
        <f t="shared" si="126"/>
        <v>0.74088107589481733</v>
      </c>
      <c r="AV82" s="440">
        <f t="shared" si="126"/>
        <v>0.72924594538180043</v>
      </c>
      <c r="AW82" s="159">
        <f t="shared" si="126"/>
        <v>0.73365761516372408</v>
      </c>
      <c r="AX82" s="159">
        <f t="shared" si="126"/>
        <v>0.73565554400226862</v>
      </c>
      <c r="AY82" s="159">
        <f t="shared" si="126"/>
        <v>0.74588997349667829</v>
      </c>
      <c r="AZ82" s="159">
        <f t="shared" si="126"/>
        <v>0.74178634760410778</v>
      </c>
      <c r="BA82" s="440">
        <f t="shared" si="126"/>
        <v>0.73941985863570725</v>
      </c>
      <c r="BB82" s="159">
        <f t="shared" si="126"/>
        <v>0.73668582795793291</v>
      </c>
      <c r="BC82" s="159">
        <f t="shared" si="126"/>
        <v>0.74176767263968157</v>
      </c>
      <c r="BD82" s="159">
        <f t="shared" si="126"/>
        <v>0.74095055298293999</v>
      </c>
      <c r="BE82" s="159">
        <f t="shared" si="126"/>
        <v>0.73014551860945798</v>
      </c>
      <c r="BF82" s="440">
        <f t="shared" si="126"/>
        <v>0.73734696513180575</v>
      </c>
      <c r="BG82" s="159">
        <f t="shared" si="126"/>
        <v>0.74890726886179981</v>
      </c>
      <c r="BH82" s="159">
        <f t="shared" si="126"/>
        <v>0.73829210104905385</v>
      </c>
      <c r="BI82" s="159">
        <f t="shared" ref="BI82" si="127">+BI76/BI52</f>
        <v>0.73342356395668928</v>
      </c>
      <c r="BJ82" s="159">
        <f t="shared" si="126"/>
        <v>0.72052735201575069</v>
      </c>
      <c r="BK82" s="440">
        <f t="shared" si="126"/>
        <v>0.73516214349018483</v>
      </c>
      <c r="BL82" s="159">
        <f t="shared" si="126"/>
        <v>0.74126850134076017</v>
      </c>
      <c r="BM82" s="159">
        <f t="shared" si="126"/>
        <v>0.73953028074253968</v>
      </c>
      <c r="BN82" s="159">
        <f t="shared" si="126"/>
        <v>0.73293363063147476</v>
      </c>
      <c r="BO82" s="159">
        <f t="shared" si="126"/>
        <v>0.72728580511924901</v>
      </c>
      <c r="BP82" s="440">
        <f t="shared" si="126"/>
        <v>0.73521752076951563</v>
      </c>
      <c r="BQ82" s="159">
        <f t="shared" ref="BQ82:BU82" si="128">+BQ76/BQ52</f>
        <v>0.73795675874650013</v>
      </c>
      <c r="BR82" s="159">
        <f t="shared" si="128"/>
        <v>0.73814491577942565</v>
      </c>
      <c r="BS82" s="159">
        <f t="shared" si="128"/>
        <v>0.73294122807327389</v>
      </c>
      <c r="BT82" s="159">
        <f t="shared" si="128"/>
        <v>0.72931091559304473</v>
      </c>
      <c r="BU82" s="440">
        <f t="shared" si="128"/>
        <v>0.73456598937380757</v>
      </c>
    </row>
    <row r="83" spans="2:73" ht="3.75" customHeight="1">
      <c r="B83" s="270"/>
      <c r="C83" s="270"/>
      <c r="D83" s="274"/>
      <c r="E83" s="274"/>
      <c r="F83" s="274"/>
      <c r="G83" s="274"/>
      <c r="H83" s="448"/>
      <c r="I83" s="274"/>
      <c r="J83" s="274"/>
      <c r="K83" s="274"/>
      <c r="L83" s="274"/>
      <c r="M83" s="448"/>
      <c r="N83" s="274"/>
      <c r="O83" s="274"/>
      <c r="P83" s="274"/>
      <c r="Q83" s="274"/>
      <c r="R83" s="448"/>
      <c r="S83" s="274"/>
      <c r="T83" s="274"/>
      <c r="U83" s="274"/>
      <c r="V83" s="274"/>
      <c r="W83" s="448"/>
      <c r="X83" s="274"/>
      <c r="Y83" s="274"/>
      <c r="Z83" s="274"/>
      <c r="AA83" s="274"/>
      <c r="AB83" s="448"/>
      <c r="AC83" s="274"/>
      <c r="AD83" s="274"/>
      <c r="AE83" s="274"/>
      <c r="AF83" s="274"/>
      <c r="AG83" s="448"/>
      <c r="AH83" s="274"/>
      <c r="AI83" s="567"/>
      <c r="AJ83" s="567"/>
      <c r="AK83" s="567"/>
      <c r="AL83" s="661"/>
      <c r="AM83" s="274"/>
      <c r="AN83" s="274"/>
      <c r="AO83" s="274"/>
      <c r="AP83" s="274"/>
      <c r="AQ83" s="448"/>
      <c r="AR83" s="274"/>
      <c r="AS83" s="274"/>
      <c r="AT83" s="274"/>
      <c r="AU83" s="274"/>
      <c r="AV83" s="448"/>
      <c r="AW83" s="274"/>
      <c r="AX83" s="274"/>
      <c r="AY83" s="274"/>
      <c r="AZ83" s="274"/>
      <c r="BA83" s="448"/>
      <c r="BB83" s="274"/>
      <c r="BC83" s="274"/>
      <c r="BD83" s="274"/>
      <c r="BE83" s="274"/>
      <c r="BF83" s="448"/>
      <c r="BG83" s="274"/>
      <c r="BH83" s="274"/>
      <c r="BI83" s="274"/>
      <c r="BJ83" s="274"/>
      <c r="BK83" s="448"/>
      <c r="BL83" s="274"/>
      <c r="BM83" s="274"/>
      <c r="BN83" s="274"/>
      <c r="BO83" s="274"/>
      <c r="BP83" s="448"/>
      <c r="BQ83" s="274"/>
      <c r="BR83" s="274"/>
      <c r="BS83" s="274"/>
      <c r="BT83" s="274"/>
      <c r="BU83" s="448"/>
    </row>
    <row r="84" spans="2:73" ht="13.15">
      <c r="B84" s="269" t="s">
        <v>5</v>
      </c>
      <c r="C84" s="269"/>
      <c r="D84" s="275"/>
      <c r="E84" s="275"/>
      <c r="F84" s="275"/>
      <c r="G84" s="275"/>
      <c r="H84" s="449"/>
      <c r="I84" s="275"/>
      <c r="J84" s="275"/>
      <c r="K84" s="275"/>
      <c r="L84" s="275"/>
      <c r="M84" s="449"/>
      <c r="N84" s="275"/>
      <c r="O84" s="275"/>
      <c r="P84" s="194"/>
      <c r="Q84" s="275"/>
      <c r="R84" s="449"/>
      <c r="S84" s="275"/>
      <c r="T84" s="275"/>
      <c r="U84" s="275"/>
      <c r="V84" s="275"/>
      <c r="W84" s="449"/>
      <c r="X84" s="275"/>
      <c r="Y84" s="275"/>
      <c r="Z84" s="275"/>
      <c r="AA84" s="275"/>
      <c r="AB84" s="449"/>
      <c r="AC84" s="363"/>
      <c r="AD84" s="207"/>
      <c r="AE84" s="207"/>
      <c r="AF84" s="207"/>
      <c r="AG84" s="465"/>
      <c r="AH84" s="363"/>
      <c r="AI84" s="662"/>
      <c r="AJ84" s="662"/>
      <c r="AK84" s="662"/>
      <c r="AL84" s="655"/>
      <c r="AM84" s="363"/>
      <c r="AN84" s="207"/>
      <c r="AO84" s="207"/>
      <c r="AP84" s="207"/>
      <c r="AQ84" s="465"/>
      <c r="AR84" s="363"/>
      <c r="AS84" s="207"/>
      <c r="AT84" s="207"/>
      <c r="AU84" s="207"/>
      <c r="AV84" s="465"/>
      <c r="AW84" s="363"/>
      <c r="AX84" s="207"/>
      <c r="AY84" s="207"/>
      <c r="AZ84" s="207"/>
      <c r="BA84" s="465"/>
      <c r="BB84" s="363"/>
      <c r="BC84" s="207"/>
      <c r="BD84" s="207"/>
      <c r="BE84" s="207"/>
      <c r="BF84" s="465"/>
      <c r="BG84" s="363"/>
      <c r="BH84" s="207"/>
      <c r="BI84" s="207"/>
      <c r="BJ84" s="207"/>
      <c r="BK84" s="465"/>
      <c r="BL84" s="363"/>
      <c r="BM84" s="207"/>
      <c r="BN84" s="207"/>
      <c r="BO84" s="207"/>
      <c r="BP84" s="465"/>
      <c r="BQ84" s="363"/>
      <c r="BR84" s="207"/>
      <c r="BS84" s="207"/>
      <c r="BT84" s="207"/>
      <c r="BU84" s="465"/>
    </row>
    <row r="85" spans="2:73" ht="12.75">
      <c r="B85" s="272" t="s">
        <v>246</v>
      </c>
      <c r="C85" s="270"/>
      <c r="D85" s="193">
        <f>6120-375</f>
        <v>5745</v>
      </c>
      <c r="E85" s="193">
        <f>6328-122</f>
        <v>6206</v>
      </c>
      <c r="F85" s="193">
        <v>6330</v>
      </c>
      <c r="G85" s="193">
        <v>6792</v>
      </c>
      <c r="H85" s="450">
        <f>D85+E85+F85+G85</f>
        <v>25073</v>
      </c>
      <c r="I85" s="193">
        <f>6414-144</f>
        <v>6270</v>
      </c>
      <c r="J85" s="193">
        <f>8131-266</f>
        <v>7865</v>
      </c>
      <c r="K85" s="193">
        <f>9945-507-483</f>
        <v>8955</v>
      </c>
      <c r="L85" s="193">
        <f>14256-4093</f>
        <v>10163</v>
      </c>
      <c r="M85" s="450">
        <f>I85+J85+K85+L85</f>
        <v>33253</v>
      </c>
      <c r="N85" s="193">
        <f>12342-1493</f>
        <v>10849</v>
      </c>
      <c r="O85" s="193">
        <f>12932-1524</f>
        <v>11408</v>
      </c>
      <c r="P85" s="193">
        <f>11616-1600</f>
        <v>10016</v>
      </c>
      <c r="Q85" s="193">
        <f>11065-1437</f>
        <v>9628</v>
      </c>
      <c r="R85" s="450">
        <f>N85+O85+P85+Q85</f>
        <v>41901</v>
      </c>
      <c r="S85" s="193">
        <f>11393-1513</f>
        <v>9880</v>
      </c>
      <c r="T85" s="193">
        <f>11873-1689-80</f>
        <v>10104</v>
      </c>
      <c r="U85" s="193">
        <f>13570-1986</f>
        <v>11584</v>
      </c>
      <c r="V85" s="193">
        <f>14102-2017</f>
        <v>12085</v>
      </c>
      <c r="W85" s="450">
        <f>S85+T85+U85+V85</f>
        <v>43653</v>
      </c>
      <c r="X85" s="193">
        <f>16722-2566</f>
        <v>14156</v>
      </c>
      <c r="Y85" s="193">
        <f>16082-2850</f>
        <v>13232</v>
      </c>
      <c r="Z85" s="193">
        <f>17111-2984</f>
        <v>14127</v>
      </c>
      <c r="AA85" s="193">
        <f>17828-2422</f>
        <v>15406</v>
      </c>
      <c r="AB85" s="450">
        <f>X85+Y85+Z85+AA85</f>
        <v>56921</v>
      </c>
      <c r="AC85" s="193">
        <f>17865-3174</f>
        <v>14691</v>
      </c>
      <c r="AD85" s="193">
        <f>19626-4054</f>
        <v>15572</v>
      </c>
      <c r="AE85" s="193">
        <f>20154-3996</f>
        <v>16158</v>
      </c>
      <c r="AF85" s="193">
        <f>21719-4446</f>
        <v>17273</v>
      </c>
      <c r="AG85" s="450">
        <f>AC85+AD85+AE85+AF85</f>
        <v>63694</v>
      </c>
      <c r="AH85" s="193">
        <f>24202-4645</f>
        <v>19557</v>
      </c>
      <c r="AI85" s="193">
        <v>19731</v>
      </c>
      <c r="AJ85" s="193">
        <f>28509-6818</f>
        <v>21691</v>
      </c>
      <c r="AK85" s="193">
        <f>29737-6571</f>
        <v>23166</v>
      </c>
      <c r="AL85" s="450">
        <f>AH85+AI85+AJ85+AK85</f>
        <v>84145</v>
      </c>
      <c r="AM85" s="193">
        <f>33080-7815</f>
        <v>25265</v>
      </c>
      <c r="AN85" s="193">
        <f>35305-9420</f>
        <v>25885</v>
      </c>
      <c r="AO85" s="193">
        <f>43880-14549-40</f>
        <v>29291</v>
      </c>
      <c r="AP85" s="193">
        <f>48514-14838</f>
        <v>33676</v>
      </c>
      <c r="AQ85" s="450">
        <f>AM85+AN85+AO85+AP85</f>
        <v>114117</v>
      </c>
      <c r="AR85" s="193">
        <f>49812-13024-684</f>
        <v>36104</v>
      </c>
      <c r="AS85" s="193">
        <f>48907-13925</f>
        <v>34982</v>
      </c>
      <c r="AT85" s="193">
        <f>48622-13400</f>
        <v>35222</v>
      </c>
      <c r="AU85" s="193">
        <f>42629-9591</f>
        <v>33038</v>
      </c>
      <c r="AV85" s="450">
        <f>AR85+AS85+AT85+AU85</f>
        <v>139346</v>
      </c>
      <c r="AW85" s="193">
        <f>46346-10505</f>
        <v>35841</v>
      </c>
      <c r="AX85" s="193">
        <f>50762-11634</f>
        <v>39128</v>
      </c>
      <c r="AY85" s="193">
        <f>39940-8436</f>
        <v>31504</v>
      </c>
      <c r="AZ85" s="193">
        <f>39729-7447</f>
        <v>32282</v>
      </c>
      <c r="BA85" s="450">
        <f>AW85+AX85+AY85+AZ85</f>
        <v>138755</v>
      </c>
      <c r="BB85" s="193">
        <f>41368-7944</f>
        <v>33424</v>
      </c>
      <c r="BC85" s="193">
        <f>40056-8597</f>
        <v>31459</v>
      </c>
      <c r="BD85" s="193">
        <f>44565-9535</f>
        <v>35030</v>
      </c>
      <c r="BE85" s="193">
        <f>46334-10703</f>
        <v>35631</v>
      </c>
      <c r="BF85" s="450">
        <f>BB85+BC85+BD85+BE85</f>
        <v>135544</v>
      </c>
      <c r="BG85" s="193">
        <f>47888-10386</f>
        <v>37502</v>
      </c>
      <c r="BH85" s="193">
        <f>47227-10250</f>
        <v>36977</v>
      </c>
      <c r="BI85" s="193">
        <f>46914-9399</f>
        <v>37515</v>
      </c>
      <c r="BJ85" s="193">
        <f>48631-9322</f>
        <v>39309</v>
      </c>
      <c r="BK85" s="450">
        <f>BG85+BH85+BI85+BJ85</f>
        <v>151303</v>
      </c>
      <c r="BL85" s="193">
        <f>+BJ85*(1+BL88)</f>
        <v>42060.630000000005</v>
      </c>
      <c r="BM85" s="193">
        <f>+BL85*(1+BM88)</f>
        <v>39116.385900000001</v>
      </c>
      <c r="BN85" s="193">
        <f>+BM85*(1+BN88)</f>
        <v>37942.894323</v>
      </c>
      <c r="BO85" s="193">
        <f>+BN85*(1+BO88)</f>
        <v>37563.465379770001</v>
      </c>
      <c r="BP85" s="450">
        <f>BL85+BM85+BN85+BO85</f>
        <v>156683.37560277001</v>
      </c>
      <c r="BQ85" s="193">
        <f>+BO85*(1+BQ88)</f>
        <v>39817.273302556205</v>
      </c>
      <c r="BR85" s="193">
        <f>+BQ85*(1+BR88)</f>
        <v>40215.446035581765</v>
      </c>
      <c r="BS85" s="193">
        <f>+BR85*(1+BS88)</f>
        <v>40617.600495937586</v>
      </c>
      <c r="BT85" s="193">
        <f>+BS85*(1+BT88)</f>
        <v>41023.776500896965</v>
      </c>
      <c r="BU85" s="450">
        <f>BQ85+BR85+BS85+BT85</f>
        <v>161674.09633497254</v>
      </c>
    </row>
    <row r="86" spans="2:73" ht="12.75">
      <c r="B86" s="272" t="s">
        <v>244</v>
      </c>
      <c r="C86" s="299"/>
      <c r="D86" s="159">
        <f t="shared" ref="D86:AQ86" si="129">+D85/D52</f>
        <v>0.34327198852772467</v>
      </c>
      <c r="E86" s="159">
        <f t="shared" si="129"/>
        <v>0.34709172259507831</v>
      </c>
      <c r="F86" s="159">
        <f t="shared" si="129"/>
        <v>0.3113778346204929</v>
      </c>
      <c r="G86" s="159">
        <f t="shared" si="129"/>
        <v>0.30964212445862777</v>
      </c>
      <c r="H86" s="440">
        <f t="shared" si="129"/>
        <v>0.32613163371488035</v>
      </c>
      <c r="I86" s="159">
        <f t="shared" si="129"/>
        <v>0.26600483645157186</v>
      </c>
      <c r="J86" s="159">
        <f t="shared" si="129"/>
        <v>0.30496316401706086</v>
      </c>
      <c r="K86" s="159">
        <f t="shared" si="129"/>
        <v>0.31629697654704719</v>
      </c>
      <c r="L86" s="159">
        <f t="shared" si="129"/>
        <v>0.30934770036221959</v>
      </c>
      <c r="M86" s="440">
        <f t="shared" si="129"/>
        <v>0.30086133579429275</v>
      </c>
      <c r="N86" s="159">
        <f t="shared" si="129"/>
        <v>0.31178871134613173</v>
      </c>
      <c r="O86" s="159">
        <f t="shared" si="129"/>
        <v>0.30610711602447138</v>
      </c>
      <c r="P86" s="159">
        <f t="shared" si="129"/>
        <v>0.2482956939934059</v>
      </c>
      <c r="Q86" s="159">
        <f t="shared" si="129"/>
        <v>0.21379402229426656</v>
      </c>
      <c r="R86" s="440">
        <f t="shared" si="129"/>
        <v>0.26614455305931894</v>
      </c>
      <c r="S86" s="159">
        <f t="shared" si="129"/>
        <v>0.21836667035031496</v>
      </c>
      <c r="T86" s="159">
        <f t="shared" si="129"/>
        <v>0.21297135509980397</v>
      </c>
      <c r="U86" s="159">
        <f t="shared" si="129"/>
        <v>0.22929078996852795</v>
      </c>
      <c r="V86" s="159">
        <f t="shared" si="129"/>
        <v>0.20933294070776531</v>
      </c>
      <c r="W86" s="440">
        <f t="shared" si="129"/>
        <v>0.21724395341893102</v>
      </c>
      <c r="X86" s="159">
        <f t="shared" si="129"/>
        <v>0.25967165000458592</v>
      </c>
      <c r="Y86" s="159">
        <f t="shared" si="129"/>
        <v>0.22641638575657499</v>
      </c>
      <c r="Z86" s="159">
        <f t="shared" si="129"/>
        <v>0.22652128597771184</v>
      </c>
      <c r="AA86" s="159">
        <f t="shared" si="129"/>
        <v>0.22402210266104405</v>
      </c>
      <c r="AB86" s="440">
        <f t="shared" si="129"/>
        <v>0.23319581631440733</v>
      </c>
      <c r="AC86" s="159">
        <f t="shared" si="129"/>
        <v>0.20073785611805697</v>
      </c>
      <c r="AD86" s="159">
        <f t="shared" si="129"/>
        <v>0.19721627680188453</v>
      </c>
      <c r="AE86" s="159">
        <f t="shared" si="129"/>
        <v>0.19431182731044436</v>
      </c>
      <c r="AF86" s="159">
        <f t="shared" si="129"/>
        <v>0.18847110684357543</v>
      </c>
      <c r="AG86" s="440">
        <f t="shared" si="129"/>
        <v>0.1948144500484788</v>
      </c>
      <c r="AH86" s="159">
        <f t="shared" si="129"/>
        <v>0.20730337078651687</v>
      </c>
      <c r="AI86" s="159">
        <f t="shared" si="129"/>
        <v>0.19948034616628924</v>
      </c>
      <c r="AJ86" s="159">
        <f t="shared" si="129"/>
        <v>0.20643349988103735</v>
      </c>
      <c r="AK86" s="159">
        <f>+AK85/AK52</f>
        <v>0.20472079109924973</v>
      </c>
      <c r="AL86" s="440">
        <f t="shared" si="129"/>
        <v>0.20449055374909475</v>
      </c>
      <c r="AM86" s="159">
        <f>+AM85/AM52</f>
        <v>0.21511098245225668</v>
      </c>
      <c r="AN86" s="159">
        <f t="shared" si="129"/>
        <v>0.20475237500098875</v>
      </c>
      <c r="AO86" s="159">
        <f t="shared" si="129"/>
        <v>0.20937995911189902</v>
      </c>
      <c r="AP86" s="159">
        <f t="shared" si="129"/>
        <v>0.22208153629037578</v>
      </c>
      <c r="AQ86" s="440">
        <f t="shared" si="129"/>
        <v>0.21314185176053971</v>
      </c>
      <c r="AR86" s="159">
        <f t="shared" ref="AR86:BP86" si="130">+AR85/AR52</f>
        <v>0.22940070146901845</v>
      </c>
      <c r="AS86" s="159">
        <f t="shared" si="130"/>
        <v>0.20890388462572035</v>
      </c>
      <c r="AT86" s="159">
        <f t="shared" si="130"/>
        <v>0.20039256962421415</v>
      </c>
      <c r="AU86" s="159">
        <f t="shared" si="130"/>
        <v>0.17908813469283766</v>
      </c>
      <c r="AV86" s="440">
        <f t="shared" si="130"/>
        <v>0.20340017194996809</v>
      </c>
      <c r="AW86" s="159">
        <f t="shared" si="130"/>
        <v>0.19566641553932326</v>
      </c>
      <c r="AX86" s="159">
        <f t="shared" si="130"/>
        <v>0.20548045919063973</v>
      </c>
      <c r="AY86" s="159">
        <f t="shared" si="130"/>
        <v>0.1584365554734137</v>
      </c>
      <c r="AZ86" s="159">
        <f t="shared" si="130"/>
        <v>0.15726757214958006</v>
      </c>
      <c r="BA86" s="440">
        <f t="shared" si="130"/>
        <v>0.17841552152674464</v>
      </c>
      <c r="BB86" s="159">
        <f t="shared" si="130"/>
        <v>0.16296361304918064</v>
      </c>
      <c r="BC86" s="159">
        <f t="shared" si="130"/>
        <v>0.15125173685399848</v>
      </c>
      <c r="BD86" s="159">
        <f t="shared" si="130"/>
        <v>0.16319285920597798</v>
      </c>
      <c r="BE86" s="159">
        <f t="shared" si="130"/>
        <v>0.16475924924050106</v>
      </c>
      <c r="BF86" s="440">
        <f t="shared" si="130"/>
        <v>0.16059582444221435</v>
      </c>
      <c r="BG86" s="159">
        <f t="shared" si="130"/>
        <v>0.17836606374225339</v>
      </c>
      <c r="BH86" s="159">
        <f t="shared" si="130"/>
        <v>0.17263402632205535</v>
      </c>
      <c r="BI86" s="159">
        <f t="shared" ref="BI86" si="131">+BI85/BI52</f>
        <v>0.17211873738300607</v>
      </c>
      <c r="BJ86" s="159">
        <f t="shared" si="130"/>
        <v>0.18082414852705761</v>
      </c>
      <c r="BK86" s="440">
        <f t="shared" si="130"/>
        <v>0.1759758732905789</v>
      </c>
      <c r="BL86" s="159">
        <f t="shared" si="130"/>
        <v>0.20224400450594432</v>
      </c>
      <c r="BM86" s="159">
        <f t="shared" si="130"/>
        <v>0.18721906002945049</v>
      </c>
      <c r="BN86" s="159">
        <f t="shared" si="130"/>
        <v>0.18046638165395237</v>
      </c>
      <c r="BO86" s="159">
        <f t="shared" si="130"/>
        <v>0.1774190785741451</v>
      </c>
      <c r="BP86" s="440">
        <f t="shared" si="130"/>
        <v>0.18677813637209062</v>
      </c>
      <c r="BQ86" s="159">
        <f t="shared" ref="BQ86:BU86" si="132">+BQ85/BQ52</f>
        <v>0.18824123239127488</v>
      </c>
      <c r="BR86" s="159">
        <f t="shared" si="132"/>
        <v>0.18923792892559227</v>
      </c>
      <c r="BS86" s="159">
        <f t="shared" si="132"/>
        <v>0.19008150054944842</v>
      </c>
      <c r="BT86" s="159">
        <f t="shared" si="132"/>
        <v>0.19067948833364889</v>
      </c>
      <c r="BU86" s="440">
        <f t="shared" si="132"/>
        <v>0.18956574085196387</v>
      </c>
    </row>
    <row r="87" spans="2:73" s="3" customFormat="1" ht="13.35" hidden="1" customHeight="1" outlineLevel="1">
      <c r="B87" s="224" t="s">
        <v>243</v>
      </c>
      <c r="C87" s="326"/>
      <c r="H87" s="441"/>
      <c r="I87" s="360">
        <f>+I85/D85-1</f>
        <v>9.1383812010443766E-2</v>
      </c>
      <c r="J87" s="360">
        <f>+J85/E85-1</f>
        <v>0.26732194650338381</v>
      </c>
      <c r="K87" s="360">
        <f>+K85/F85-1</f>
        <v>0.41469194312796209</v>
      </c>
      <c r="L87" s="360">
        <f>+L85/G85-1</f>
        <v>0.49631919905771493</v>
      </c>
      <c r="M87" s="463">
        <f t="shared" ref="M87:AG87" si="133">+M85/H85-1</f>
        <v>0.32624735771547075</v>
      </c>
      <c r="N87" s="360">
        <f t="shared" si="133"/>
        <v>0.73030303030303023</v>
      </c>
      <c r="O87" s="360">
        <f t="shared" si="133"/>
        <v>0.45047679593134138</v>
      </c>
      <c r="P87" s="360">
        <f t="shared" si="133"/>
        <v>0.1184812953657175</v>
      </c>
      <c r="Q87" s="360">
        <f t="shared" si="133"/>
        <v>-5.2641936436091719E-2</v>
      </c>
      <c r="R87" s="463">
        <f t="shared" si="133"/>
        <v>0.26006676089375391</v>
      </c>
      <c r="S87" s="360">
        <f t="shared" si="133"/>
        <v>-8.9316987740805653E-2</v>
      </c>
      <c r="T87" s="360">
        <f t="shared" si="133"/>
        <v>-0.11430575035063117</v>
      </c>
      <c r="U87" s="360">
        <f t="shared" si="133"/>
        <v>0.15654952076677309</v>
      </c>
      <c r="V87" s="360">
        <f t="shared" si="133"/>
        <v>0.25519318653926049</v>
      </c>
      <c r="W87" s="463">
        <f t="shared" si="133"/>
        <v>4.1812844562182372E-2</v>
      </c>
      <c r="X87" s="360">
        <f t="shared" si="133"/>
        <v>0.43279352226720658</v>
      </c>
      <c r="Y87" s="360">
        <v>0</v>
      </c>
      <c r="Z87" s="360">
        <f t="shared" si="133"/>
        <v>0.21952693370165743</v>
      </c>
      <c r="AA87" s="360">
        <f t="shared" si="133"/>
        <v>0.27480347538270578</v>
      </c>
      <c r="AB87" s="463">
        <f t="shared" si="133"/>
        <v>0.30394245527226071</v>
      </c>
      <c r="AC87" s="360">
        <f t="shared" si="133"/>
        <v>3.7793161910144146E-2</v>
      </c>
      <c r="AD87" s="360">
        <f t="shared" si="133"/>
        <v>0.17684401451027809</v>
      </c>
      <c r="AE87" s="360">
        <f t="shared" si="133"/>
        <v>0.14376725419409642</v>
      </c>
      <c r="AF87" s="360">
        <f t="shared" si="133"/>
        <v>0.12118655069453466</v>
      </c>
      <c r="AG87" s="463">
        <f t="shared" si="133"/>
        <v>0.1189894766430668</v>
      </c>
      <c r="AH87" s="360">
        <f t="shared" ref="AH87:BP87" si="134">+AH85/AC85-1</f>
        <v>0.33122319787625076</v>
      </c>
      <c r="AI87" s="360">
        <f t="shared" si="134"/>
        <v>0.26708194194708446</v>
      </c>
      <c r="AJ87" s="360">
        <f t="shared" si="134"/>
        <v>0.34243099393489285</v>
      </c>
      <c r="AK87" s="360">
        <f t="shared" si="134"/>
        <v>0.34116829734267351</v>
      </c>
      <c r="AL87" s="463">
        <f t="shared" si="134"/>
        <v>0.32108204854460398</v>
      </c>
      <c r="AM87" s="360">
        <f t="shared" si="134"/>
        <v>0.2918648054405073</v>
      </c>
      <c r="AN87" s="360">
        <f t="shared" si="134"/>
        <v>0.31189498758299128</v>
      </c>
      <c r="AO87" s="360">
        <f t="shared" si="134"/>
        <v>0.35037573187036108</v>
      </c>
      <c r="AP87" s="360">
        <f t="shared" si="134"/>
        <v>0.45368212034878708</v>
      </c>
      <c r="AQ87" s="463">
        <f t="shared" si="134"/>
        <v>0.35619466397290389</v>
      </c>
      <c r="AR87" s="360">
        <f t="shared" si="134"/>
        <v>0.42901246784088665</v>
      </c>
      <c r="AS87" s="360">
        <f t="shared" si="134"/>
        <v>0.35143905736913261</v>
      </c>
      <c r="AT87" s="360">
        <f t="shared" si="134"/>
        <v>0.20248540507323076</v>
      </c>
      <c r="AU87" s="360">
        <f t="shared" si="134"/>
        <v>-1.8945242902957626E-2</v>
      </c>
      <c r="AV87" s="463">
        <f t="shared" si="134"/>
        <v>0.2210801195264509</v>
      </c>
      <c r="AW87" s="360">
        <f t="shared" si="134"/>
        <v>-7.2845114114779008E-3</v>
      </c>
      <c r="AX87" s="360">
        <f t="shared" si="134"/>
        <v>0.1185180950202962</v>
      </c>
      <c r="AY87" s="360">
        <f t="shared" si="134"/>
        <v>-0.10555902560899433</v>
      </c>
      <c r="AZ87" s="360">
        <f t="shared" si="134"/>
        <v>-2.2882741086022174E-2</v>
      </c>
      <c r="BA87" s="463">
        <f t="shared" si="134"/>
        <v>-4.2412412268740818E-3</v>
      </c>
      <c r="BB87" s="360">
        <f t="shared" si="134"/>
        <v>-6.7436734466114201E-2</v>
      </c>
      <c r="BC87" s="360">
        <f t="shared" si="134"/>
        <v>-0.19599775097117156</v>
      </c>
      <c r="BD87" s="360">
        <f t="shared" si="134"/>
        <v>0.11192229558151356</v>
      </c>
      <c r="BE87" s="360">
        <f t="shared" si="134"/>
        <v>0.10374202341862349</v>
      </c>
      <c r="BF87" s="463">
        <f t="shared" si="134"/>
        <v>-2.3141508414111223E-2</v>
      </c>
      <c r="BG87" s="360">
        <f t="shared" si="134"/>
        <v>0.12200813786500708</v>
      </c>
      <c r="BH87" s="360">
        <f t="shared" si="134"/>
        <v>0.1754029053688928</v>
      </c>
      <c r="BI87" s="360">
        <f t="shared" si="134"/>
        <v>7.0939194975734976E-2</v>
      </c>
      <c r="BJ87" s="360">
        <f t="shared" si="134"/>
        <v>0.10322472004714989</v>
      </c>
      <c r="BK87" s="463">
        <f t="shared" si="134"/>
        <v>0.11626482913297531</v>
      </c>
      <c r="BL87" s="360">
        <f t="shared" si="134"/>
        <v>0.12155698362754008</v>
      </c>
      <c r="BM87" s="360">
        <f t="shared" si="134"/>
        <v>5.7857205830651459E-2</v>
      </c>
      <c r="BN87" s="360">
        <f t="shared" si="134"/>
        <v>1.1405952898840388E-2</v>
      </c>
      <c r="BO87" s="360">
        <f t="shared" si="134"/>
        <v>-4.4405469999999947E-2</v>
      </c>
      <c r="BP87" s="463">
        <f t="shared" si="134"/>
        <v>3.5560270468992794E-2</v>
      </c>
      <c r="BQ87" s="360">
        <f t="shared" ref="BQ87" si="135">+BQ85/BL85-1</f>
        <v>-5.3336260000000024E-2</v>
      </c>
      <c r="BR87" s="360">
        <f t="shared" ref="BR87" si="136">+BR85/BM85-1</f>
        <v>2.8097180000000055E-2</v>
      </c>
      <c r="BS87" s="360">
        <f t="shared" ref="BS87" si="137">+BS85/BN85-1</f>
        <v>7.0492940000000059E-2</v>
      </c>
      <c r="BT87" s="360">
        <f t="shared" ref="BT87" si="138">+BT85/BO85-1</f>
        <v>9.2119060000000141E-2</v>
      </c>
      <c r="BU87" s="463">
        <f t="shared" ref="BU87" si="139">+BU85/BP85-1</f>
        <v>3.1852267115148214E-2</v>
      </c>
    </row>
    <row r="88" spans="2:73" s="3" customFormat="1" ht="13.35" hidden="1" customHeight="1" outlineLevel="1">
      <c r="B88" s="224" t="s">
        <v>245</v>
      </c>
      <c r="C88" s="326"/>
      <c r="D88" s="357"/>
      <c r="E88" s="358">
        <f>+E85/D85-1</f>
        <v>8.0243690165361148E-2</v>
      </c>
      <c r="F88" s="358">
        <f>+F85/E85-1</f>
        <v>1.998066387367059E-2</v>
      </c>
      <c r="G88" s="358">
        <f>+G85/F85-1</f>
        <v>7.2985781990521303E-2</v>
      </c>
      <c r="H88" s="442"/>
      <c r="I88" s="358">
        <f>+I85/G85-1</f>
        <v>-7.6855123674911652E-2</v>
      </c>
      <c r="J88" s="358">
        <f>+J85/I85-1</f>
        <v>0.2543859649122806</v>
      </c>
      <c r="K88" s="358">
        <f>+K85/J85-1</f>
        <v>0.13858868404322955</v>
      </c>
      <c r="L88" s="358">
        <f>+L85/K85-1</f>
        <v>0.13489670575097712</v>
      </c>
      <c r="M88" s="442"/>
      <c r="N88" s="358">
        <f>+N85/L85-1</f>
        <v>6.749975400964292E-2</v>
      </c>
      <c r="O88" s="358">
        <f>+O85/N85-1</f>
        <v>5.152548621992814E-2</v>
      </c>
      <c r="P88" s="358">
        <f>+P85/O85-1</f>
        <v>-0.12201963534361848</v>
      </c>
      <c r="Q88" s="358">
        <f>+Q85/P85-1</f>
        <v>-3.8738019169329063E-2</v>
      </c>
      <c r="R88" s="442"/>
      <c r="S88" s="358">
        <f>+S85/Q85-1</f>
        <v>2.6173660157872813E-2</v>
      </c>
      <c r="T88" s="358">
        <f>+T85/S85-1</f>
        <v>2.2672064777327972E-2</v>
      </c>
      <c r="U88" s="358">
        <f>+U85/T85-1</f>
        <v>0.14647664291369744</v>
      </c>
      <c r="V88" s="358">
        <f>+V85/U85-1</f>
        <v>4.3249309392265234E-2</v>
      </c>
      <c r="W88" s="442"/>
      <c r="X88" s="358">
        <f>+X85/V85-1</f>
        <v>0.17136946628051297</v>
      </c>
      <c r="Y88" s="358">
        <f>+Y85/X85-1</f>
        <v>-6.5272675897146137E-2</v>
      </c>
      <c r="Z88" s="358">
        <f>+Z85/Y85-1</f>
        <v>6.7639056831922506E-2</v>
      </c>
      <c r="AA88" s="358">
        <f>+AA85/Z85-1</f>
        <v>9.0535853330501848E-2</v>
      </c>
      <c r="AB88" s="442"/>
      <c r="AC88" s="358">
        <f>+AC85/AA85-1</f>
        <v>-4.6410489419706602E-2</v>
      </c>
      <c r="AD88" s="358">
        <f>+AD85/AC85-1</f>
        <v>5.9968688312572294E-2</v>
      </c>
      <c r="AE88" s="358">
        <f>+AE85/AD85-1</f>
        <v>3.7631646545080999E-2</v>
      </c>
      <c r="AF88" s="358">
        <f>+AF85/AE85-1</f>
        <v>6.9006065107067638E-2</v>
      </c>
      <c r="AG88" s="441"/>
      <c r="AH88" s="358">
        <f>+AH85/AF85-1</f>
        <v>0.13222949111329818</v>
      </c>
      <c r="AI88" s="358">
        <f>+AI85/AH85-1</f>
        <v>8.8970701027764054E-3</v>
      </c>
      <c r="AJ88" s="358">
        <f>+AJ85/AI85-1</f>
        <v>9.9336070143429156E-2</v>
      </c>
      <c r="AK88" s="358">
        <f>+AK85/AJ85-1</f>
        <v>6.8000553224839777E-2</v>
      </c>
      <c r="AL88" s="441"/>
      <c r="AM88" s="358">
        <f>+AM85/AK85-1</f>
        <v>9.0606923940257378E-2</v>
      </c>
      <c r="AN88" s="358">
        <f>+AN85/AM85-1</f>
        <v>2.4539877300613577E-2</v>
      </c>
      <c r="AO88" s="358">
        <f>+AO85/AN85-1</f>
        <v>0.13158199729573106</v>
      </c>
      <c r="AP88" s="358">
        <f>+AP85/AO85-1</f>
        <v>0.14970468744665588</v>
      </c>
      <c r="AQ88" s="441"/>
      <c r="AR88" s="358">
        <f>+AR85/AP85-1</f>
        <v>7.2098824088371538E-2</v>
      </c>
      <c r="AS88" s="358">
        <f>+AS85/AR85-1</f>
        <v>-3.1076888987369822E-2</v>
      </c>
      <c r="AT88" s="358">
        <f>+AT85/AS85-1</f>
        <v>6.860671202332691E-3</v>
      </c>
      <c r="AU88" s="358">
        <f>+AU85/AT85-1</f>
        <v>-6.2006700357730926E-2</v>
      </c>
      <c r="AV88" s="441"/>
      <c r="AW88" s="358">
        <f>+AW85/AU85-1</f>
        <v>8.4841697439312247E-2</v>
      </c>
      <c r="AX88" s="358">
        <f>+AX85/AW85-1</f>
        <v>9.1710610753048094E-2</v>
      </c>
      <c r="AY88" s="358">
        <f>+AY85/AX85-1</f>
        <v>-0.19484767941116332</v>
      </c>
      <c r="AZ88" s="358">
        <f>+AZ85/AY85-1</f>
        <v>2.4695276790248855E-2</v>
      </c>
      <c r="BA88" s="441"/>
      <c r="BB88" s="358">
        <f>+BB85/AZ85-1</f>
        <v>3.5375751192615157E-2</v>
      </c>
      <c r="BC88" s="358">
        <f>+BC85/BB85-1</f>
        <v>-5.8790090952608898E-2</v>
      </c>
      <c r="BD88" s="358">
        <f>+BD85/BC85-1</f>
        <v>0.11351282621825232</v>
      </c>
      <c r="BE88" s="358">
        <f>+BE85/BD85-1</f>
        <v>1.7156722809020808E-2</v>
      </c>
      <c r="BF88" s="441"/>
      <c r="BG88" s="358">
        <f>+BG85/BE85-1</f>
        <v>5.2510454379613325E-2</v>
      </c>
      <c r="BH88" s="358">
        <f>+BH85/BG85-1</f>
        <v>-1.3999253373153442E-2</v>
      </c>
      <c r="BI88" s="358">
        <f>+BI85/BH85-1</f>
        <v>1.4549584877085797E-2</v>
      </c>
      <c r="BJ88" s="358">
        <f>+BJ85/BI85-1</f>
        <v>4.7820871651339525E-2</v>
      </c>
      <c r="BK88" s="441"/>
      <c r="BL88" s="362">
        <v>7.0000000000000007E-2</v>
      </c>
      <c r="BM88" s="362">
        <v>-7.0000000000000007E-2</v>
      </c>
      <c r="BN88" s="362">
        <v>-0.03</v>
      </c>
      <c r="BO88" s="362">
        <v>-0.01</v>
      </c>
      <c r="BP88" s="441"/>
      <c r="BQ88" s="362">
        <v>0.06</v>
      </c>
      <c r="BR88" s="362">
        <v>0.01</v>
      </c>
      <c r="BS88" s="362">
        <v>0.01</v>
      </c>
      <c r="BT88" s="362">
        <v>0.01</v>
      </c>
      <c r="BU88" s="441"/>
    </row>
    <row r="89" spans="2:73" ht="11.25" customHeight="1" collapsed="1">
      <c r="B89" s="272"/>
      <c r="C89" s="299"/>
      <c r="D89" s="159"/>
      <c r="E89" s="159"/>
      <c r="F89" s="159"/>
      <c r="G89" s="159"/>
      <c r="H89" s="440"/>
      <c r="I89" s="159"/>
      <c r="J89" s="159"/>
      <c r="K89" s="159"/>
      <c r="L89" s="159"/>
      <c r="M89" s="440"/>
      <c r="N89" s="159"/>
      <c r="O89" s="159"/>
      <c r="P89" s="159"/>
      <c r="Q89" s="159"/>
      <c r="R89" s="440"/>
      <c r="S89" s="159"/>
      <c r="T89" s="159"/>
      <c r="U89" s="159"/>
      <c r="V89" s="159"/>
      <c r="W89" s="440"/>
      <c r="X89" s="159"/>
      <c r="Y89" s="159"/>
      <c r="Z89" s="159"/>
      <c r="AA89" s="159"/>
      <c r="AB89" s="440"/>
      <c r="AC89" s="159"/>
      <c r="AD89" s="159"/>
      <c r="AE89" s="159"/>
      <c r="AF89" s="159"/>
      <c r="AG89" s="440"/>
      <c r="AH89" s="159"/>
      <c r="AI89" s="159"/>
      <c r="AJ89" s="159"/>
      <c r="AK89" s="159"/>
      <c r="AL89" s="440"/>
      <c r="AM89" s="159"/>
      <c r="AN89" s="159"/>
      <c r="AO89" s="159"/>
      <c r="AP89" s="159"/>
      <c r="AQ89" s="440"/>
      <c r="AR89" s="159"/>
      <c r="AS89" s="159"/>
      <c r="AT89" s="159"/>
      <c r="AU89" s="159"/>
      <c r="AV89" s="440"/>
      <c r="AW89" s="159"/>
      <c r="AX89" s="159"/>
      <c r="AY89" s="159"/>
      <c r="AZ89" s="159"/>
      <c r="BA89" s="440"/>
      <c r="BB89" s="159"/>
      <c r="BC89" s="159"/>
      <c r="BD89" s="159"/>
      <c r="BE89" s="159"/>
      <c r="BF89" s="440"/>
      <c r="BG89" s="159"/>
      <c r="BH89" s="159"/>
      <c r="BI89" s="159"/>
      <c r="BJ89" s="159"/>
      <c r="BK89" s="440"/>
      <c r="BL89" s="159"/>
      <c r="BM89" s="159"/>
      <c r="BN89" s="159"/>
      <c r="BO89" s="159"/>
      <c r="BP89" s="440"/>
      <c r="BQ89" s="159"/>
      <c r="BR89" s="159" t="s">
        <v>570</v>
      </c>
      <c r="BS89" s="159"/>
      <c r="BT89" s="159"/>
      <c r="BU89" s="440"/>
    </row>
    <row r="90" spans="2:73" ht="12.75">
      <c r="B90" s="272" t="s">
        <v>247</v>
      </c>
      <c r="C90" s="270"/>
      <c r="D90" s="193">
        <f>11004-293</f>
        <v>10711</v>
      </c>
      <c r="E90" s="193">
        <f>11561-197</f>
        <v>11364</v>
      </c>
      <c r="F90" s="193">
        <v>12155</v>
      </c>
      <c r="G90" s="193">
        <v>14287</v>
      </c>
      <c r="H90" s="450">
        <f>D90+E90+F90+G90</f>
        <v>48517</v>
      </c>
      <c r="I90" s="193">
        <f>13230-115</f>
        <v>13115</v>
      </c>
      <c r="J90" s="193">
        <f>14457-195</f>
        <v>14262</v>
      </c>
      <c r="K90" s="193">
        <f>16265-418</f>
        <v>15847</v>
      </c>
      <c r="L90" s="193">
        <f>23413-2411-27</f>
        <v>20975</v>
      </c>
      <c r="M90" s="450">
        <f>I90+J90+K90+L90</f>
        <v>64199</v>
      </c>
      <c r="N90" s="193">
        <f>22768-2901-38</f>
        <v>19829</v>
      </c>
      <c r="O90" s="193">
        <f>21680-1224-39</f>
        <v>20417</v>
      </c>
      <c r="P90" s="193">
        <f>21284-1328-38</f>
        <v>19918</v>
      </c>
      <c r="Q90" s="193">
        <f>24792-1154-39</f>
        <v>23599</v>
      </c>
      <c r="R90" s="450">
        <f>N90+O90+P90+Q90</f>
        <v>83763</v>
      </c>
      <c r="S90" s="193">
        <f>24810-1403-38</f>
        <v>23369</v>
      </c>
      <c r="T90" s="193">
        <f>27132-1779-39</f>
        <v>25314</v>
      </c>
      <c r="U90" s="193">
        <f>28224-1512-37</f>
        <v>26675</v>
      </c>
      <c r="V90" s="193">
        <f>31427-1062-38</f>
        <v>30327</v>
      </c>
      <c r="W90" s="450">
        <f>S90+T90+U90+V90</f>
        <v>105685</v>
      </c>
      <c r="X90" s="193">
        <f>29052-1563-39</f>
        <v>27450</v>
      </c>
      <c r="Y90" s="193">
        <f>31157-2055-38</f>
        <v>29064</v>
      </c>
      <c r="Z90" s="193">
        <f>30570-2066-38</f>
        <v>28466</v>
      </c>
      <c r="AA90" s="193">
        <f>32531-1885-39</f>
        <v>30607</v>
      </c>
      <c r="AB90" s="450">
        <f>X90+Y90+Z90+AA90</f>
        <v>115587</v>
      </c>
      <c r="AC90" s="193">
        <f>35138-2464-38</f>
        <v>32636</v>
      </c>
      <c r="AD90" s="193">
        <f>38172-2942-35</f>
        <v>35195</v>
      </c>
      <c r="AE90" s="193">
        <f>39904-3047-32</f>
        <v>36825</v>
      </c>
      <c r="AF90" s="193">
        <f>44508-3430-32</f>
        <v>41046</v>
      </c>
      <c r="AG90" s="450">
        <f>AC90+AD90+AE90+AF90</f>
        <v>145702</v>
      </c>
      <c r="AH90" s="193">
        <f>48145-3678-32</f>
        <v>44435</v>
      </c>
      <c r="AI90" s="193">
        <v>40534</v>
      </c>
      <c r="AJ90" s="193">
        <f>48448-4506-31</f>
        <v>43911</v>
      </c>
      <c r="AK90" s="193">
        <f>54429-4297-104</f>
        <v>50028</v>
      </c>
      <c r="AL90" s="450">
        <f>AH90+AI90+AJ90+AK90</f>
        <v>178908</v>
      </c>
      <c r="AM90" s="193">
        <f>54978-5746-103-122</f>
        <v>49007</v>
      </c>
      <c r="AN90" s="193">
        <f>56246-6038-103</f>
        <v>50105</v>
      </c>
      <c r="AO90" s="193">
        <f>63041-6348-587-153</f>
        <v>55953</v>
      </c>
      <c r="AP90" s="193">
        <f>73189-5696-684</f>
        <v>66809</v>
      </c>
      <c r="AQ90" s="450">
        <f>AM90+AN90+AO90+AP90</f>
        <v>221874</v>
      </c>
      <c r="AR90" s="193">
        <f>75146-6774</f>
        <v>68372</v>
      </c>
      <c r="AS90" s="193">
        <f>78034-8430-684</f>
        <v>68920</v>
      </c>
      <c r="AT90" s="193">
        <f>75968-8047-685</f>
        <v>67236</v>
      </c>
      <c r="AU90" s="193">
        <f>78261-7966-657</f>
        <v>69638</v>
      </c>
      <c r="AV90" s="450">
        <f>AR90+AS90+AT90+AU90</f>
        <v>274166</v>
      </c>
      <c r="AW90" s="193">
        <f>80587-7843-652</f>
        <v>72092</v>
      </c>
      <c r="AX90" s="193">
        <f>83036-8137-652</f>
        <v>74247</v>
      </c>
      <c r="AY90" s="193">
        <f>75699-7106-652</f>
        <v>67941</v>
      </c>
      <c r="AZ90" s="193">
        <f>73314-6238-652</f>
        <v>66424</v>
      </c>
      <c r="BA90" s="450">
        <f>AW90+AX90+AY90+AZ90</f>
        <v>280704</v>
      </c>
      <c r="BB90" s="193">
        <f>73095-7137-652</f>
        <v>65306</v>
      </c>
      <c r="BC90" s="193">
        <f>77795-7512-652</f>
        <v>69631</v>
      </c>
      <c r="BD90" s="193">
        <f>74521-6823-652</f>
        <v>67046</v>
      </c>
      <c r="BE90" s="193">
        <f>72767-6615-652</f>
        <v>65500</v>
      </c>
      <c r="BF90" s="450">
        <f>BB90+BC90+BD90+BE90</f>
        <v>267483</v>
      </c>
      <c r="BG90" s="193">
        <f>79400-7241-652</f>
        <v>71507</v>
      </c>
      <c r="BH90" s="193">
        <f>79247-7451-652</f>
        <v>71144</v>
      </c>
      <c r="BI90" s="193">
        <f>79296-7255-168</f>
        <v>71873</v>
      </c>
      <c r="BJ90" s="193">
        <f>79722-6283-71</f>
        <v>73368</v>
      </c>
      <c r="BK90" s="450">
        <f>BG90+BH90+BI90+BJ90</f>
        <v>287892</v>
      </c>
      <c r="BL90" s="193">
        <f>+BJ90*(1+BL93)</f>
        <v>77770.080000000002</v>
      </c>
      <c r="BM90" s="193">
        <f>+BL90*(1+BM93)</f>
        <v>73881.576000000001</v>
      </c>
      <c r="BN90" s="193">
        <f>+BM90*(1+BN93)</f>
        <v>71665.128719999993</v>
      </c>
      <c r="BO90" s="193">
        <f>+BN90*(1+BO93)</f>
        <v>70948.477432799991</v>
      </c>
      <c r="BP90" s="450">
        <f>BL90+BM90+BN90+BO90</f>
        <v>294265.26215279999</v>
      </c>
      <c r="BQ90" s="193">
        <f>+BO90*(1+BQ93)</f>
        <v>74495.901304439991</v>
      </c>
      <c r="BR90" s="193">
        <f>+BQ90*(1+BR93)</f>
        <v>74495.901304439991</v>
      </c>
      <c r="BS90" s="193">
        <f>+BR90*(1+BS93)</f>
        <v>73005.983278351196</v>
      </c>
      <c r="BT90" s="193">
        <f>+BS90*(1+BT93)</f>
        <v>72275.923445567678</v>
      </c>
      <c r="BU90" s="450">
        <f>BQ90+BR90+BS90+BT90</f>
        <v>294273.70933279884</v>
      </c>
    </row>
    <row r="91" spans="2:73" ht="12.75">
      <c r="B91" s="272" t="s">
        <v>244</v>
      </c>
      <c r="C91" s="299"/>
      <c r="D91" s="159">
        <f t="shared" ref="D91:AQ91" si="140">+D90/D52</f>
        <v>0.63999760994263866</v>
      </c>
      <c r="E91" s="159">
        <f t="shared" si="140"/>
        <v>0.63557046979865772</v>
      </c>
      <c r="F91" s="159">
        <f t="shared" si="140"/>
        <v>0.59791430960696546</v>
      </c>
      <c r="G91" s="159">
        <f t="shared" si="140"/>
        <v>0.65133348529746982</v>
      </c>
      <c r="H91" s="440">
        <f t="shared" si="140"/>
        <v>0.63107440166493234</v>
      </c>
      <c r="I91" s="159">
        <f t="shared" si="140"/>
        <v>0.55640405583131813</v>
      </c>
      <c r="J91" s="159">
        <f t="shared" si="140"/>
        <v>0.5530050407134548</v>
      </c>
      <c r="K91" s="159">
        <f t="shared" si="140"/>
        <v>0.55972732410285386</v>
      </c>
      <c r="L91" s="159">
        <f t="shared" si="140"/>
        <v>0.63845006544303418</v>
      </c>
      <c r="M91" s="440">
        <f t="shared" si="140"/>
        <v>0.58084975480882328</v>
      </c>
      <c r="N91" s="159">
        <f t="shared" si="140"/>
        <v>0.56986435222439358</v>
      </c>
      <c r="O91" s="159">
        <f t="shared" si="140"/>
        <v>0.54784265321455405</v>
      </c>
      <c r="P91" s="159">
        <f t="shared" si="140"/>
        <v>0.49376533875405937</v>
      </c>
      <c r="Q91" s="159">
        <f t="shared" si="140"/>
        <v>0.52402629124661371</v>
      </c>
      <c r="R91" s="440">
        <f t="shared" si="140"/>
        <v>0.53204138798376488</v>
      </c>
      <c r="S91" s="159">
        <f t="shared" si="140"/>
        <v>0.5164990606696872</v>
      </c>
      <c r="T91" s="159">
        <f t="shared" si="140"/>
        <v>0.53356659570431886</v>
      </c>
      <c r="U91" s="159">
        <f t="shared" si="140"/>
        <v>0.52799825815007617</v>
      </c>
      <c r="V91" s="159">
        <f t="shared" si="140"/>
        <v>0.52531568827839459</v>
      </c>
      <c r="W91" s="440">
        <f t="shared" si="140"/>
        <v>0.5259530208022295</v>
      </c>
      <c r="X91" s="159">
        <f t="shared" si="140"/>
        <v>0.50353113821883888</v>
      </c>
      <c r="Y91" s="159">
        <f t="shared" si="140"/>
        <v>0.49732208552215057</v>
      </c>
      <c r="Z91" s="159">
        <f t="shared" si="140"/>
        <v>0.45644191453539645</v>
      </c>
      <c r="AA91" s="159">
        <f t="shared" si="140"/>
        <v>0.44506325432601423</v>
      </c>
      <c r="AB91" s="440">
        <f t="shared" si="140"/>
        <v>0.47354060575768875</v>
      </c>
      <c r="AC91" s="159">
        <f t="shared" si="140"/>
        <v>0.44593837535014008</v>
      </c>
      <c r="AD91" s="159">
        <f t="shared" si="140"/>
        <v>0.44573766131789916</v>
      </c>
      <c r="AE91" s="159">
        <f t="shared" si="140"/>
        <v>0.44284769406529972</v>
      </c>
      <c r="AF91" s="159">
        <f t="shared" si="140"/>
        <v>0.44786574720670391</v>
      </c>
      <c r="AG91" s="440">
        <f t="shared" si="140"/>
        <v>0.44564409522032622</v>
      </c>
      <c r="AH91" s="159">
        <f t="shared" si="140"/>
        <v>0.47100911596353617</v>
      </c>
      <c r="AI91" s="159">
        <f t="shared" si="140"/>
        <v>0.40979860886444519</v>
      </c>
      <c r="AJ91" s="159">
        <f t="shared" si="140"/>
        <v>0.4179014989293362</v>
      </c>
      <c r="AK91" s="159">
        <f>+AK90/AK52</f>
        <v>0.44210358875564471</v>
      </c>
      <c r="AL91" s="440">
        <f t="shared" si="140"/>
        <v>0.43478514457356993</v>
      </c>
      <c r="AM91" s="159">
        <f>+AM90/AM52</f>
        <v>0.4172548552162178</v>
      </c>
      <c r="AN91" s="159">
        <f t="shared" si="140"/>
        <v>0.39633446974790582</v>
      </c>
      <c r="AO91" s="159">
        <f t="shared" si="140"/>
        <v>0.39996711796074169</v>
      </c>
      <c r="AP91" s="159">
        <f t="shared" si="140"/>
        <v>0.44058217597172211</v>
      </c>
      <c r="AQ91" s="440">
        <f t="shared" si="140"/>
        <v>0.41440482327364009</v>
      </c>
      <c r="AR91" s="159">
        <f t="shared" ref="AR91:BP91" si="141">+AR90/AR52</f>
        <v>0.43442789610125554</v>
      </c>
      <c r="AS91" s="159">
        <f t="shared" si="141"/>
        <v>0.41157325848735482</v>
      </c>
      <c r="AT91" s="159">
        <f t="shared" si="141"/>
        <v>0.38253349642989221</v>
      </c>
      <c r="AU91" s="159">
        <f t="shared" si="141"/>
        <v>0.37748470015557328</v>
      </c>
      <c r="AV91" s="440">
        <f t="shared" si="141"/>
        <v>0.40019384512533518</v>
      </c>
      <c r="AW91" s="159">
        <f t="shared" si="141"/>
        <v>0.39357114000895321</v>
      </c>
      <c r="AX91" s="159">
        <f t="shared" si="141"/>
        <v>0.38990767873459997</v>
      </c>
      <c r="AY91" s="159">
        <f t="shared" si="141"/>
        <v>0.34168162821924836</v>
      </c>
      <c r="AZ91" s="159">
        <f t="shared" si="141"/>
        <v>0.32359646900637218</v>
      </c>
      <c r="BA91" s="440">
        <f t="shared" si="141"/>
        <v>0.36093798821407036</v>
      </c>
      <c r="BB91" s="159">
        <f t="shared" si="141"/>
        <v>0.31840897899083864</v>
      </c>
      <c r="BC91" s="159">
        <f t="shared" si="141"/>
        <v>0.33477890870278043</v>
      </c>
      <c r="BD91" s="159">
        <f t="shared" si="141"/>
        <v>0.31234451722306594</v>
      </c>
      <c r="BE91" s="159">
        <f t="shared" si="141"/>
        <v>0.3028747670638719</v>
      </c>
      <c r="BF91" s="440">
        <f t="shared" si="141"/>
        <v>0.31692035729561485</v>
      </c>
      <c r="BG91" s="159">
        <f t="shared" si="141"/>
        <v>0.34009978454528594</v>
      </c>
      <c r="BH91" s="159">
        <f t="shared" si="141"/>
        <v>0.33214904315267074</v>
      </c>
      <c r="BI91" s="159">
        <f t="shared" ref="BI91" si="142">+BI90/BI52</f>
        <v>0.32975316571848046</v>
      </c>
      <c r="BJ91" s="159">
        <f t="shared" si="141"/>
        <v>0.3374979299685355</v>
      </c>
      <c r="BK91" s="440">
        <f t="shared" si="141"/>
        <v>0.33483834499891835</v>
      </c>
      <c r="BL91" s="159">
        <f t="shared" si="141"/>
        <v>0.37394904474677743</v>
      </c>
      <c r="BM91" s="159">
        <f t="shared" si="141"/>
        <v>0.35361240293455659</v>
      </c>
      <c r="BN91" s="159">
        <f t="shared" si="141"/>
        <v>0.34085819496968117</v>
      </c>
      <c r="BO91" s="159">
        <f t="shared" si="141"/>
        <v>0.33510256215990725</v>
      </c>
      <c r="BP91" s="440">
        <f t="shared" si="141"/>
        <v>0.35078588939318839</v>
      </c>
      <c r="BQ91" s="159">
        <f t="shared" ref="BQ91:BU91" si="143">+BQ90/BQ52</f>
        <v>0.35218886444306818</v>
      </c>
      <c r="BR91" s="159">
        <f t="shared" si="143"/>
        <v>0.35054814669528789</v>
      </c>
      <c r="BS91" s="159">
        <f t="shared" si="143"/>
        <v>0.34165205923537673</v>
      </c>
      <c r="BT91" s="159">
        <f t="shared" si="143"/>
        <v>0.33594021021300891</v>
      </c>
      <c r="BU91" s="440">
        <f t="shared" si="143"/>
        <v>0.34504113514479262</v>
      </c>
    </row>
    <row r="92" spans="2:73" s="3" customFormat="1" ht="13.35" hidden="1" customHeight="1" outlineLevel="1">
      <c r="B92" s="224" t="s">
        <v>243</v>
      </c>
      <c r="C92" s="326"/>
      <c r="H92" s="441"/>
      <c r="I92" s="360">
        <f>+I90/D90-1</f>
        <v>0.2244421622630941</v>
      </c>
      <c r="J92" s="360">
        <f>+J90/E90-1</f>
        <v>0.25501583949313611</v>
      </c>
      <c r="K92" s="360">
        <f>+K90/F90-1</f>
        <v>0.30374331550802136</v>
      </c>
      <c r="L92" s="360">
        <f>+L90/G90-1</f>
        <v>0.4681178693917547</v>
      </c>
      <c r="M92" s="463">
        <f t="shared" ref="M92:AG92" si="144">+M90/H90-1</f>
        <v>0.32322691015520344</v>
      </c>
      <c r="N92" s="360">
        <f t="shared" si="144"/>
        <v>0.51193290125810131</v>
      </c>
      <c r="O92" s="360">
        <f t="shared" si="144"/>
        <v>0.43156640022437243</v>
      </c>
      <c r="P92" s="360">
        <f t="shared" si="144"/>
        <v>0.25689404934687943</v>
      </c>
      <c r="Q92" s="360">
        <f t="shared" si="144"/>
        <v>0.12510131108462463</v>
      </c>
      <c r="R92" s="463">
        <f t="shared" si="144"/>
        <v>0.30473994922039283</v>
      </c>
      <c r="S92" s="360">
        <f t="shared" si="144"/>
        <v>0.17852640072620907</v>
      </c>
      <c r="T92" s="360">
        <f t="shared" si="144"/>
        <v>0.2398491453200764</v>
      </c>
      <c r="U92" s="360">
        <f t="shared" si="144"/>
        <v>0.33924088763932114</v>
      </c>
      <c r="V92" s="360">
        <f t="shared" si="144"/>
        <v>0.28509682613670062</v>
      </c>
      <c r="W92" s="463">
        <f t="shared" si="144"/>
        <v>0.26171459952484977</v>
      </c>
      <c r="X92" s="360">
        <f t="shared" si="144"/>
        <v>0.17463306089263564</v>
      </c>
      <c r="Y92" s="360">
        <f t="shared" si="144"/>
        <v>0.14813936951884332</v>
      </c>
      <c r="Z92" s="360">
        <f t="shared" si="144"/>
        <v>6.7141518275538825E-2</v>
      </c>
      <c r="AA92" s="360">
        <f t="shared" si="144"/>
        <v>9.2326969367231282E-3</v>
      </c>
      <c r="AB92" s="463">
        <f t="shared" si="144"/>
        <v>9.3693523205752971E-2</v>
      </c>
      <c r="AC92" s="360">
        <f t="shared" si="144"/>
        <v>0.18892531876138441</v>
      </c>
      <c r="AD92" s="360">
        <f t="shared" si="144"/>
        <v>0.21094825213322332</v>
      </c>
      <c r="AE92" s="360">
        <f t="shared" si="144"/>
        <v>0.29364856319820132</v>
      </c>
      <c r="AF92" s="360">
        <f t="shared" si="144"/>
        <v>0.34106576926846799</v>
      </c>
      <c r="AG92" s="463">
        <f t="shared" si="144"/>
        <v>0.26053968006782768</v>
      </c>
      <c r="AH92" s="360">
        <f t="shared" ref="AH92:BP92" si="145">+AH90/AC90-1</f>
        <v>0.36153327613678155</v>
      </c>
      <c r="AI92" s="360">
        <f t="shared" si="145"/>
        <v>0.15169768433016051</v>
      </c>
      <c r="AJ92" s="360">
        <f t="shared" si="145"/>
        <v>0.19242362525458256</v>
      </c>
      <c r="AK92" s="360">
        <f t="shared" si="145"/>
        <v>0.21882765677532534</v>
      </c>
      <c r="AL92" s="463">
        <f t="shared" si="145"/>
        <v>0.22790352912108269</v>
      </c>
      <c r="AM92" s="360">
        <f t="shared" si="145"/>
        <v>0.10289186452121069</v>
      </c>
      <c r="AN92" s="360">
        <f t="shared" si="145"/>
        <v>0.23612276113879704</v>
      </c>
      <c r="AO92" s="360">
        <f t="shared" si="145"/>
        <v>0.27423652387784392</v>
      </c>
      <c r="AP92" s="360">
        <f t="shared" si="145"/>
        <v>0.3354321579915247</v>
      </c>
      <c r="AQ92" s="463">
        <f t="shared" si="145"/>
        <v>0.24015695217653765</v>
      </c>
      <c r="AR92" s="360">
        <f t="shared" si="145"/>
        <v>0.39514763197094283</v>
      </c>
      <c r="AS92" s="360">
        <f t="shared" si="145"/>
        <v>0.37551142600538867</v>
      </c>
      <c r="AT92" s="360">
        <f t="shared" si="145"/>
        <v>0.20165138598466581</v>
      </c>
      <c r="AU92" s="360">
        <f t="shared" si="145"/>
        <v>4.234459429118842E-2</v>
      </c>
      <c r="AV92" s="463">
        <f t="shared" si="145"/>
        <v>0.23568331575578938</v>
      </c>
      <c r="AW92" s="360">
        <f t="shared" si="145"/>
        <v>5.4408237290118677E-2</v>
      </c>
      <c r="AX92" s="360">
        <f t="shared" si="145"/>
        <v>7.7292513058618617E-2</v>
      </c>
      <c r="AY92" s="360">
        <f t="shared" si="145"/>
        <v>1.048545422095315E-2</v>
      </c>
      <c r="AZ92" s="360">
        <f t="shared" si="145"/>
        <v>-4.6152962463023028E-2</v>
      </c>
      <c r="BA92" s="463">
        <f t="shared" si="145"/>
        <v>2.3846866496939789E-2</v>
      </c>
      <c r="BB92" s="360">
        <f t="shared" si="145"/>
        <v>-9.4129723131554099E-2</v>
      </c>
      <c r="BC92" s="360">
        <f t="shared" si="145"/>
        <v>-6.2170862122375325E-2</v>
      </c>
      <c r="BD92" s="360">
        <f t="shared" si="145"/>
        <v>-1.3173194389249465E-2</v>
      </c>
      <c r="BE92" s="360">
        <f t="shared" si="145"/>
        <v>-1.3910634710345704E-2</v>
      </c>
      <c r="BF92" s="463">
        <f t="shared" si="145"/>
        <v>-4.7099435704514359E-2</v>
      </c>
      <c r="BG92" s="360">
        <f t="shared" si="145"/>
        <v>9.4952990536857351E-2</v>
      </c>
      <c r="BH92" s="360">
        <f t="shared" si="145"/>
        <v>2.1728827677327534E-2</v>
      </c>
      <c r="BI92" s="360">
        <f t="shared" si="145"/>
        <v>7.1995346478537225E-2</v>
      </c>
      <c r="BJ92" s="360">
        <f t="shared" si="145"/>
        <v>0.12012213740458022</v>
      </c>
      <c r="BK92" s="463">
        <f t="shared" si="145"/>
        <v>7.6300176085956961E-2</v>
      </c>
      <c r="BL92" s="360">
        <f t="shared" si="145"/>
        <v>8.7586949529416813E-2</v>
      </c>
      <c r="BM92" s="360">
        <f t="shared" si="145"/>
        <v>3.8479365793320675E-2</v>
      </c>
      <c r="BN92" s="360">
        <f t="shared" si="145"/>
        <v>-2.8922026352038444E-3</v>
      </c>
      <c r="BO92" s="360">
        <f t="shared" si="145"/>
        <v>-3.2977900000000115E-2</v>
      </c>
      <c r="BP92" s="463">
        <f t="shared" si="145"/>
        <v>2.2137684106539934E-2</v>
      </c>
      <c r="BQ92" s="360">
        <f t="shared" ref="BQ92" si="146">+BQ90/BL90-1</f>
        <v>-4.2100750000000131E-2</v>
      </c>
      <c r="BR92" s="360">
        <f t="shared" ref="BR92" si="147">+BR90/BM90-1</f>
        <v>8.3149999999998503E-3</v>
      </c>
      <c r="BS92" s="360">
        <f t="shared" ref="BS92" si="148">+BS90/BN90-1</f>
        <v>1.8710000000000004E-2</v>
      </c>
      <c r="BT92" s="360">
        <f t="shared" ref="BT92" si="149">+BT90/BO90-1</f>
        <v>1.8710000000000004E-2</v>
      </c>
      <c r="BU92" s="463">
        <f t="shared" ref="BU92" si="150">+BU90/BP90-1</f>
        <v>2.8706004701506416E-5</v>
      </c>
    </row>
    <row r="93" spans="2:73" s="3" customFormat="1" ht="13.35" hidden="1" customHeight="1" outlineLevel="1">
      <c r="B93" s="224" t="s">
        <v>245</v>
      </c>
      <c r="C93" s="326"/>
      <c r="D93" s="357"/>
      <c r="E93" s="358">
        <f>+E90/D90-1</f>
        <v>6.096536271123143E-2</v>
      </c>
      <c r="F93" s="358">
        <f>+F90/E90-1</f>
        <v>6.960577261527634E-2</v>
      </c>
      <c r="G93" s="358">
        <f>+G90/F90-1</f>
        <v>0.17540106951871648</v>
      </c>
      <c r="H93" s="442"/>
      <c r="I93" s="358">
        <f>+I90/G90-1</f>
        <v>-8.2032617064464186E-2</v>
      </c>
      <c r="J93" s="358">
        <f>+J90/I90-1</f>
        <v>8.7457110179184117E-2</v>
      </c>
      <c r="K93" s="358">
        <f>+K90/J90-1</f>
        <v>0.11113448324218211</v>
      </c>
      <c r="L93" s="358">
        <f>+L90/K90-1</f>
        <v>0.32359437117435474</v>
      </c>
      <c r="M93" s="442"/>
      <c r="N93" s="358">
        <f>+N90/L90-1</f>
        <v>-5.4636471990464841E-2</v>
      </c>
      <c r="O93" s="358">
        <f>+O90/N90-1</f>
        <v>2.9653537747743153E-2</v>
      </c>
      <c r="P93" s="358">
        <f>+P90/O90-1</f>
        <v>-2.4440417299309347E-2</v>
      </c>
      <c r="Q93" s="358">
        <f>+Q90/P90-1</f>
        <v>0.18480771161763232</v>
      </c>
      <c r="R93" s="442"/>
      <c r="S93" s="358">
        <f>+S90/Q90-1</f>
        <v>-9.7461756854103632E-3</v>
      </c>
      <c r="T93" s="358">
        <f>+T90/S90-1</f>
        <v>8.3229919979459943E-2</v>
      </c>
      <c r="U93" s="358">
        <f>+U90/T90-1</f>
        <v>5.3764715177372135E-2</v>
      </c>
      <c r="V93" s="358">
        <f>+V90/U90-1</f>
        <v>0.13690721649484527</v>
      </c>
      <c r="W93" s="442"/>
      <c r="X93" s="358">
        <f>+X90/V90-1</f>
        <v>-9.4865961024829359E-2</v>
      </c>
      <c r="Y93" s="358">
        <f>+Y90/X90-1</f>
        <v>5.8797814207650179E-2</v>
      </c>
      <c r="Z93" s="358">
        <f>+Z90/Y90-1</f>
        <v>-2.0575282135975814E-2</v>
      </c>
      <c r="AA93" s="358">
        <f>+AA90/Z90-1</f>
        <v>7.521253425138763E-2</v>
      </c>
      <c r="AB93" s="442"/>
      <c r="AC93" s="358">
        <f>+AC90/AA90-1</f>
        <v>6.6292024700231877E-2</v>
      </c>
      <c r="AD93" s="358">
        <f>+AD90/AC90-1</f>
        <v>7.8410344404951537E-2</v>
      </c>
      <c r="AE93" s="358">
        <f>+AE90/AD90-1</f>
        <v>4.6313396789316563E-2</v>
      </c>
      <c r="AF93" s="358">
        <f>+AF90/AE90-1</f>
        <v>0.11462321792260699</v>
      </c>
      <c r="AG93" s="441"/>
      <c r="AH93" s="358">
        <f>+AH90/AF90-1</f>
        <v>8.2565901671295627E-2</v>
      </c>
      <c r="AI93" s="358">
        <f>+AI90/AH90-1</f>
        <v>-8.7791155620569383E-2</v>
      </c>
      <c r="AJ93" s="358">
        <f>+AJ90/AI90-1</f>
        <v>8.3312774460946315E-2</v>
      </c>
      <c r="AK93" s="358">
        <f>+AK90/AJ90-1</f>
        <v>0.13930450228872027</v>
      </c>
      <c r="AL93" s="441"/>
      <c r="AM93" s="358">
        <f>+AM90/AK90-1</f>
        <v>-2.0408571200127956E-2</v>
      </c>
      <c r="AN93" s="358">
        <f>+AN90/AM90-1</f>
        <v>2.240496255636959E-2</v>
      </c>
      <c r="AO93" s="358">
        <f>+AO90/AN90-1</f>
        <v>0.11671489871270335</v>
      </c>
      <c r="AP93" s="358">
        <f>+AP90/AO90-1</f>
        <v>0.19401998105552876</v>
      </c>
      <c r="AQ93" s="441"/>
      <c r="AR93" s="358">
        <f>+AR90/AP90-1</f>
        <v>2.3395051564908842E-2</v>
      </c>
      <c r="AS93" s="358">
        <f>+AS90/AR90-1</f>
        <v>8.0149768911250696E-3</v>
      </c>
      <c r="AT93" s="358">
        <f>+AT90/AS90-1</f>
        <v>-2.4434126523505517E-2</v>
      </c>
      <c r="AU93" s="358">
        <f>+AU90/AT90-1</f>
        <v>3.5724909274793326E-2</v>
      </c>
      <c r="AV93" s="441"/>
      <c r="AW93" s="358">
        <f>+AW90/AU90-1</f>
        <v>3.523938079784017E-2</v>
      </c>
      <c r="AX93" s="358">
        <f>+AX90/AW90-1</f>
        <v>2.9892359762525578E-2</v>
      </c>
      <c r="AY93" s="358">
        <f>+AY90/AX90-1</f>
        <v>-8.4932724554527494E-2</v>
      </c>
      <c r="AZ93" s="358">
        <f>+AZ90/AY90-1</f>
        <v>-2.2328196523454191E-2</v>
      </c>
      <c r="BA93" s="441"/>
      <c r="BB93" s="358">
        <f>+BB90/AZ90-1</f>
        <v>-1.6831265807539464E-2</v>
      </c>
      <c r="BC93" s="358">
        <f>+BC90/BB90-1</f>
        <v>6.6226686675037616E-2</v>
      </c>
      <c r="BD93" s="358">
        <f>+BD90/BC90-1</f>
        <v>-3.7124269362783791E-2</v>
      </c>
      <c r="BE93" s="358">
        <f>+BE90/BD90-1</f>
        <v>-2.3058795453867464E-2</v>
      </c>
      <c r="BF93" s="441"/>
      <c r="BG93" s="358">
        <f>+BG90/BE90-1</f>
        <v>9.1709923664122117E-2</v>
      </c>
      <c r="BH93" s="358">
        <f>+BH90/BG90-1</f>
        <v>-5.076426084159591E-3</v>
      </c>
      <c r="BI93" s="358">
        <f>+BI90/BH90-1</f>
        <v>1.0246823344203237E-2</v>
      </c>
      <c r="BJ93" s="358">
        <f>+BJ90/BI90-1</f>
        <v>2.0800578798714442E-2</v>
      </c>
      <c r="BK93" s="441"/>
      <c r="BL93" s="362">
        <v>0.06</v>
      </c>
      <c r="BM93" s="362">
        <v>-0.05</v>
      </c>
      <c r="BN93" s="362">
        <v>-0.03</v>
      </c>
      <c r="BO93" s="362">
        <v>-0.01</v>
      </c>
      <c r="BP93" s="441"/>
      <c r="BQ93" s="362">
        <v>0.05</v>
      </c>
      <c r="BR93" s="362">
        <v>0</v>
      </c>
      <c r="BS93" s="362">
        <v>-0.02</v>
      </c>
      <c r="BT93" s="362">
        <v>-0.01</v>
      </c>
      <c r="BU93" s="441"/>
    </row>
    <row r="94" spans="2:73" ht="9" customHeight="1" collapsed="1">
      <c r="B94" s="276"/>
      <c r="C94" s="299"/>
      <c r="D94" s="170"/>
      <c r="E94" s="170"/>
      <c r="F94" s="170"/>
      <c r="G94" s="170"/>
      <c r="H94" s="451"/>
      <c r="I94" s="170"/>
      <c r="J94" s="170"/>
      <c r="K94" s="170"/>
      <c r="L94" s="170"/>
      <c r="M94" s="451"/>
      <c r="N94" s="170"/>
      <c r="O94" s="170"/>
      <c r="P94" s="170"/>
      <c r="Q94" s="170"/>
      <c r="R94" s="451"/>
      <c r="S94" s="170"/>
      <c r="T94" s="170"/>
      <c r="U94" s="170"/>
      <c r="V94" s="170"/>
      <c r="W94" s="451"/>
      <c r="X94" s="170"/>
      <c r="Y94" s="170"/>
      <c r="Z94" s="170"/>
      <c r="AA94" s="170"/>
      <c r="AB94" s="451"/>
      <c r="AC94" s="170"/>
      <c r="AD94" s="170"/>
      <c r="AE94" s="170"/>
      <c r="AF94" s="170"/>
      <c r="AG94" s="451"/>
      <c r="AH94" s="170"/>
      <c r="AI94" s="170"/>
      <c r="AJ94" s="170"/>
      <c r="AK94" s="170"/>
      <c r="AL94" s="451"/>
      <c r="AM94" s="170"/>
      <c r="AN94" s="170"/>
      <c r="AO94" s="170"/>
      <c r="AP94" s="170"/>
      <c r="AQ94" s="451"/>
      <c r="AR94" s="170"/>
      <c r="AS94" s="170"/>
      <c r="AT94" s="170"/>
      <c r="AU94" s="170"/>
      <c r="AV94" s="451"/>
      <c r="AW94" s="170"/>
      <c r="AX94" s="170"/>
      <c r="AY94" s="170"/>
      <c r="AZ94" s="170"/>
      <c r="BA94" s="451"/>
      <c r="BB94" s="170"/>
      <c r="BC94" s="170"/>
      <c r="BD94" s="170"/>
      <c r="BE94" s="170"/>
      <c r="BF94" s="451"/>
      <c r="BG94" s="170"/>
      <c r="BH94" s="170"/>
      <c r="BI94" s="170"/>
      <c r="BJ94" s="170"/>
      <c r="BK94" s="451"/>
      <c r="BL94" s="170"/>
      <c r="BM94" s="170"/>
      <c r="BN94" s="170"/>
      <c r="BO94" s="170"/>
      <c r="BP94" s="451"/>
      <c r="BQ94" s="170"/>
      <c r="BR94" s="170"/>
      <c r="BS94" s="170"/>
      <c r="BT94" s="170"/>
      <c r="BU94" s="451"/>
    </row>
    <row r="95" spans="2:73" ht="12.75">
      <c r="B95" s="272" t="s">
        <v>248</v>
      </c>
      <c r="C95" s="270"/>
      <c r="D95" s="193">
        <f>3482-991</f>
        <v>2491</v>
      </c>
      <c r="E95" s="193">
        <f>3174-265</f>
        <v>2909</v>
      </c>
      <c r="F95" s="193">
        <v>3136</v>
      </c>
      <c r="G95" s="193">
        <v>3180</v>
      </c>
      <c r="H95" s="450">
        <f>D95+E95+F95+G95</f>
        <v>11716</v>
      </c>
      <c r="I95" s="193">
        <f>4053-267-56</f>
        <v>3730</v>
      </c>
      <c r="J95" s="193">
        <f>5048-318-360</f>
        <v>4370</v>
      </c>
      <c r="K95" s="193">
        <f>5537-400-551</f>
        <v>4586</v>
      </c>
      <c r="L95" s="193">
        <f>7093-1019-47-375</f>
        <v>5652</v>
      </c>
      <c r="M95" s="450">
        <f>I95+J95+K95+L95</f>
        <v>18338</v>
      </c>
      <c r="N95" s="193">
        <f>6593-988-99</f>
        <v>5506</v>
      </c>
      <c r="O95" s="193">
        <f>6644-751-99</f>
        <v>5794</v>
      </c>
      <c r="P95" s="193">
        <f>7605-1083-284</f>
        <v>6238</v>
      </c>
      <c r="Q95" s="193">
        <f>7440-1223-20</f>
        <v>6197</v>
      </c>
      <c r="R95" s="450">
        <f>N95+O95+P95+Q95</f>
        <v>23735</v>
      </c>
      <c r="S95" s="193">
        <f>7248-1161-9</f>
        <v>6078</v>
      </c>
      <c r="T95" s="193">
        <f>7256-1395-5</f>
        <v>5856</v>
      </c>
      <c r="U95" s="193">
        <f>7402-1485-4-87</f>
        <v>5826</v>
      </c>
      <c r="V95" s="193">
        <f>8387-1454-4</f>
        <v>6929</v>
      </c>
      <c r="W95" s="450">
        <f>S95+T95+U95+V95</f>
        <v>24689</v>
      </c>
      <c r="X95" s="193">
        <f>8732-1722-1-140-400</f>
        <v>6469</v>
      </c>
      <c r="Y95" s="193">
        <f>8149-1976-65-2</f>
        <v>6106</v>
      </c>
      <c r="Z95" s="193">
        <f>8175-1896-1-115</f>
        <v>6163</v>
      </c>
      <c r="AA95" s="193">
        <f>9937-1916-1-200</f>
        <v>7820</v>
      </c>
      <c r="AB95" s="450">
        <f>X95+Y95+Z95+AA95</f>
        <v>26558</v>
      </c>
      <c r="AC95" s="193">
        <f>9953-2423-1-217-73</f>
        <v>7239</v>
      </c>
      <c r="AD95" s="193">
        <f>11160-2716-1-297-255</f>
        <v>7891</v>
      </c>
      <c r="AE95" s="193">
        <f>11223-178-1-2704</f>
        <v>8340</v>
      </c>
      <c r="AF95" s="193">
        <f>12374-2688-236</f>
        <v>9450</v>
      </c>
      <c r="AG95" s="450">
        <f>AC95+AD95+AE95+AF95</f>
        <v>32920</v>
      </c>
      <c r="AH95" s="193">
        <f>14099-4093-307-543</f>
        <v>9156</v>
      </c>
      <c r="AI95" s="193">
        <v>8607</v>
      </c>
      <c r="AJ95" s="193">
        <f>15006-4672-116-651</f>
        <v>9567</v>
      </c>
      <c r="AK95" s="193">
        <f>15930-4995-45-205-133</f>
        <v>10552</v>
      </c>
      <c r="AL95" s="450">
        <f>AH95+AI95+AJ95+AK95</f>
        <v>37882</v>
      </c>
      <c r="AM95" s="193">
        <f>16220-5747-45-1046-103</f>
        <v>9279</v>
      </c>
      <c r="AN95" s="193">
        <f>17488-6544-45-863-251</f>
        <v>9785</v>
      </c>
      <c r="AO95" s="193">
        <f>23818-6695-170-4987-105</f>
        <v>11861</v>
      </c>
      <c r="AP95" s="193">
        <f>20763-6652-195-110</f>
        <v>13806</v>
      </c>
      <c r="AQ95" s="450">
        <f>AM95+AN95+AO95+AP95</f>
        <v>44731</v>
      </c>
      <c r="AR95" s="193">
        <f>21516-7034-195-115</f>
        <v>14172</v>
      </c>
      <c r="AS95" s="193">
        <f>20890-7281-195</f>
        <v>13414</v>
      </c>
      <c r="AT95" s="193">
        <f>20561-6779-195</f>
        <v>13587</v>
      </c>
      <c r="AU95" s="193">
        <f>22003-7284-195</f>
        <v>14524</v>
      </c>
      <c r="AV95" s="450">
        <f>AR95+AS95+AT95+AU95</f>
        <v>55697</v>
      </c>
      <c r="AW95" s="193">
        <f>24207-8188-195-363</f>
        <v>15461</v>
      </c>
      <c r="AX95" s="193">
        <f>22888-8939-196</f>
        <v>13753</v>
      </c>
      <c r="AY95" s="193">
        <f>17866-5699-70</f>
        <v>12097</v>
      </c>
      <c r="AZ95" s="193">
        <f>19314-7208-45</f>
        <v>12061</v>
      </c>
      <c r="BA95" s="450">
        <f>AW95+AX95+AY95+AZ95</f>
        <v>53372</v>
      </c>
      <c r="BB95" s="193">
        <f>19928-7993-45+190</f>
        <v>12080</v>
      </c>
      <c r="BC95" s="193">
        <f>22412-8174-45-278</f>
        <v>13915</v>
      </c>
      <c r="BD95" s="193">
        <f>18590-5235-45-290</f>
        <v>13020</v>
      </c>
      <c r="BE95" s="193">
        <f>23989-6985-45-183</f>
        <v>16776</v>
      </c>
      <c r="BF95" s="450">
        <f>BB95+BC95+BD95+BE95</f>
        <v>55791</v>
      </c>
      <c r="BG95" s="193">
        <f>23586-7260-45-183</f>
        <v>16098</v>
      </c>
      <c r="BH95" s="193">
        <f>21166-7300-15-183</f>
        <v>13668</v>
      </c>
      <c r="BI95" s="193">
        <f>20863-7216-84</f>
        <v>13563</v>
      </c>
      <c r="BJ95" s="193">
        <f>19246-5331-83</f>
        <v>13832</v>
      </c>
      <c r="BK95" s="450">
        <f>BG95+BH95+BI95+BJ95</f>
        <v>57161</v>
      </c>
      <c r="BL95" s="193">
        <f>+BJ95*(1+BL98)</f>
        <v>14108.64</v>
      </c>
      <c r="BM95" s="193">
        <f>+BL95*(1+BM98)</f>
        <v>13262.121599999999</v>
      </c>
      <c r="BN95" s="193">
        <f>+BM95*(1+BN98)</f>
        <v>12996.879167999998</v>
      </c>
      <c r="BO95" s="193">
        <f>+BN95*(1+BO98)</f>
        <v>13386.785543039998</v>
      </c>
      <c r="BP95" s="450">
        <f>BL95+BM95+BN95+BO95</f>
        <v>53754.426311039992</v>
      </c>
      <c r="BQ95" s="193">
        <f>+BO95*(1+BQ98)</f>
        <v>13252.917687609597</v>
      </c>
      <c r="BR95" s="193">
        <f>+BQ95*(1+BR98)</f>
        <v>13517.97604136179</v>
      </c>
      <c r="BS95" s="193">
        <f>+BR95*(1+BS98)</f>
        <v>13382.796280948172</v>
      </c>
      <c r="BT95" s="193">
        <f>+BS95*(1+BT98)</f>
        <v>13784.280169376618</v>
      </c>
      <c r="BU95" s="450">
        <f>BQ95+BR95+BS95+BT95</f>
        <v>53937.970179296179</v>
      </c>
    </row>
    <row r="96" spans="2:73" ht="12.75">
      <c r="B96" s="272" t="s">
        <v>244</v>
      </c>
      <c r="C96" s="299"/>
      <c r="D96" s="172">
        <f t="shared" ref="D96:AQ96" si="151">+D95/D52</f>
        <v>0.14884082217973232</v>
      </c>
      <c r="E96" s="172">
        <f t="shared" si="151"/>
        <v>0.16269574944071588</v>
      </c>
      <c r="F96" s="172">
        <f t="shared" si="151"/>
        <v>0.15426238378670865</v>
      </c>
      <c r="G96" s="172">
        <f t="shared" si="151"/>
        <v>0.14497378618646001</v>
      </c>
      <c r="H96" s="452">
        <f t="shared" si="151"/>
        <v>0.15239334027055151</v>
      </c>
      <c r="I96" s="172">
        <f t="shared" si="151"/>
        <v>0.15824530142972296</v>
      </c>
      <c r="J96" s="172">
        <f t="shared" si="151"/>
        <v>0.16944552151996897</v>
      </c>
      <c r="K96" s="172">
        <f t="shared" si="151"/>
        <v>0.16198078553263634</v>
      </c>
      <c r="L96" s="172">
        <f t="shared" si="151"/>
        <v>0.17203908318874989</v>
      </c>
      <c r="M96" s="452">
        <f t="shared" si="151"/>
        <v>0.16591571214012993</v>
      </c>
      <c r="N96" s="172">
        <f t="shared" si="151"/>
        <v>0.1582365789171169</v>
      </c>
      <c r="O96" s="172">
        <f t="shared" si="151"/>
        <v>0.15546849844370506</v>
      </c>
      <c r="P96" s="172">
        <f t="shared" si="151"/>
        <v>0.15463943082376855</v>
      </c>
      <c r="Q96" s="172">
        <f t="shared" si="151"/>
        <v>0.13760714127103965</v>
      </c>
      <c r="R96" s="452">
        <f t="shared" si="151"/>
        <v>0.15075871618488665</v>
      </c>
      <c r="S96" s="172">
        <f t="shared" si="151"/>
        <v>0.13433528566692451</v>
      </c>
      <c r="T96" s="172">
        <f t="shared" si="151"/>
        <v>0.1234323293215016</v>
      </c>
      <c r="U96" s="172">
        <f t="shared" si="151"/>
        <v>0.11531838245482076</v>
      </c>
      <c r="V96" s="172">
        <f t="shared" si="151"/>
        <v>0.12002217179678162</v>
      </c>
      <c r="W96" s="452">
        <f t="shared" si="151"/>
        <v>0.1228675226435752</v>
      </c>
      <c r="X96" s="172">
        <f t="shared" si="151"/>
        <v>0.11866458772814821</v>
      </c>
      <c r="Y96" s="172">
        <f t="shared" si="151"/>
        <v>0.10448144282267587</v>
      </c>
      <c r="Z96" s="172">
        <f t="shared" si="151"/>
        <v>9.8821454341377374E-2</v>
      </c>
      <c r="AA96" s="172">
        <f t="shared" si="151"/>
        <v>0.11371237458193979</v>
      </c>
      <c r="AB96" s="452">
        <f t="shared" si="151"/>
        <v>0.10880368387199855</v>
      </c>
      <c r="AC96" s="172">
        <f t="shared" si="151"/>
        <v>9.8913711826193892E-2</v>
      </c>
      <c r="AD96" s="172">
        <f t="shared" si="151"/>
        <v>9.9937942476475139E-2</v>
      </c>
      <c r="AE96" s="172">
        <f t="shared" si="151"/>
        <v>0.10029463050928988</v>
      </c>
      <c r="AF96" s="172">
        <f t="shared" si="151"/>
        <v>0.10311190642458101</v>
      </c>
      <c r="AG96" s="452">
        <f t="shared" si="151"/>
        <v>0.10068910251508655</v>
      </c>
      <c r="AH96" s="172">
        <f t="shared" si="151"/>
        <v>9.7053211787152857E-2</v>
      </c>
      <c r="AI96" s="172">
        <f t="shared" si="151"/>
        <v>8.7016742154642515E-2</v>
      </c>
      <c r="AJ96" s="172">
        <f t="shared" si="151"/>
        <v>9.1049250535331902E-2</v>
      </c>
      <c r="AK96" s="172">
        <f>+AK95/AK52</f>
        <v>9.3249321750810812E-2</v>
      </c>
      <c r="AL96" s="452">
        <f t="shared" si="151"/>
        <v>9.2061455310751758E-2</v>
      </c>
      <c r="AM96" s="172">
        <f>+AM95/AM52</f>
        <v>7.9003158764080345E-2</v>
      </c>
      <c r="AN96" s="172">
        <f t="shared" si="151"/>
        <v>7.7400115487142165E-2</v>
      </c>
      <c r="AO96" s="172">
        <f t="shared" si="151"/>
        <v>8.4785623400574717E-2</v>
      </c>
      <c r="AP96" s="172">
        <f t="shared" si="151"/>
        <v>9.1045780081509917E-2</v>
      </c>
      <c r="AQ96" s="452">
        <f t="shared" si="151"/>
        <v>8.3546256658523277E-2</v>
      </c>
      <c r="AR96" s="172">
        <f t="shared" ref="AR96:BP96" si="152">+AR95/AR52</f>
        <v>9.0047272912113049E-2</v>
      </c>
      <c r="AS96" s="172">
        <f t="shared" si="152"/>
        <v>8.010510286345586E-2</v>
      </c>
      <c r="AT96" s="172">
        <f t="shared" si="152"/>
        <v>7.7302079481125371E-2</v>
      </c>
      <c r="AU96" s="172">
        <f t="shared" si="152"/>
        <v>7.8729828327343487E-2</v>
      </c>
      <c r="AV96" s="452">
        <f t="shared" si="152"/>
        <v>8.1299638146034858E-2</v>
      </c>
      <c r="AW96" s="172">
        <f t="shared" si="152"/>
        <v>8.4406083832858372E-2</v>
      </c>
      <c r="AX96" s="172">
        <f t="shared" si="152"/>
        <v>7.222379767043724E-2</v>
      </c>
      <c r="AY96" s="172">
        <f t="shared" si="152"/>
        <v>6.0836941707779507E-2</v>
      </c>
      <c r="AZ96" s="172">
        <f t="shared" si="152"/>
        <v>5.8757331878324923E-2</v>
      </c>
      <c r="BA96" s="452">
        <f t="shared" si="152"/>
        <v>6.8627387949446256E-2</v>
      </c>
      <c r="BB96" s="172">
        <f t="shared" si="152"/>
        <v>5.8897811322226608E-2</v>
      </c>
      <c r="BC96" s="172">
        <f t="shared" si="152"/>
        <v>6.6901933256727456E-2</v>
      </c>
      <c r="BD96" s="172">
        <f t="shared" si="152"/>
        <v>6.0655752979213058E-2</v>
      </c>
      <c r="BE96" s="172">
        <f t="shared" si="152"/>
        <v>7.75729327063132E-2</v>
      </c>
      <c r="BF96" s="452">
        <f t="shared" si="152"/>
        <v>6.6102532324968863E-2</v>
      </c>
      <c r="BG96" s="172">
        <f t="shared" si="152"/>
        <v>7.6564900381920833E-2</v>
      </c>
      <c r="BH96" s="172">
        <f t="shared" si="152"/>
        <v>6.3811609156228258E-2</v>
      </c>
      <c r="BI96" s="172">
        <f t="shared" ref="BI96" si="153">+BI95/BI52</f>
        <v>6.2227014131033216E-2</v>
      </c>
      <c r="BJ96" s="172">
        <f t="shared" si="152"/>
        <v>6.3628167148140652E-2</v>
      </c>
      <c r="BK96" s="452">
        <f t="shared" si="152"/>
        <v>6.6482203876742571E-2</v>
      </c>
      <c r="BL96" s="172">
        <f t="shared" si="152"/>
        <v>6.7839874289394766E-2</v>
      </c>
      <c r="BM96" s="172">
        <f t="shared" si="152"/>
        <v>6.3475238901052763E-2</v>
      </c>
      <c r="BN96" s="172">
        <f t="shared" si="152"/>
        <v>6.1816574567976734E-2</v>
      </c>
      <c r="BO96" s="172">
        <f t="shared" si="152"/>
        <v>6.3228222745256871E-2</v>
      </c>
      <c r="BP96" s="452">
        <f t="shared" si="152"/>
        <v>6.4079239609830196E-2</v>
      </c>
      <c r="BQ96" s="172">
        <f t="shared" ref="BQ96:BU96" si="154">+BQ95/BQ52</f>
        <v>6.2654856834096592E-2</v>
      </c>
      <c r="BR96" s="172">
        <f t="shared" si="154"/>
        <v>6.3610230434090351E-2</v>
      </c>
      <c r="BS96" s="172">
        <f t="shared" si="154"/>
        <v>6.2628564158649147E-2</v>
      </c>
      <c r="BT96" s="172">
        <f t="shared" si="154"/>
        <v>6.4069661887099255E-2</v>
      </c>
      <c r="BU96" s="452">
        <f t="shared" si="154"/>
        <v>6.324322516023019E-2</v>
      </c>
    </row>
    <row r="97" spans="2:73" s="3" customFormat="1" ht="13.35" hidden="1" customHeight="1" outlineLevel="1">
      <c r="B97" s="224" t="s">
        <v>243</v>
      </c>
      <c r="C97" s="326"/>
      <c r="H97" s="441"/>
      <c r="I97" s="360">
        <f>+I95/D95-1</f>
        <v>0.49739060618225617</v>
      </c>
      <c r="J97" s="360">
        <f>+J95/E95-1</f>
        <v>0.50223444482640089</v>
      </c>
      <c r="K97" s="360">
        <f>+K95/F95-1</f>
        <v>0.46237244897959173</v>
      </c>
      <c r="L97" s="360">
        <f>+L95/G95-1</f>
        <v>0.77735849056603779</v>
      </c>
      <c r="M97" s="463">
        <f t="shared" ref="M97:AG97" si="155">+M95/H95-1</f>
        <v>0.56520996927278944</v>
      </c>
      <c r="N97" s="360">
        <f t="shared" si="155"/>
        <v>0.47613941018766748</v>
      </c>
      <c r="O97" s="360">
        <f t="shared" si="155"/>
        <v>0.32585812356979416</v>
      </c>
      <c r="P97" s="360">
        <f t="shared" si="155"/>
        <v>0.36022677714784135</v>
      </c>
      <c r="Q97" s="360">
        <f t="shared" si="155"/>
        <v>9.6426043878273138E-2</v>
      </c>
      <c r="R97" s="463">
        <f t="shared" si="155"/>
        <v>0.29430690369724077</v>
      </c>
      <c r="S97" s="360">
        <f t="shared" si="155"/>
        <v>0.10388666908826738</v>
      </c>
      <c r="T97" s="360">
        <f t="shared" si="155"/>
        <v>1.0700724887815038E-2</v>
      </c>
      <c r="U97" s="360">
        <f t="shared" si="155"/>
        <v>-6.6046809874959922E-2</v>
      </c>
      <c r="V97" s="360">
        <f t="shared" si="155"/>
        <v>0.11812167177666621</v>
      </c>
      <c r="W97" s="463">
        <f t="shared" si="155"/>
        <v>4.0193806614704064E-2</v>
      </c>
      <c r="X97" s="360">
        <f t="shared" si="155"/>
        <v>6.433037183283985E-2</v>
      </c>
      <c r="Y97" s="360">
        <f t="shared" si="155"/>
        <v>4.2691256830601043E-2</v>
      </c>
      <c r="Z97" s="360">
        <f t="shared" si="155"/>
        <v>5.784414692756612E-2</v>
      </c>
      <c r="AA97" s="360">
        <f t="shared" si="155"/>
        <v>0.12858998412469336</v>
      </c>
      <c r="AB97" s="463">
        <f t="shared" si="155"/>
        <v>7.5701729515168736E-2</v>
      </c>
      <c r="AC97" s="360">
        <f t="shared" si="155"/>
        <v>0.11902921626217333</v>
      </c>
      <c r="AD97" s="360">
        <f t="shared" si="155"/>
        <v>0.29233540779561085</v>
      </c>
      <c r="AE97" s="360">
        <f t="shared" si="155"/>
        <v>0.35323705987343823</v>
      </c>
      <c r="AF97" s="360">
        <f t="shared" si="155"/>
        <v>0.20843989769820981</v>
      </c>
      <c r="AG97" s="463">
        <f t="shared" si="155"/>
        <v>0.23955117102191426</v>
      </c>
      <c r="AH97" s="360">
        <f t="shared" ref="AH97:BP97" si="156">+AH95/AC95-1</f>
        <v>0.26481558226274338</v>
      </c>
      <c r="AI97" s="360">
        <f t="shared" si="156"/>
        <v>9.0736281840070987E-2</v>
      </c>
      <c r="AJ97" s="360">
        <f t="shared" si="156"/>
        <v>0.14712230215827349</v>
      </c>
      <c r="AK97" s="360">
        <f t="shared" si="156"/>
        <v>0.11661375661375661</v>
      </c>
      <c r="AL97" s="463">
        <f t="shared" si="156"/>
        <v>0.15072904009720545</v>
      </c>
      <c r="AM97" s="360">
        <f t="shared" si="156"/>
        <v>1.34338138925294E-2</v>
      </c>
      <c r="AN97" s="360">
        <f t="shared" si="156"/>
        <v>0.13686534216335544</v>
      </c>
      <c r="AO97" s="360">
        <f t="shared" si="156"/>
        <v>0.23978258597261415</v>
      </c>
      <c r="AP97" s="360">
        <f t="shared" si="156"/>
        <v>0.30837755875663375</v>
      </c>
      <c r="AQ97" s="463">
        <f t="shared" si="156"/>
        <v>0.18079826830684764</v>
      </c>
      <c r="AR97" s="360">
        <f t="shared" si="156"/>
        <v>0.52731975428386679</v>
      </c>
      <c r="AS97" s="360">
        <f t="shared" si="156"/>
        <v>0.37087378640776691</v>
      </c>
      <c r="AT97" s="360">
        <f t="shared" si="156"/>
        <v>0.14551892757777596</v>
      </c>
      <c r="AU97" s="360">
        <f t="shared" si="156"/>
        <v>5.2006374040272307E-2</v>
      </c>
      <c r="AV97" s="463">
        <f t="shared" si="156"/>
        <v>0.24515436721736594</v>
      </c>
      <c r="AW97" s="360">
        <f t="shared" si="156"/>
        <v>9.0953993790573007E-2</v>
      </c>
      <c r="AX97" s="360">
        <f t="shared" si="156"/>
        <v>2.5272103772178367E-2</v>
      </c>
      <c r="AY97" s="360">
        <f t="shared" si="156"/>
        <v>-0.10966364907632298</v>
      </c>
      <c r="AZ97" s="360">
        <f t="shared" si="156"/>
        <v>-0.16958138253924537</v>
      </c>
      <c r="BA97" s="463">
        <f t="shared" si="156"/>
        <v>-4.1743720487638525E-2</v>
      </c>
      <c r="BB97" s="360">
        <f t="shared" si="156"/>
        <v>-0.21867925748657913</v>
      </c>
      <c r="BC97" s="360">
        <f t="shared" si="156"/>
        <v>1.177924816403686E-2</v>
      </c>
      <c r="BD97" s="360">
        <f t="shared" si="156"/>
        <v>7.6299909068364036E-2</v>
      </c>
      <c r="BE97" s="360">
        <f t="shared" si="156"/>
        <v>0.39092944200315061</v>
      </c>
      <c r="BF97" s="463">
        <f t="shared" si="156"/>
        <v>4.5323390541857078E-2</v>
      </c>
      <c r="BG97" s="360">
        <f t="shared" si="156"/>
        <v>0.33261589403973502</v>
      </c>
      <c r="BH97" s="360">
        <f t="shared" si="156"/>
        <v>-1.7750628817822522E-2</v>
      </c>
      <c r="BI97" s="360">
        <f t="shared" si="156"/>
        <v>4.1705069124424066E-2</v>
      </c>
      <c r="BJ97" s="360">
        <f t="shared" si="156"/>
        <v>-0.17548879351454461</v>
      </c>
      <c r="BK97" s="463">
        <f t="shared" si="156"/>
        <v>2.4555931960352106E-2</v>
      </c>
      <c r="BL97" s="360">
        <f t="shared" si="156"/>
        <v>-0.12357808423406635</v>
      </c>
      <c r="BM97" s="360">
        <f t="shared" si="156"/>
        <v>-2.9695522388059836E-2</v>
      </c>
      <c r="BN97" s="360">
        <f t="shared" si="156"/>
        <v>-4.1740089360761012E-2</v>
      </c>
      <c r="BO97" s="360">
        <f t="shared" si="156"/>
        <v>-3.2187280000000151E-2</v>
      </c>
      <c r="BP97" s="463">
        <f t="shared" si="156"/>
        <v>-5.9596117789401992E-2</v>
      </c>
      <c r="BQ97" s="360">
        <f t="shared" ref="BQ97" si="157">+BQ95/BL95-1</f>
        <v>-6.0652360000000183E-2</v>
      </c>
      <c r="BR97" s="360">
        <f t="shared" ref="BR97" si="158">+BR95/BM95-1</f>
        <v>1.9292120000000024E-2</v>
      </c>
      <c r="BS97" s="360">
        <f t="shared" ref="BS97" si="159">+BS95/BN95-1</f>
        <v>2.9693060000000049E-2</v>
      </c>
      <c r="BT97" s="360">
        <f t="shared" ref="BT97" si="160">+BT95/BO95-1</f>
        <v>2.9693060000000049E-2</v>
      </c>
      <c r="BU97" s="463">
        <f t="shared" ref="BU97" si="161">+BU95/BP95-1</f>
        <v>3.4144884589437652E-3</v>
      </c>
    </row>
    <row r="98" spans="2:73" s="3" customFormat="1" ht="13.35" hidden="1" customHeight="1" outlineLevel="1">
      <c r="B98" s="224" t="s">
        <v>245</v>
      </c>
      <c r="C98" s="326"/>
      <c r="D98" s="357"/>
      <c r="E98" s="358">
        <f>+E95/D95-1</f>
        <v>0.16780409474106794</v>
      </c>
      <c r="F98" s="358">
        <f>+F95/E95-1</f>
        <v>7.8033688552767266E-2</v>
      </c>
      <c r="G98" s="358">
        <f>+G95/F95-1</f>
        <v>1.4030612244897878E-2</v>
      </c>
      <c r="H98" s="442"/>
      <c r="I98" s="358">
        <f>+I95/G95-1</f>
        <v>0.17295597484276737</v>
      </c>
      <c r="J98" s="358">
        <f>+J95/I95-1</f>
        <v>0.17158176943699721</v>
      </c>
      <c r="K98" s="358">
        <f>+K95/J95-1</f>
        <v>4.9427917620137318E-2</v>
      </c>
      <c r="L98" s="358">
        <f>+L95/K95-1</f>
        <v>0.2324465765372874</v>
      </c>
      <c r="M98" s="442"/>
      <c r="N98" s="358">
        <f>+N95/L95-1</f>
        <v>-2.5831564048124589E-2</v>
      </c>
      <c r="O98" s="358">
        <f>+O95/N95-1</f>
        <v>5.2306574645840875E-2</v>
      </c>
      <c r="P98" s="358">
        <f>+P95/O95-1</f>
        <v>7.6630997583707394E-2</v>
      </c>
      <c r="Q98" s="358">
        <f>+Q95/P95-1</f>
        <v>-6.5726194293043161E-3</v>
      </c>
      <c r="R98" s="442"/>
      <c r="S98" s="358">
        <f>+S95/Q95-1</f>
        <v>-1.9202840083911599E-2</v>
      </c>
      <c r="T98" s="358">
        <f>+T95/S95-1</f>
        <v>-3.6525172754195423E-2</v>
      </c>
      <c r="U98" s="358">
        <f>+U95/T95-1</f>
        <v>-5.1229508196721785E-3</v>
      </c>
      <c r="V98" s="358">
        <f>+V95/U95-1</f>
        <v>0.18932372124957086</v>
      </c>
      <c r="W98" s="442"/>
      <c r="X98" s="358">
        <f>+X95/V95-1</f>
        <v>-6.6387646124981936E-2</v>
      </c>
      <c r="Y98" s="358">
        <f>+Y95/X95-1</f>
        <v>-5.6113773380738863E-2</v>
      </c>
      <c r="Z98" s="358">
        <f>+Z95/Y95-1</f>
        <v>9.3350802489353679E-3</v>
      </c>
      <c r="AA98" s="358">
        <f>+AA95/Z95-1</f>
        <v>0.26886256693168908</v>
      </c>
      <c r="AB98" s="442"/>
      <c r="AC98" s="358">
        <f>+AC95/AA95-1</f>
        <v>-7.429667519181582E-2</v>
      </c>
      <c r="AD98" s="358">
        <f>+AD95/AC95-1</f>
        <v>9.0067688907307542E-2</v>
      </c>
      <c r="AE98" s="358">
        <f>+AE95/AD95-1</f>
        <v>5.6900266125966326E-2</v>
      </c>
      <c r="AF98" s="358">
        <f>+AF95/AE95-1</f>
        <v>0.13309352517985618</v>
      </c>
      <c r="AG98" s="441"/>
      <c r="AH98" s="358">
        <f>+AH95/AF95-1</f>
        <v>-3.1111111111111089E-2</v>
      </c>
      <c r="AI98" s="358">
        <f>+AI95/AH95-1</f>
        <v>-5.9960681520314529E-2</v>
      </c>
      <c r="AJ98" s="358">
        <f>+AJ95/AI95-1</f>
        <v>0.11153712094806556</v>
      </c>
      <c r="AK98" s="358">
        <f>+AK95/AJ95-1</f>
        <v>0.10295808508414339</v>
      </c>
      <c r="AL98" s="441"/>
      <c r="AM98" s="358">
        <f>+AM95/AK95-1</f>
        <v>-0.12064063684609549</v>
      </c>
      <c r="AN98" s="358">
        <f>+AN95/AM95-1</f>
        <v>5.4531738333872148E-2</v>
      </c>
      <c r="AO98" s="358">
        <f>+AO95/AN95-1</f>
        <v>0.21216147164026578</v>
      </c>
      <c r="AP98" s="358">
        <f>+AP95/AO95-1</f>
        <v>0.16398280077565119</v>
      </c>
      <c r="AQ98" s="441"/>
      <c r="AR98" s="358">
        <f>+AR95/AP95-1</f>
        <v>2.6510212950890955E-2</v>
      </c>
      <c r="AS98" s="358">
        <f>+AS95/AR95-1</f>
        <v>-5.3485746542478174E-2</v>
      </c>
      <c r="AT98" s="358">
        <f>+AT95/AS95-1</f>
        <v>1.2896973311465665E-2</v>
      </c>
      <c r="AU98" s="358">
        <f>+AU95/AT95-1</f>
        <v>6.8962979318466289E-2</v>
      </c>
      <c r="AV98" s="441"/>
      <c r="AW98" s="358">
        <f>+AW95/AU95-1</f>
        <v>6.4513908014321109E-2</v>
      </c>
      <c r="AX98" s="358">
        <f>+AX95/AW95-1</f>
        <v>-0.11047150895802338</v>
      </c>
      <c r="AY98" s="358">
        <f>+AY95/AX95-1</f>
        <v>-0.12041009234348865</v>
      </c>
      <c r="AZ98" s="358">
        <f>+AZ95/AY95-1</f>
        <v>-2.9759444490369269E-3</v>
      </c>
      <c r="BA98" s="441"/>
      <c r="BB98" s="358">
        <f>+BB95/AZ95-1</f>
        <v>1.5753254290689078E-3</v>
      </c>
      <c r="BC98" s="358">
        <f>+BC95/BB95-1</f>
        <v>0.15190397350993368</v>
      </c>
      <c r="BD98" s="358">
        <f>+BD95/BC95-1</f>
        <v>-6.4319080129356831E-2</v>
      </c>
      <c r="BE98" s="358">
        <f>+BE95/BD95-1</f>
        <v>0.28847926267281099</v>
      </c>
      <c r="BF98" s="441"/>
      <c r="BG98" s="358">
        <f>+BG95/BE95-1</f>
        <v>-4.0414878397710963E-2</v>
      </c>
      <c r="BH98" s="358">
        <f>+BH95/BG95-1</f>
        <v>-0.15095042862467389</v>
      </c>
      <c r="BI98" s="358">
        <f>+BI95/BH95-1</f>
        <v>-7.6821773485513667E-3</v>
      </c>
      <c r="BJ98" s="358">
        <f>+BJ95/BI95-1</f>
        <v>1.9833370198333755E-2</v>
      </c>
      <c r="BK98" s="441"/>
      <c r="BL98" s="362">
        <v>0.02</v>
      </c>
      <c r="BM98" s="362">
        <v>-0.06</v>
      </c>
      <c r="BN98" s="362">
        <v>-0.02</v>
      </c>
      <c r="BO98" s="362">
        <v>0.03</v>
      </c>
      <c r="BP98" s="441"/>
      <c r="BQ98" s="362">
        <v>-0.01</v>
      </c>
      <c r="BR98" s="362">
        <v>0.02</v>
      </c>
      <c r="BS98" s="362">
        <v>-0.01</v>
      </c>
      <c r="BT98" s="362">
        <v>0.03</v>
      </c>
      <c r="BU98" s="441"/>
    </row>
    <row r="99" spans="2:73" ht="3.6" customHeight="1" collapsed="1">
      <c r="B99" s="276"/>
      <c r="C99" s="299"/>
      <c r="D99" s="273" t="s">
        <v>1</v>
      </c>
      <c r="E99" s="273" t="s">
        <v>1</v>
      </c>
      <c r="F99" s="273" t="s">
        <v>1</v>
      </c>
      <c r="G99" s="273" t="s">
        <v>1</v>
      </c>
      <c r="H99" s="453" t="s">
        <v>1</v>
      </c>
      <c r="I99" s="273" t="s">
        <v>1</v>
      </c>
      <c r="J99" s="273" t="s">
        <v>1</v>
      </c>
      <c r="K99" s="273" t="s">
        <v>1</v>
      </c>
      <c r="L99" s="273" t="s">
        <v>1</v>
      </c>
      <c r="M99" s="453" t="s">
        <v>1</v>
      </c>
      <c r="N99" s="273" t="s">
        <v>1</v>
      </c>
      <c r="O99" s="273" t="s">
        <v>1</v>
      </c>
      <c r="P99" s="273" t="s">
        <v>1</v>
      </c>
      <c r="Q99" s="273" t="s">
        <v>1</v>
      </c>
      <c r="R99" s="453" t="s">
        <v>1</v>
      </c>
      <c r="S99" s="273" t="s">
        <v>1</v>
      </c>
      <c r="T99" s="273" t="s">
        <v>1</v>
      </c>
      <c r="U99" s="273" t="s">
        <v>1</v>
      </c>
      <c r="V99" s="273" t="s">
        <v>1</v>
      </c>
      <c r="W99" s="453" t="s">
        <v>1</v>
      </c>
      <c r="X99" s="273" t="s">
        <v>1</v>
      </c>
      <c r="Y99" s="273" t="s">
        <v>1</v>
      </c>
      <c r="Z99" s="273" t="s">
        <v>1</v>
      </c>
      <c r="AA99" s="273" t="s">
        <v>1</v>
      </c>
      <c r="AB99" s="453" t="s">
        <v>1</v>
      </c>
      <c r="AC99" s="273" t="s">
        <v>1</v>
      </c>
      <c r="AD99" s="273" t="s">
        <v>1</v>
      </c>
      <c r="AE99" s="273" t="s">
        <v>1</v>
      </c>
      <c r="AF99" s="273" t="s">
        <v>1</v>
      </c>
      <c r="AG99" s="453" t="s">
        <v>1</v>
      </c>
      <c r="AH99" s="273" t="s">
        <v>1</v>
      </c>
      <c r="AI99" s="273" t="s">
        <v>1</v>
      </c>
      <c r="AJ99" s="273" t="s">
        <v>1</v>
      </c>
      <c r="AK99" s="273" t="s">
        <v>1</v>
      </c>
      <c r="AL99" s="453" t="s">
        <v>1</v>
      </c>
      <c r="AM99" s="273" t="s">
        <v>1</v>
      </c>
      <c r="AN99" s="273" t="s">
        <v>1</v>
      </c>
      <c r="AO99" s="273" t="s">
        <v>1</v>
      </c>
      <c r="AP99" s="273" t="s">
        <v>1</v>
      </c>
      <c r="AQ99" s="453" t="s">
        <v>1</v>
      </c>
      <c r="AR99" s="273" t="s">
        <v>1</v>
      </c>
      <c r="AS99" s="273" t="s">
        <v>1</v>
      </c>
      <c r="AT99" s="273" t="s">
        <v>1</v>
      </c>
      <c r="AU99" s="273" t="s">
        <v>1</v>
      </c>
      <c r="AV99" s="453" t="s">
        <v>1</v>
      </c>
      <c r="AW99" s="273" t="s">
        <v>1</v>
      </c>
      <c r="AX99" s="273" t="s">
        <v>1</v>
      </c>
      <c r="AY99" s="273" t="s">
        <v>1</v>
      </c>
      <c r="AZ99" s="273" t="s">
        <v>1</v>
      </c>
      <c r="BA99" s="453" t="s">
        <v>1</v>
      </c>
      <c r="BB99" s="273" t="s">
        <v>1</v>
      </c>
      <c r="BC99" s="273" t="s">
        <v>1</v>
      </c>
      <c r="BD99" s="273" t="s">
        <v>1</v>
      </c>
      <c r="BE99" s="273" t="s">
        <v>1</v>
      </c>
      <c r="BF99" s="453" t="s">
        <v>1</v>
      </c>
      <c r="BG99" s="273" t="s">
        <v>1</v>
      </c>
      <c r="BH99" s="273" t="s">
        <v>1</v>
      </c>
      <c r="BI99" s="273" t="s">
        <v>1</v>
      </c>
      <c r="BJ99" s="273" t="s">
        <v>1</v>
      </c>
      <c r="BK99" s="453" t="s">
        <v>1</v>
      </c>
      <c r="BL99" s="273" t="s">
        <v>1</v>
      </c>
      <c r="BM99" s="273" t="s">
        <v>1</v>
      </c>
      <c r="BN99" s="273" t="s">
        <v>1</v>
      </c>
      <c r="BO99" s="273" t="s">
        <v>1</v>
      </c>
      <c r="BP99" s="453" t="s">
        <v>1</v>
      </c>
      <c r="BQ99" s="273" t="s">
        <v>1</v>
      </c>
      <c r="BR99" s="273" t="s">
        <v>1</v>
      </c>
      <c r="BS99" s="273" t="s">
        <v>1</v>
      </c>
      <c r="BT99" s="273" t="s">
        <v>1</v>
      </c>
      <c r="BU99" s="453" t="s">
        <v>1</v>
      </c>
    </row>
    <row r="100" spans="2:73" ht="13.15">
      <c r="B100" s="278" t="s">
        <v>7</v>
      </c>
      <c r="C100" s="300"/>
      <c r="D100" s="207">
        <f t="shared" ref="D100:AQ100" si="162">D85+D95+D90</f>
        <v>18947</v>
      </c>
      <c r="E100" s="207">
        <f t="shared" si="162"/>
        <v>20479</v>
      </c>
      <c r="F100" s="207">
        <f t="shared" si="162"/>
        <v>21621</v>
      </c>
      <c r="G100" s="207">
        <f t="shared" si="162"/>
        <v>24259</v>
      </c>
      <c r="H100" s="454">
        <f t="shared" si="162"/>
        <v>85306</v>
      </c>
      <c r="I100" s="207">
        <f t="shared" si="162"/>
        <v>23115</v>
      </c>
      <c r="J100" s="207">
        <f t="shared" si="162"/>
        <v>26497</v>
      </c>
      <c r="K100" s="207">
        <f t="shared" si="162"/>
        <v>29388</v>
      </c>
      <c r="L100" s="207">
        <f t="shared" si="162"/>
        <v>36790</v>
      </c>
      <c r="M100" s="454">
        <f t="shared" si="162"/>
        <v>115790</v>
      </c>
      <c r="N100" s="207">
        <f t="shared" si="162"/>
        <v>36184</v>
      </c>
      <c r="O100" s="207">
        <f t="shared" si="162"/>
        <v>37619</v>
      </c>
      <c r="P100" s="207">
        <f t="shared" si="162"/>
        <v>36172</v>
      </c>
      <c r="Q100" s="207">
        <f t="shared" si="162"/>
        <v>39424</v>
      </c>
      <c r="R100" s="454">
        <f t="shared" si="162"/>
        <v>149399</v>
      </c>
      <c r="S100" s="207">
        <f t="shared" si="162"/>
        <v>39327</v>
      </c>
      <c r="T100" s="207">
        <f t="shared" si="162"/>
        <v>41274</v>
      </c>
      <c r="U100" s="207">
        <f t="shared" si="162"/>
        <v>44085</v>
      </c>
      <c r="V100" s="207">
        <f t="shared" si="162"/>
        <v>49341</v>
      </c>
      <c r="W100" s="454">
        <f t="shared" si="162"/>
        <v>174027</v>
      </c>
      <c r="X100" s="207">
        <f t="shared" si="162"/>
        <v>48075</v>
      </c>
      <c r="Y100" s="207">
        <f t="shared" si="162"/>
        <v>48402</v>
      </c>
      <c r="Z100" s="207">
        <f t="shared" si="162"/>
        <v>48756</v>
      </c>
      <c r="AA100" s="207">
        <f t="shared" si="162"/>
        <v>53833</v>
      </c>
      <c r="AB100" s="454">
        <f t="shared" si="162"/>
        <v>199066</v>
      </c>
      <c r="AC100" s="207">
        <f t="shared" si="162"/>
        <v>54566</v>
      </c>
      <c r="AD100" s="207">
        <f t="shared" si="162"/>
        <v>58658</v>
      </c>
      <c r="AE100" s="207">
        <f t="shared" si="162"/>
        <v>61323</v>
      </c>
      <c r="AF100" s="207">
        <f t="shared" si="162"/>
        <v>67769</v>
      </c>
      <c r="AG100" s="454">
        <f t="shared" si="162"/>
        <v>242316</v>
      </c>
      <c r="AH100" s="207">
        <f t="shared" si="162"/>
        <v>73148</v>
      </c>
      <c r="AI100" s="207">
        <f t="shared" si="162"/>
        <v>68872</v>
      </c>
      <c r="AJ100" s="207">
        <f t="shared" si="162"/>
        <v>75169</v>
      </c>
      <c r="AK100" s="207">
        <f t="shared" si="162"/>
        <v>83746</v>
      </c>
      <c r="AL100" s="454">
        <f t="shared" si="162"/>
        <v>300935</v>
      </c>
      <c r="AM100" s="207">
        <f t="shared" si="162"/>
        <v>83551</v>
      </c>
      <c r="AN100" s="207">
        <f t="shared" si="162"/>
        <v>85775</v>
      </c>
      <c r="AO100" s="207">
        <f t="shared" si="162"/>
        <v>97105</v>
      </c>
      <c r="AP100" s="207">
        <f t="shared" si="162"/>
        <v>114291</v>
      </c>
      <c r="AQ100" s="454">
        <f t="shared" si="162"/>
        <v>380722</v>
      </c>
      <c r="AR100" s="207">
        <f t="shared" ref="AR100:BP100" si="163">AR85+AR95+AR90</f>
        <v>118648</v>
      </c>
      <c r="AS100" s="207">
        <f t="shared" si="163"/>
        <v>117316</v>
      </c>
      <c r="AT100" s="207">
        <f t="shared" si="163"/>
        <v>116045</v>
      </c>
      <c r="AU100" s="207">
        <f t="shared" si="163"/>
        <v>117200</v>
      </c>
      <c r="AV100" s="454">
        <f t="shared" si="163"/>
        <v>469209</v>
      </c>
      <c r="AW100" s="207">
        <f t="shared" si="163"/>
        <v>123394</v>
      </c>
      <c r="AX100" s="207">
        <f t="shared" si="163"/>
        <v>127128</v>
      </c>
      <c r="AY100" s="207">
        <f t="shared" si="163"/>
        <v>111542</v>
      </c>
      <c r="AZ100" s="207">
        <f t="shared" si="163"/>
        <v>110767</v>
      </c>
      <c r="BA100" s="454">
        <f t="shared" si="163"/>
        <v>472831</v>
      </c>
      <c r="BB100" s="207">
        <f t="shared" si="163"/>
        <v>110810</v>
      </c>
      <c r="BC100" s="207">
        <f t="shared" si="163"/>
        <v>115005</v>
      </c>
      <c r="BD100" s="207">
        <f t="shared" si="163"/>
        <v>115096</v>
      </c>
      <c r="BE100" s="207">
        <f t="shared" si="163"/>
        <v>117907</v>
      </c>
      <c r="BF100" s="454">
        <f t="shared" si="163"/>
        <v>458818</v>
      </c>
      <c r="BG100" s="207">
        <f t="shared" si="163"/>
        <v>125107</v>
      </c>
      <c r="BH100" s="207">
        <f t="shared" si="163"/>
        <v>121789</v>
      </c>
      <c r="BI100" s="207">
        <f t="shared" ref="BI100" si="164">BI85+BI95+BI90</f>
        <v>122951</v>
      </c>
      <c r="BJ100" s="207">
        <f t="shared" si="163"/>
        <v>126509</v>
      </c>
      <c r="BK100" s="454">
        <f t="shared" si="163"/>
        <v>496356</v>
      </c>
      <c r="BL100" s="207">
        <f t="shared" si="163"/>
        <v>133939.35</v>
      </c>
      <c r="BM100" s="207">
        <f t="shared" si="163"/>
        <v>126260.08350000001</v>
      </c>
      <c r="BN100" s="207">
        <f t="shared" si="163"/>
        <v>122604.90221099999</v>
      </c>
      <c r="BO100" s="207">
        <f t="shared" si="163"/>
        <v>121898.72835560999</v>
      </c>
      <c r="BP100" s="454">
        <f t="shared" si="163"/>
        <v>504703.06406661001</v>
      </c>
      <c r="BQ100" s="207">
        <f t="shared" ref="BQ100:BU100" si="165">BQ85+BQ95+BQ90</f>
        <v>127566.0922946058</v>
      </c>
      <c r="BR100" s="207">
        <f t="shared" si="165"/>
        <v>128229.32338138355</v>
      </c>
      <c r="BS100" s="207">
        <f t="shared" si="165"/>
        <v>127006.38005523695</v>
      </c>
      <c r="BT100" s="207">
        <f t="shared" si="165"/>
        <v>127083.98011584126</v>
      </c>
      <c r="BU100" s="454">
        <f t="shared" si="165"/>
        <v>509885.77584706759</v>
      </c>
    </row>
    <row r="101" spans="2:73" ht="12.75">
      <c r="B101" s="272" t="s">
        <v>6</v>
      </c>
      <c r="C101" s="298"/>
      <c r="D101" s="279">
        <f t="shared" ref="D101:AG101" si="166">D100/D$52</f>
        <v>1.1321104206500956</v>
      </c>
      <c r="E101" s="279">
        <f t="shared" si="166"/>
        <v>1.1453579418344519</v>
      </c>
      <c r="F101" s="279">
        <f t="shared" si="166"/>
        <v>1.0635545280141669</v>
      </c>
      <c r="G101" s="279">
        <f t="shared" si="166"/>
        <v>1.1059493959425575</v>
      </c>
      <c r="H101" s="455">
        <f t="shared" si="166"/>
        <v>1.1095993756503642</v>
      </c>
      <c r="I101" s="279">
        <f t="shared" si="166"/>
        <v>0.98065419371261298</v>
      </c>
      <c r="J101" s="279">
        <f t="shared" si="166"/>
        <v>1.0274137262504848</v>
      </c>
      <c r="K101" s="279">
        <f t="shared" si="166"/>
        <v>1.0380050861825374</v>
      </c>
      <c r="L101" s="279">
        <f t="shared" si="166"/>
        <v>1.1198368489940036</v>
      </c>
      <c r="M101" s="455">
        <f t="shared" si="166"/>
        <v>1.047626802743246</v>
      </c>
      <c r="N101" s="279">
        <f t="shared" si="166"/>
        <v>1.0398896424876423</v>
      </c>
      <c r="O101" s="279">
        <f t="shared" si="166"/>
        <v>1.0094182676827306</v>
      </c>
      <c r="P101" s="279">
        <f t="shared" si="166"/>
        <v>0.89670046357123379</v>
      </c>
      <c r="Q101" s="279">
        <f t="shared" si="166"/>
        <v>0.87542745481191986</v>
      </c>
      <c r="R101" s="455">
        <f t="shared" si="166"/>
        <v>0.9489446572279705</v>
      </c>
      <c r="S101" s="279">
        <f t="shared" si="166"/>
        <v>0.86920101668692673</v>
      </c>
      <c r="T101" s="279">
        <f t="shared" si="166"/>
        <v>0.86997028012562438</v>
      </c>
      <c r="U101" s="279">
        <f t="shared" si="166"/>
        <v>0.87260743057342494</v>
      </c>
      <c r="V101" s="279">
        <f t="shared" si="166"/>
        <v>0.85467080078294155</v>
      </c>
      <c r="W101" s="455">
        <f t="shared" si="166"/>
        <v>0.86606449686473574</v>
      </c>
      <c r="X101" s="279">
        <f t="shared" si="166"/>
        <v>0.88186737595157294</v>
      </c>
      <c r="Y101" s="279">
        <f t="shared" si="166"/>
        <v>0.82821991410140139</v>
      </c>
      <c r="Z101" s="279">
        <f t="shared" si="166"/>
        <v>0.78178465485448567</v>
      </c>
      <c r="AA101" s="279">
        <f t="shared" si="166"/>
        <v>0.78279773156899812</v>
      </c>
      <c r="AB101" s="455">
        <f t="shared" si="166"/>
        <v>0.81554010594409465</v>
      </c>
      <c r="AC101" s="279">
        <f t="shared" si="166"/>
        <v>0.74558994329439088</v>
      </c>
      <c r="AD101" s="279">
        <f t="shared" si="166"/>
        <v>0.74289188059625877</v>
      </c>
      <c r="AE101" s="279">
        <f t="shared" si="166"/>
        <v>0.73745415188503394</v>
      </c>
      <c r="AF101" s="279">
        <f t="shared" si="166"/>
        <v>0.7394487604748603</v>
      </c>
      <c r="AG101" s="455">
        <f t="shared" si="166"/>
        <v>0.74114764778389153</v>
      </c>
      <c r="AH101" s="279">
        <f t="shared" ref="AH101:BP101" si="167">AH100/AH$52</f>
        <v>0.77536569853720583</v>
      </c>
      <c r="AI101" s="279">
        <f t="shared" si="167"/>
        <v>0.69629569718537687</v>
      </c>
      <c r="AJ101" s="279">
        <f t="shared" si="167"/>
        <v>0.71538424934570544</v>
      </c>
      <c r="AK101" s="279">
        <f t="shared" si="167"/>
        <v>0.74007370160570529</v>
      </c>
      <c r="AL101" s="455">
        <f t="shared" si="167"/>
        <v>0.73133715363341645</v>
      </c>
      <c r="AM101" s="279">
        <f t="shared" si="167"/>
        <v>0.7113689964325548</v>
      </c>
      <c r="AN101" s="279">
        <f t="shared" si="167"/>
        <v>0.67848696023603672</v>
      </c>
      <c r="AO101" s="279">
        <f t="shared" si="167"/>
        <v>0.6941327004732154</v>
      </c>
      <c r="AP101" s="279">
        <f t="shared" si="167"/>
        <v>0.75370949234360785</v>
      </c>
      <c r="AQ101" s="455">
        <f t="shared" si="167"/>
        <v>0.71109293169270305</v>
      </c>
      <c r="AR101" s="279">
        <f t="shared" si="167"/>
        <v>0.75387587048238702</v>
      </c>
      <c r="AS101" s="279">
        <f t="shared" si="167"/>
        <v>0.70058224597653096</v>
      </c>
      <c r="AT101" s="279">
        <f t="shared" si="167"/>
        <v>0.66022814553523168</v>
      </c>
      <c r="AU101" s="279">
        <f t="shared" si="167"/>
        <v>0.63530266317575446</v>
      </c>
      <c r="AV101" s="455">
        <f t="shared" si="167"/>
        <v>0.68489365522133816</v>
      </c>
      <c r="AW101" s="279">
        <f t="shared" si="167"/>
        <v>0.67364363938113492</v>
      </c>
      <c r="AX101" s="279">
        <f t="shared" si="167"/>
        <v>0.667611935595677</v>
      </c>
      <c r="AY101" s="279">
        <f t="shared" si="167"/>
        <v>0.56095512540044157</v>
      </c>
      <c r="AZ101" s="279">
        <f t="shared" si="167"/>
        <v>0.53962137303427715</v>
      </c>
      <c r="BA101" s="455">
        <f t="shared" si="167"/>
        <v>0.6079808976902612</v>
      </c>
      <c r="BB101" s="279">
        <f t="shared" si="167"/>
        <v>0.54027040336224597</v>
      </c>
      <c r="BC101" s="279">
        <f t="shared" si="167"/>
        <v>0.55293257881350633</v>
      </c>
      <c r="BD101" s="279">
        <f t="shared" si="167"/>
        <v>0.53619312940825703</v>
      </c>
      <c r="BE101" s="279">
        <f t="shared" si="167"/>
        <v>0.54520694901068611</v>
      </c>
      <c r="BF101" s="455">
        <f t="shared" si="167"/>
        <v>0.54361871406279805</v>
      </c>
      <c r="BG101" s="279">
        <f t="shared" si="167"/>
        <v>0.59503074866946015</v>
      </c>
      <c r="BH101" s="279">
        <f t="shared" si="167"/>
        <v>0.56859467863095436</v>
      </c>
      <c r="BI101" s="279">
        <f t="shared" ref="BI101" si="168">BI100/BI$52</f>
        <v>0.5640989172325197</v>
      </c>
      <c r="BJ101" s="279">
        <f t="shared" si="167"/>
        <v>0.58195024564373377</v>
      </c>
      <c r="BK101" s="455">
        <f t="shared" si="167"/>
        <v>0.57729642216623978</v>
      </c>
      <c r="BL101" s="279">
        <f t="shared" si="167"/>
        <v>0.6440329235421165</v>
      </c>
      <c r="BM101" s="279">
        <f t="shared" si="167"/>
        <v>0.60430670186505986</v>
      </c>
      <c r="BN101" s="279">
        <f t="shared" si="167"/>
        <v>0.58314115119161025</v>
      </c>
      <c r="BO101" s="279">
        <f t="shared" si="167"/>
        <v>0.57574986347930923</v>
      </c>
      <c r="BP101" s="455">
        <f t="shared" si="167"/>
        <v>0.60164326537510915</v>
      </c>
      <c r="BQ101" s="279">
        <f t="shared" ref="BQ101:BU101" si="169">BQ100/BQ$52</f>
        <v>0.60308495366843973</v>
      </c>
      <c r="BR101" s="279">
        <f t="shared" si="169"/>
        <v>0.60339630605497052</v>
      </c>
      <c r="BS101" s="279">
        <f t="shared" si="169"/>
        <v>0.59436212394347421</v>
      </c>
      <c r="BT101" s="279">
        <f t="shared" si="169"/>
        <v>0.59068936043375708</v>
      </c>
      <c r="BU101" s="455">
        <f t="shared" si="169"/>
        <v>0.59785010115698678</v>
      </c>
    </row>
    <row r="102" spans="2:73" ht="3.6" customHeight="1">
      <c r="B102" s="272"/>
      <c r="C102" s="270"/>
      <c r="D102" s="273" t="s">
        <v>1</v>
      </c>
      <c r="E102" s="273" t="s">
        <v>1</v>
      </c>
      <c r="F102" s="273" t="s">
        <v>1</v>
      </c>
      <c r="G102" s="273" t="s">
        <v>1</v>
      </c>
      <c r="H102" s="453" t="s">
        <v>1</v>
      </c>
      <c r="I102" s="273" t="s">
        <v>1</v>
      </c>
      <c r="J102" s="273" t="s">
        <v>1</v>
      </c>
      <c r="K102" s="273" t="s">
        <v>1</v>
      </c>
      <c r="L102" s="273" t="s">
        <v>1</v>
      </c>
      <c r="M102" s="453" t="s">
        <v>1</v>
      </c>
      <c r="N102" s="273" t="s">
        <v>1</v>
      </c>
      <c r="O102" s="273" t="s">
        <v>1</v>
      </c>
      <c r="P102" s="273" t="s">
        <v>1</v>
      </c>
      <c r="Q102" s="273" t="s">
        <v>1</v>
      </c>
      <c r="R102" s="453" t="s">
        <v>1</v>
      </c>
      <c r="S102" s="273" t="s">
        <v>1</v>
      </c>
      <c r="T102" s="273" t="s">
        <v>1</v>
      </c>
      <c r="U102" s="273" t="s">
        <v>1</v>
      </c>
      <c r="V102" s="273" t="s">
        <v>1</v>
      </c>
      <c r="W102" s="453" t="s">
        <v>1</v>
      </c>
      <c r="X102" s="273" t="s">
        <v>1</v>
      </c>
      <c r="Y102" s="273" t="s">
        <v>1</v>
      </c>
      <c r="Z102" s="273" t="s">
        <v>1</v>
      </c>
      <c r="AA102" s="273" t="s">
        <v>1</v>
      </c>
      <c r="AB102" s="453" t="s">
        <v>1</v>
      </c>
      <c r="AC102" s="273" t="s">
        <v>1</v>
      </c>
      <c r="AD102" s="273" t="s">
        <v>1</v>
      </c>
      <c r="AE102" s="273" t="s">
        <v>1</v>
      </c>
      <c r="AF102" s="273" t="s">
        <v>1</v>
      </c>
      <c r="AG102" s="453" t="s">
        <v>1</v>
      </c>
      <c r="AH102" s="273" t="s">
        <v>1</v>
      </c>
      <c r="AI102" s="273" t="s">
        <v>1</v>
      </c>
      <c r="AJ102" s="273" t="s">
        <v>1</v>
      </c>
      <c r="AK102" s="273" t="s">
        <v>1</v>
      </c>
      <c r="AL102" s="453" t="s">
        <v>1</v>
      </c>
      <c r="AM102" s="273" t="s">
        <v>1</v>
      </c>
      <c r="AN102" s="273" t="s">
        <v>1</v>
      </c>
      <c r="AO102" s="273" t="s">
        <v>1</v>
      </c>
      <c r="AP102" s="273" t="s">
        <v>1</v>
      </c>
      <c r="AQ102" s="453" t="s">
        <v>1</v>
      </c>
      <c r="AR102" s="273" t="s">
        <v>1</v>
      </c>
      <c r="AS102" s="273" t="s">
        <v>1</v>
      </c>
      <c r="AT102" s="273" t="s">
        <v>1</v>
      </c>
      <c r="AU102" s="273" t="s">
        <v>1</v>
      </c>
      <c r="AV102" s="453" t="s">
        <v>1</v>
      </c>
      <c r="AW102" s="273" t="s">
        <v>1</v>
      </c>
      <c r="AX102" s="273" t="s">
        <v>1</v>
      </c>
      <c r="AY102" s="273" t="s">
        <v>1</v>
      </c>
      <c r="AZ102" s="273" t="s">
        <v>1</v>
      </c>
      <c r="BA102" s="453" t="s">
        <v>1</v>
      </c>
      <c r="BB102" s="273" t="s">
        <v>1</v>
      </c>
      <c r="BC102" s="273" t="s">
        <v>1</v>
      </c>
      <c r="BD102" s="273" t="s">
        <v>1</v>
      </c>
      <c r="BE102" s="273" t="s">
        <v>1</v>
      </c>
      <c r="BF102" s="453" t="s">
        <v>1</v>
      </c>
      <c r="BG102" s="273" t="s">
        <v>1</v>
      </c>
      <c r="BH102" s="273" t="s">
        <v>1</v>
      </c>
      <c r="BI102" s="273" t="s">
        <v>1</v>
      </c>
      <c r="BJ102" s="273" t="s">
        <v>1</v>
      </c>
      <c r="BK102" s="453" t="s">
        <v>1</v>
      </c>
      <c r="BL102" s="273" t="s">
        <v>1</v>
      </c>
      <c r="BM102" s="273" t="s">
        <v>1</v>
      </c>
      <c r="BN102" s="273" t="s">
        <v>1</v>
      </c>
      <c r="BO102" s="273" t="s">
        <v>1</v>
      </c>
      <c r="BP102" s="453" t="s">
        <v>1</v>
      </c>
      <c r="BQ102" s="273" t="s">
        <v>1</v>
      </c>
      <c r="BR102" s="273" t="s">
        <v>1</v>
      </c>
      <c r="BS102" s="273" t="s">
        <v>1</v>
      </c>
      <c r="BT102" s="273" t="s">
        <v>1</v>
      </c>
      <c r="BU102" s="453" t="s">
        <v>1</v>
      </c>
    </row>
    <row r="103" spans="2:73" ht="13.15">
      <c r="B103" s="278" t="s">
        <v>3</v>
      </c>
      <c r="C103" s="269"/>
      <c r="D103" s="207">
        <f>D76-D100</f>
        <v>-6069</v>
      </c>
      <c r="E103" s="207">
        <f>E76-E100</f>
        <v>-6545</v>
      </c>
      <c r="F103" s="207">
        <f>F76-F100</f>
        <v>-5948</v>
      </c>
      <c r="G103" s="207">
        <f>G76-G100</f>
        <v>-8072</v>
      </c>
      <c r="H103" s="454">
        <f>D103+E103+F103+G103</f>
        <v>-26634</v>
      </c>
      <c r="I103" s="207">
        <f>I76-I100</f>
        <v>-5784</v>
      </c>
      <c r="J103" s="207">
        <f>J76-J100</f>
        <v>-7106</v>
      </c>
      <c r="K103" s="207">
        <f>K76-K100</f>
        <v>-7752</v>
      </c>
      <c r="L103" s="207">
        <f>L76-L100</f>
        <v>-12122</v>
      </c>
      <c r="M103" s="454">
        <f>I103+J103+K103+L103</f>
        <v>-32764</v>
      </c>
      <c r="N103" s="207">
        <f>N76-N100</f>
        <v>-9517</v>
      </c>
      <c r="O103" s="207">
        <f>O76-O100</f>
        <v>-9057</v>
      </c>
      <c r="P103" s="207">
        <f>P76-P100</f>
        <v>-5258</v>
      </c>
      <c r="Q103" s="207">
        <f>Q76-Q100</f>
        <v>-5463</v>
      </c>
      <c r="R103" s="454">
        <f>N103+O103+P103+Q103</f>
        <v>-29295</v>
      </c>
      <c r="S103" s="207">
        <f>S76-S100</f>
        <v>-5705</v>
      </c>
      <c r="T103" s="207">
        <f>T76-T100</f>
        <v>-6163</v>
      </c>
      <c r="U103" s="207">
        <f>U76-U100</f>
        <v>-6773</v>
      </c>
      <c r="V103" s="207">
        <f>V76-V100</f>
        <v>-7632</v>
      </c>
      <c r="W103" s="454">
        <f>S103+T103+U103+V103</f>
        <v>-26273</v>
      </c>
      <c r="X103" s="207">
        <f>X76-X100</f>
        <v>-8872</v>
      </c>
      <c r="Y103" s="207">
        <f>Y76-Y100</f>
        <v>-5992</v>
      </c>
      <c r="Z103" s="207">
        <f>Z76-Z100</f>
        <v>-2822</v>
      </c>
      <c r="AA103" s="207">
        <f>AA76-AA100</f>
        <v>-2695</v>
      </c>
      <c r="AB103" s="454">
        <f>X103+Y103+Z103+AA103</f>
        <v>-20381</v>
      </c>
      <c r="AC103" s="207">
        <f>AC76-AC100</f>
        <v>577</v>
      </c>
      <c r="AD103" s="207">
        <f>AD76-AD100</f>
        <v>500</v>
      </c>
      <c r="AE103" s="207">
        <f>AE76-AE100</f>
        <v>542</v>
      </c>
      <c r="AF103" s="207">
        <f>AF76-AF100</f>
        <v>785</v>
      </c>
      <c r="AG103" s="454">
        <f>AC103+AD103+AE103+AF103</f>
        <v>2404</v>
      </c>
      <c r="AH103" s="207">
        <f>AH76-AH100</f>
        <v>-3933</v>
      </c>
      <c r="AI103" s="207">
        <f>AI76-AI100</f>
        <v>4265</v>
      </c>
      <c r="AJ103" s="207">
        <f>AJ76-AJ100</f>
        <v>2444</v>
      </c>
      <c r="AK103" s="207">
        <f>AK76-AK100</f>
        <v>-744</v>
      </c>
      <c r="AL103" s="454">
        <f>AH103+AI103+AJ103+AK103</f>
        <v>2032</v>
      </c>
      <c r="AM103" s="207">
        <f>AM76-AM100</f>
        <v>1906</v>
      </c>
      <c r="AN103" s="207">
        <f>AN76-AN100</f>
        <v>6070</v>
      </c>
      <c r="AO103" s="207">
        <f>AO76-AO100</f>
        <v>5733</v>
      </c>
      <c r="AP103" s="207">
        <f>AP76-AP100</f>
        <v>-6110</v>
      </c>
      <c r="AQ103" s="454">
        <f>AM103+AN103+AO103+AP103</f>
        <v>7599</v>
      </c>
      <c r="AR103" s="207">
        <f>AR76-AR100</f>
        <v>-5619</v>
      </c>
      <c r="AS103" s="207">
        <f>AS76-AS100</f>
        <v>3483</v>
      </c>
      <c r="AT103" s="207">
        <f>AT76-AT100</f>
        <v>13044</v>
      </c>
      <c r="AU103" s="207">
        <f>AU76-AU100</f>
        <v>19477</v>
      </c>
      <c r="AV103" s="454">
        <f>AR103+AS103+AT103+AU103</f>
        <v>30385</v>
      </c>
      <c r="AW103" s="207">
        <f>AW76-AW100</f>
        <v>10993</v>
      </c>
      <c r="AX103" s="207">
        <f>AX76-AX100</f>
        <v>12957</v>
      </c>
      <c r="AY103" s="207">
        <f>AY76-AY100</f>
        <v>36773</v>
      </c>
      <c r="AZ103" s="207">
        <f>AZ76-AZ100</f>
        <v>41498</v>
      </c>
      <c r="BA103" s="454">
        <f>AW103+AX103+AY103+AZ103</f>
        <v>102221</v>
      </c>
      <c r="BB103" s="207">
        <f>BB76-BB100</f>
        <v>40285</v>
      </c>
      <c r="BC103" s="207">
        <f>BC76-BC100</f>
        <v>39276</v>
      </c>
      <c r="BD103" s="207">
        <f>BD76-BD100</f>
        <v>43952</v>
      </c>
      <c r="BE103" s="207">
        <f>BE76-BE100</f>
        <v>39995</v>
      </c>
      <c r="BF103" s="454">
        <f>BB103+BC103+BD103+BE103</f>
        <v>163508</v>
      </c>
      <c r="BG103" s="207">
        <f>BG76-BG100</f>
        <v>32353</v>
      </c>
      <c r="BH103" s="207">
        <f>BH76-BH100</f>
        <v>36348</v>
      </c>
      <c r="BI103" s="207">
        <f>BI76-BI100</f>
        <v>36906</v>
      </c>
      <c r="BJ103" s="207">
        <f>BJ76-BJ100</f>
        <v>30125</v>
      </c>
      <c r="BK103" s="454">
        <f>BG103+BH103+BI103+BJ103</f>
        <v>135732</v>
      </c>
      <c r="BL103" s="207">
        <f>BL76-BL100</f>
        <v>20222.056375000015</v>
      </c>
      <c r="BM103" s="207">
        <f>BM76-BM100</f>
        <v>28252.773480000003</v>
      </c>
      <c r="BN103" s="207">
        <f>BN76-BN100</f>
        <v>31493.733989000015</v>
      </c>
      <c r="BO103" s="207">
        <f>BO76-BO100</f>
        <v>32083.44414439</v>
      </c>
      <c r="BP103" s="454">
        <f>BL103+BM103+BN103+BO103</f>
        <v>112052.00798839003</v>
      </c>
      <c r="BQ103" s="207">
        <f>BQ76-BQ100</f>
        <v>28528.433730394201</v>
      </c>
      <c r="BR103" s="207">
        <f>BR76-BR100</f>
        <v>28635.778638616437</v>
      </c>
      <c r="BS103" s="207">
        <f>BS76-BS100</f>
        <v>29612.301419963042</v>
      </c>
      <c r="BT103" s="207">
        <f>BT76-BT100</f>
        <v>29823.762098158739</v>
      </c>
      <c r="BU103" s="454">
        <f>BQ103+BR103+BS103+BT103</f>
        <v>116600.27588713242</v>
      </c>
    </row>
    <row r="104" spans="2:73" ht="12.75">
      <c r="B104" s="272" t="s">
        <v>8</v>
      </c>
      <c r="C104" s="280"/>
      <c r="D104" s="279">
        <f t="shared" ref="D104:AG104" si="170">D103/D$52</f>
        <v>-0.36263145315487572</v>
      </c>
      <c r="E104" s="279">
        <f t="shared" si="170"/>
        <v>-0.36605145413870244</v>
      </c>
      <c r="F104" s="279">
        <f t="shared" si="170"/>
        <v>-0.29258694475871905</v>
      </c>
      <c r="G104" s="279">
        <f t="shared" si="170"/>
        <v>-0.36799635286072485</v>
      </c>
      <c r="H104" s="455">
        <f t="shared" si="170"/>
        <v>-0.34643600416233089</v>
      </c>
      <c r="I104" s="279">
        <f t="shared" si="170"/>
        <v>-0.24538627975054092</v>
      </c>
      <c r="J104" s="279">
        <f t="shared" si="170"/>
        <v>-0.27553315238464521</v>
      </c>
      <c r="K104" s="279">
        <f t="shared" si="170"/>
        <v>-0.27380615993218421</v>
      </c>
      <c r="L104" s="279">
        <f t="shared" si="170"/>
        <v>-0.36897695796426505</v>
      </c>
      <c r="M104" s="455">
        <f t="shared" si="170"/>
        <v>-0.29643703743915456</v>
      </c>
      <c r="N104" s="279">
        <f t="shared" si="170"/>
        <v>-0.27350844924703988</v>
      </c>
      <c r="O104" s="279">
        <f t="shared" si="170"/>
        <v>-0.24302350542019963</v>
      </c>
      <c r="P104" s="279">
        <f t="shared" si="170"/>
        <v>-0.1303453233843179</v>
      </c>
      <c r="Q104" s="279">
        <f t="shared" si="170"/>
        <v>-0.12130834480614647</v>
      </c>
      <c r="R104" s="455">
        <f t="shared" si="170"/>
        <v>-0.18607442977190877</v>
      </c>
      <c r="S104" s="279">
        <f t="shared" si="170"/>
        <v>-0.12609128080450879</v>
      </c>
      <c r="T104" s="279">
        <f t="shared" si="170"/>
        <v>-0.12990325232384123</v>
      </c>
      <c r="U104" s="279">
        <f t="shared" si="170"/>
        <v>-0.13406306288474099</v>
      </c>
      <c r="V104" s="279">
        <f t="shared" si="170"/>
        <v>-0.13219933831043978</v>
      </c>
      <c r="W104" s="455">
        <f t="shared" si="170"/>
        <v>-0.13075047277794366</v>
      </c>
      <c r="X104" s="279">
        <f t="shared" si="170"/>
        <v>-0.16274419884435476</v>
      </c>
      <c r="Y104" s="279">
        <f t="shared" si="170"/>
        <v>-0.10253075751612738</v>
      </c>
      <c r="Z104" s="279">
        <f t="shared" si="170"/>
        <v>-4.5249739437184321E-2</v>
      </c>
      <c r="AA104" s="279">
        <f t="shared" si="170"/>
        <v>-3.9188599680093063E-2</v>
      </c>
      <c r="AB104" s="455">
        <f t="shared" si="170"/>
        <v>-8.349754804560594E-2</v>
      </c>
      <c r="AC104" s="279">
        <f t="shared" si="170"/>
        <v>7.8841292614606814E-3</v>
      </c>
      <c r="AD104" s="279">
        <f t="shared" si="170"/>
        <v>6.3324003596803404E-3</v>
      </c>
      <c r="AE104" s="279">
        <f t="shared" si="170"/>
        <v>6.5179484095965363E-3</v>
      </c>
      <c r="AF104" s="279">
        <f t="shared" si="170"/>
        <v>8.5653805865921785E-3</v>
      </c>
      <c r="AG104" s="455">
        <f t="shared" si="170"/>
        <v>7.3528737073592964E-3</v>
      </c>
      <c r="AH104" s="279">
        <f t="shared" ref="AH104:BP104" si="171">AH103/AH$52</f>
        <v>-4.1689633241467038E-2</v>
      </c>
      <c r="AI104" s="279">
        <f t="shared" si="171"/>
        <v>4.3119136201876414E-2</v>
      </c>
      <c r="AJ104" s="279">
        <f t="shared" si="171"/>
        <v>2.3259576492981205E-2</v>
      </c>
      <c r="AK104" s="279">
        <f t="shared" si="171"/>
        <v>-6.5748195017630061E-3</v>
      </c>
      <c r="AL104" s="455">
        <f t="shared" si="171"/>
        <v>4.9381995985282607E-3</v>
      </c>
      <c r="AM104" s="279">
        <f t="shared" si="171"/>
        <v>1.622804403538497E-2</v>
      </c>
      <c r="AN104" s="279">
        <f t="shared" si="171"/>
        <v>4.8014174860189364E-2</v>
      </c>
      <c r="AO104" s="279">
        <f t="shared" si="171"/>
        <v>4.0981028493001843E-2</v>
      </c>
      <c r="AP104" s="279">
        <f t="shared" si="171"/>
        <v>-4.029333016789987E-2</v>
      </c>
      <c r="AQ104" s="455">
        <f t="shared" si="171"/>
        <v>1.419302059753009E-2</v>
      </c>
      <c r="AR104" s="279">
        <f t="shared" si="171"/>
        <v>-3.5702485640217559E-2</v>
      </c>
      <c r="AS104" s="279">
        <f t="shared" si="171"/>
        <v>2.079961780776925E-2</v>
      </c>
      <c r="AT104" s="279">
        <f t="shared" si="171"/>
        <v>7.4212727221005317E-2</v>
      </c>
      <c r="AU104" s="279">
        <f t="shared" si="171"/>
        <v>0.10557841271906288</v>
      </c>
      <c r="AV104" s="455">
        <f t="shared" si="171"/>
        <v>4.4352290160462306E-2</v>
      </c>
      <c r="AW104" s="279">
        <f t="shared" si="171"/>
        <v>6.0013975782589234E-2</v>
      </c>
      <c r="AX104" s="279">
        <f t="shared" si="171"/>
        <v>6.8043608406591669E-2</v>
      </c>
      <c r="AY104" s="279">
        <f t="shared" si="171"/>
        <v>0.18493484809623673</v>
      </c>
      <c r="AZ104" s="279">
        <f t="shared" si="171"/>
        <v>0.20216497456983065</v>
      </c>
      <c r="BA104" s="455">
        <f t="shared" si="171"/>
        <v>0.13143896094544605</v>
      </c>
      <c r="BB104" s="279">
        <f t="shared" si="171"/>
        <v>0.196415424595687</v>
      </c>
      <c r="BC104" s="279">
        <f t="shared" si="171"/>
        <v>0.18883509382617517</v>
      </c>
      <c r="BD104" s="279">
        <f t="shared" si="171"/>
        <v>0.20475742357468299</v>
      </c>
      <c r="BE104" s="279">
        <f t="shared" si="171"/>
        <v>0.18493856959877186</v>
      </c>
      <c r="BF104" s="455">
        <f t="shared" si="171"/>
        <v>0.19372825106900773</v>
      </c>
      <c r="BG104" s="279">
        <f t="shared" si="171"/>
        <v>0.15387652019233972</v>
      </c>
      <c r="BH104" s="279">
        <f t="shared" si="171"/>
        <v>0.16969742241809957</v>
      </c>
      <c r="BI104" s="279">
        <f t="shared" ref="BI104" si="172">BI103/BI$52</f>
        <v>0.16932464672416958</v>
      </c>
      <c r="BJ104" s="279">
        <f t="shared" si="171"/>
        <v>0.13857710637201687</v>
      </c>
      <c r="BK104" s="455">
        <f t="shared" si="171"/>
        <v>0.15786572132394505</v>
      </c>
      <c r="BL104" s="279">
        <f t="shared" si="171"/>
        <v>9.7235577798643599E-2</v>
      </c>
      <c r="BM104" s="279">
        <f t="shared" si="171"/>
        <v>0.13522357887747977</v>
      </c>
      <c r="BN104" s="279">
        <f t="shared" si="171"/>
        <v>0.14979247943986448</v>
      </c>
      <c r="BO104" s="279">
        <f t="shared" si="171"/>
        <v>0.15153594163993975</v>
      </c>
      <c r="BP104" s="455">
        <f t="shared" si="171"/>
        <v>0.13357425539440637</v>
      </c>
      <c r="BQ104" s="279">
        <f t="shared" ref="BQ104:BU104" si="173">BQ103/BQ$52</f>
        <v>0.13487180507806043</v>
      </c>
      <c r="BR104" s="279">
        <f t="shared" si="173"/>
        <v>0.13474860972445504</v>
      </c>
      <c r="BS104" s="279">
        <f t="shared" si="173"/>
        <v>0.13857910412979965</v>
      </c>
      <c r="BT104" s="279">
        <f t="shared" si="173"/>
        <v>0.1386215551592877</v>
      </c>
      <c r="BU104" s="455">
        <f t="shared" si="173"/>
        <v>0.13671588821682087</v>
      </c>
    </row>
    <row r="105" spans="2:73" ht="3.6" customHeight="1">
      <c r="B105" s="272"/>
      <c r="C105" s="280"/>
      <c r="D105" s="273"/>
      <c r="E105" s="273"/>
      <c r="F105" s="273"/>
      <c r="G105" s="273"/>
      <c r="H105" s="456"/>
      <c r="I105" s="273"/>
      <c r="J105" s="273"/>
      <c r="K105" s="273"/>
      <c r="L105" s="273"/>
      <c r="M105" s="456"/>
      <c r="N105" s="273"/>
      <c r="O105" s="273"/>
      <c r="P105" s="273"/>
      <c r="Q105" s="273"/>
      <c r="R105" s="456"/>
      <c r="S105" s="273"/>
      <c r="T105" s="273"/>
      <c r="U105" s="273"/>
      <c r="V105" s="273"/>
      <c r="W105" s="453"/>
      <c r="X105" s="273"/>
      <c r="Y105" s="273"/>
      <c r="Z105" s="273"/>
      <c r="AA105" s="273"/>
      <c r="AB105" s="453"/>
      <c r="AC105" s="273"/>
      <c r="AD105" s="273"/>
      <c r="AE105" s="273"/>
      <c r="AF105" s="273"/>
      <c r="AG105" s="453"/>
      <c r="AH105" s="273"/>
      <c r="AI105" s="273"/>
      <c r="AJ105" s="273"/>
      <c r="AK105" s="273"/>
      <c r="AL105" s="453"/>
      <c r="AM105" s="273"/>
      <c r="AN105" s="273"/>
      <c r="AO105" s="273"/>
      <c r="AP105" s="273"/>
      <c r="AQ105" s="453"/>
      <c r="AR105" s="273"/>
      <c r="AS105" s="273"/>
      <c r="AT105" s="273"/>
      <c r="AU105" s="273"/>
      <c r="AV105" s="453"/>
      <c r="AW105" s="273"/>
      <c r="AX105" s="273"/>
      <c r="AY105" s="273"/>
      <c r="AZ105" s="273"/>
      <c r="BA105" s="453"/>
      <c r="BB105" s="273"/>
      <c r="BC105" s="273"/>
      <c r="BD105" s="273"/>
      <c r="BE105" s="273"/>
      <c r="BF105" s="453"/>
      <c r="BG105" s="273"/>
      <c r="BH105" s="273"/>
      <c r="BI105" s="273"/>
      <c r="BJ105" s="273"/>
      <c r="BK105" s="453"/>
      <c r="BL105" s="273"/>
      <c r="BM105" s="273"/>
      <c r="BN105" s="273"/>
      <c r="BO105" s="273"/>
      <c r="BP105" s="453"/>
      <c r="BQ105" s="273"/>
      <c r="BR105" s="273"/>
      <c r="BS105" s="273"/>
      <c r="BT105" s="273"/>
      <c r="BU105" s="453"/>
    </row>
    <row r="106" spans="2:73" ht="12.75">
      <c r="B106" s="171" t="s">
        <v>160</v>
      </c>
      <c r="C106" s="280"/>
      <c r="D106" s="174">
        <v>-695</v>
      </c>
      <c r="E106" s="174">
        <v>-703</v>
      </c>
      <c r="F106" s="174">
        <v>-703</v>
      </c>
      <c r="G106" s="174">
        <v>-701</v>
      </c>
      <c r="H106" s="450">
        <f>+D106+E106+F106+G106</f>
        <v>-2802</v>
      </c>
      <c r="I106" s="174">
        <v>-685</v>
      </c>
      <c r="J106" s="174">
        <v>-737</v>
      </c>
      <c r="K106" s="174">
        <v>-1067</v>
      </c>
      <c r="L106" s="174">
        <v>-34</v>
      </c>
      <c r="M106" s="450">
        <f>+I106+J106+K106+L106</f>
        <v>-2523</v>
      </c>
      <c r="N106" s="174">
        <v>-15</v>
      </c>
      <c r="O106" s="174">
        <v>26</v>
      </c>
      <c r="P106" s="174">
        <v>44</v>
      </c>
      <c r="Q106" s="174">
        <v>76</v>
      </c>
      <c r="R106" s="450">
        <f>+N106+O106+P106+Q106</f>
        <v>131</v>
      </c>
      <c r="S106" s="174">
        <v>169</v>
      </c>
      <c r="T106" s="174">
        <f>218</f>
        <v>218</v>
      </c>
      <c r="U106" s="174">
        <v>198</v>
      </c>
      <c r="V106" s="174">
        <v>190</v>
      </c>
      <c r="W106" s="450">
        <f>+S106+T106+U106+V106</f>
        <v>775</v>
      </c>
      <c r="X106" s="174">
        <v>241</v>
      </c>
      <c r="Y106" s="174">
        <v>464</v>
      </c>
      <c r="Z106" s="174">
        <f>813-1679+1296</f>
        <v>430</v>
      </c>
      <c r="AA106" s="174">
        <f>1709-3253+2535</f>
        <v>991</v>
      </c>
      <c r="AB106" s="450">
        <f>+X106+Y106+Z106+AA106</f>
        <v>2126</v>
      </c>
      <c r="AC106" s="174">
        <f>1731-3229+2510</f>
        <v>1012</v>
      </c>
      <c r="AD106" s="174">
        <f>1582-3312+2594</f>
        <v>864</v>
      </c>
      <c r="AE106" s="174">
        <f>1448-3399+2679</f>
        <v>728</v>
      </c>
      <c r="AF106" s="174">
        <f>1253-3449+2730</f>
        <v>534</v>
      </c>
      <c r="AG106" s="450">
        <f>+AC106+AD106+AE106+AF106</f>
        <v>3138</v>
      </c>
      <c r="AH106" s="174">
        <f>1048-3462+2743</f>
        <v>329</v>
      </c>
      <c r="AI106" s="174">
        <f>208-1653</f>
        <v>-1445</v>
      </c>
      <c r="AJ106" s="566">
        <f>87-7328+5206</f>
        <v>-2035</v>
      </c>
      <c r="AK106" s="566">
        <f>111-7429+5305</f>
        <v>-2013</v>
      </c>
      <c r="AL106" s="663">
        <f>+AH106+AI106+AJ106+AK106</f>
        <v>-5164</v>
      </c>
      <c r="AM106" s="566">
        <f>96-5394+658+2740</f>
        <v>-1900</v>
      </c>
      <c r="AN106" s="566">
        <f>122-3059+1133</f>
        <v>-1804</v>
      </c>
      <c r="AO106" s="566">
        <f>84-2962+1095</f>
        <v>-1783</v>
      </c>
      <c r="AP106" s="566">
        <f>63-2877+1096</f>
        <v>-1718</v>
      </c>
      <c r="AQ106" s="450">
        <f>+AM106+AN106+AO106+AP106</f>
        <v>-7205</v>
      </c>
      <c r="AR106" s="174">
        <f>112-2693+979</f>
        <v>-1602</v>
      </c>
      <c r="AS106" s="174">
        <f>243-2758+1011</f>
        <v>-1504</v>
      </c>
      <c r="AT106" s="174">
        <f>498-2749+1046</f>
        <v>-1205</v>
      </c>
      <c r="AU106" s="174">
        <f>960-2782+1049+1669</f>
        <v>896</v>
      </c>
      <c r="AV106" s="450">
        <f>+AR106+AS106+AT106+AU106</f>
        <v>-3415</v>
      </c>
      <c r="AW106" s="174">
        <f>1668-2717+994+375</f>
        <v>320</v>
      </c>
      <c r="AX106" s="174">
        <f>1787-2773+1026+375</f>
        <v>415</v>
      </c>
      <c r="AY106" s="174">
        <f>2545-56515+53889+1041</f>
        <v>960</v>
      </c>
      <c r="AZ106" s="174">
        <f>4177-2695+1077+1571</f>
        <v>4130</v>
      </c>
      <c r="BA106" s="450">
        <f>+AW106+AX106+AY106+AZ106</f>
        <v>5825</v>
      </c>
      <c r="BB106" s="174">
        <f>4720-2670+1571+1053</f>
        <v>4674</v>
      </c>
      <c r="BC106" s="174">
        <f>5221-2673+1055+1571</f>
        <v>5174</v>
      </c>
      <c r="BD106" s="174">
        <f>5571-2837+1217</f>
        <v>3951</v>
      </c>
      <c r="BE106" s="174">
        <f>5551-2783+1571+1122</f>
        <v>5461</v>
      </c>
      <c r="BF106" s="450">
        <f>+BB106+BC106+BD106+BE106</f>
        <v>19260</v>
      </c>
      <c r="BG106" s="174">
        <f>5758-2654+1571+1019</f>
        <v>5694</v>
      </c>
      <c r="BH106" s="174">
        <f>5514-2627+1399+999</f>
        <v>5285</v>
      </c>
      <c r="BI106" s="174">
        <f>6167-2585+1098+1313</f>
        <v>5993</v>
      </c>
      <c r="BJ106" s="174">
        <f>5580-2570+1095+1312</f>
        <v>5417</v>
      </c>
      <c r="BK106" s="450">
        <f>+BG106+BH106+BI106+BJ106</f>
        <v>22389</v>
      </c>
      <c r="BL106" s="174">
        <v>4000</v>
      </c>
      <c r="BM106" s="174">
        <v>4000</v>
      </c>
      <c r="BN106" s="174">
        <v>4000</v>
      </c>
      <c r="BO106" s="174">
        <v>4000</v>
      </c>
      <c r="BP106" s="450">
        <f>+BL106+BM106+BN106+BO106</f>
        <v>16000</v>
      </c>
      <c r="BQ106" s="174">
        <f>6000</f>
        <v>6000</v>
      </c>
      <c r="BR106" s="174">
        <f>6000</f>
        <v>6000</v>
      </c>
      <c r="BS106" s="174">
        <f>6000</f>
        <v>6000</v>
      </c>
      <c r="BT106" s="174">
        <f>6000</f>
        <v>6000</v>
      </c>
      <c r="BU106" s="450">
        <f>+BQ106+BR106+BS106+BT106</f>
        <v>24000</v>
      </c>
    </row>
    <row r="107" spans="2:73" ht="12.75">
      <c r="B107" s="171" t="s">
        <v>161</v>
      </c>
      <c r="C107" s="280"/>
      <c r="D107" s="174">
        <v>41</v>
      </c>
      <c r="E107" s="174">
        <v>4</v>
      </c>
      <c r="F107" s="174">
        <v>-227</v>
      </c>
      <c r="G107" s="174">
        <v>-123</v>
      </c>
      <c r="H107" s="450">
        <f>+D107+E107+F107+G107</f>
        <v>-305</v>
      </c>
      <c r="I107" s="174">
        <v>-305</v>
      </c>
      <c r="J107" s="174">
        <v>163</v>
      </c>
      <c r="K107" s="174">
        <v>-49</v>
      </c>
      <c r="L107" s="174">
        <v>-87</v>
      </c>
      <c r="M107" s="450">
        <f>+I107+J107+K107+L107</f>
        <v>-278</v>
      </c>
      <c r="N107" s="174">
        <v>196</v>
      </c>
      <c r="O107" s="174">
        <v>-48</v>
      </c>
      <c r="P107" s="174">
        <v>36</v>
      </c>
      <c r="Q107" s="174">
        <v>-293</v>
      </c>
      <c r="R107" s="450">
        <f>+N107+O107+P107+Q107</f>
        <v>-109</v>
      </c>
      <c r="S107" s="174">
        <v>-115</v>
      </c>
      <c r="T107" s="174">
        <f>229</f>
        <v>229</v>
      </c>
      <c r="U107" s="174">
        <v>235</v>
      </c>
      <c r="V107" s="174">
        <v>-36</v>
      </c>
      <c r="W107" s="450">
        <f>+S107+T107+U107+V107</f>
        <v>313</v>
      </c>
      <c r="X107" s="174">
        <v>78</v>
      </c>
      <c r="Y107" s="174">
        <v>-326</v>
      </c>
      <c r="Z107" s="174">
        <v>181</v>
      </c>
      <c r="AA107" s="174">
        <v>-269</v>
      </c>
      <c r="AB107" s="450">
        <f>+X107+Y107+Z107+AA107</f>
        <v>-336</v>
      </c>
      <c r="AC107" s="174">
        <v>-206</v>
      </c>
      <c r="AD107" s="174">
        <f>-29-761</f>
        <v>-790</v>
      </c>
      <c r="AE107" s="174">
        <f>-492-0</f>
        <v>-492</v>
      </c>
      <c r="AF107" s="174">
        <f>294</f>
        <v>294</v>
      </c>
      <c r="AG107" s="450">
        <f>+AC107+AD107+AE107+AF107</f>
        <v>-1194</v>
      </c>
      <c r="AH107" s="174">
        <v>-447</v>
      </c>
      <c r="AI107" s="174">
        <v>210</v>
      </c>
      <c r="AJ107" s="566">
        <f>143</f>
        <v>143</v>
      </c>
      <c r="AK107" s="566">
        <f>12</f>
        <v>12</v>
      </c>
      <c r="AL107" s="663">
        <f>+AH107+AI107+AJ107+AK107</f>
        <v>-82</v>
      </c>
      <c r="AM107" s="566">
        <f>-1068</f>
        <v>-1068</v>
      </c>
      <c r="AN107" s="566">
        <f>148</f>
        <v>148</v>
      </c>
      <c r="AO107" s="566">
        <f>-299</f>
        <v>-299</v>
      </c>
      <c r="AP107" s="566">
        <f>-703</f>
        <v>-703</v>
      </c>
      <c r="AQ107" s="450">
        <f>+AM107+AN107+AO107+AP107</f>
        <v>-1922</v>
      </c>
      <c r="AR107" s="174">
        <f>-603</f>
        <v>-603</v>
      </c>
      <c r="AS107" s="174">
        <f>-2403</f>
        <v>-2403</v>
      </c>
      <c r="AT107" s="174">
        <f>-2205</f>
        <v>-2205</v>
      </c>
      <c r="AU107" s="174">
        <f>3690</f>
        <v>3690</v>
      </c>
      <c r="AV107" s="450">
        <f>+AR107+AS107+AT107+AU107</f>
        <v>-1521</v>
      </c>
      <c r="AW107" s="174">
        <f>-307</f>
        <v>-307</v>
      </c>
      <c r="AX107" s="174">
        <f>-13268+12660</f>
        <v>-608</v>
      </c>
      <c r="AY107" s="174">
        <f>-4518+2851</f>
        <v>-1667</v>
      </c>
      <c r="AZ107" s="174">
        <f>3571</f>
        <v>3571</v>
      </c>
      <c r="BA107" s="450">
        <f>+AW107+AX107+AY107+AZ107</f>
        <v>989</v>
      </c>
      <c r="BB107" s="174">
        <f>-1435</f>
        <v>-1435</v>
      </c>
      <c r="BC107" s="174">
        <f>-695</f>
        <v>-695</v>
      </c>
      <c r="BD107" s="174">
        <f>2811</f>
        <v>2811</v>
      </c>
      <c r="BE107" s="174">
        <f>-4361</f>
        <v>-4361</v>
      </c>
      <c r="BF107" s="450">
        <f>+BB107+BC107+BD107+BE107</f>
        <v>-3680</v>
      </c>
      <c r="BG107" s="174">
        <f>1802</f>
        <v>1802</v>
      </c>
      <c r="BH107" s="174">
        <f>3957</f>
        <v>3957</v>
      </c>
      <c r="BI107" s="174">
        <f>-173</f>
        <v>-173</v>
      </c>
      <c r="BJ107" s="174">
        <f>444</f>
        <v>444</v>
      </c>
      <c r="BK107" s="450">
        <f>+BG107+BH107+BI107+BJ107</f>
        <v>6030</v>
      </c>
      <c r="BL107" s="174">
        <f>+BJ107</f>
        <v>444</v>
      </c>
      <c r="BM107" s="174">
        <f t="shared" ref="BM107:BO107" si="174">+BL107</f>
        <v>444</v>
      </c>
      <c r="BN107" s="174">
        <f t="shared" si="174"/>
        <v>444</v>
      </c>
      <c r="BO107" s="174">
        <f t="shared" si="174"/>
        <v>444</v>
      </c>
      <c r="BP107" s="450">
        <f>+BL107+BM107+BN107+BO107</f>
        <v>1776</v>
      </c>
      <c r="BQ107" s="174">
        <f>+BO107</f>
        <v>444</v>
      </c>
      <c r="BR107" s="174">
        <f t="shared" ref="BR107" si="175">+BQ107</f>
        <v>444</v>
      </c>
      <c r="BS107" s="174">
        <f t="shared" ref="BS107" si="176">+BR107</f>
        <v>444</v>
      </c>
      <c r="BT107" s="174">
        <f t="shared" ref="BT107" si="177">+BS107</f>
        <v>444</v>
      </c>
      <c r="BU107" s="450">
        <f>+BQ107+BR107+BS107+BT107</f>
        <v>1776</v>
      </c>
    </row>
    <row r="108" spans="2:73" ht="3.6" customHeight="1">
      <c r="B108" s="270"/>
      <c r="C108" s="270"/>
      <c r="D108" s="273" t="s">
        <v>1</v>
      </c>
      <c r="E108" s="273" t="s">
        <v>1</v>
      </c>
      <c r="F108" s="273" t="s">
        <v>1</v>
      </c>
      <c r="G108" s="273" t="s">
        <v>1</v>
      </c>
      <c r="H108" s="453" t="s">
        <v>1</v>
      </c>
      <c r="I108" s="273" t="s">
        <v>1</v>
      </c>
      <c r="J108" s="273" t="s">
        <v>1</v>
      </c>
      <c r="K108" s="273" t="s">
        <v>1</v>
      </c>
      <c r="L108" s="273" t="s">
        <v>1</v>
      </c>
      <c r="M108" s="453" t="s">
        <v>1</v>
      </c>
      <c r="N108" s="273" t="s">
        <v>1</v>
      </c>
      <c r="O108" s="273" t="s">
        <v>1</v>
      </c>
      <c r="P108" s="273" t="s">
        <v>1</v>
      </c>
      <c r="Q108" s="273" t="s">
        <v>1</v>
      </c>
      <c r="R108" s="453" t="s">
        <v>1</v>
      </c>
      <c r="S108" s="273" t="s">
        <v>1</v>
      </c>
      <c r="T108" s="273" t="s">
        <v>1</v>
      </c>
      <c r="U108" s="273" t="s">
        <v>1</v>
      </c>
      <c r="V108" s="273" t="s">
        <v>1</v>
      </c>
      <c r="W108" s="453" t="s">
        <v>1</v>
      </c>
      <c r="X108" s="273" t="s">
        <v>1</v>
      </c>
      <c r="Y108" s="273" t="s">
        <v>1</v>
      </c>
      <c r="Z108" s="273" t="s">
        <v>1</v>
      </c>
      <c r="AA108" s="273" t="s">
        <v>1</v>
      </c>
      <c r="AB108" s="453" t="s">
        <v>1</v>
      </c>
      <c r="AC108" s="273" t="s">
        <v>1</v>
      </c>
      <c r="AD108" s="273" t="s">
        <v>1</v>
      </c>
      <c r="AE108" s="273" t="s">
        <v>1</v>
      </c>
      <c r="AF108" s="273" t="s">
        <v>1</v>
      </c>
      <c r="AG108" s="453" t="s">
        <v>1</v>
      </c>
      <c r="AH108" s="273" t="s">
        <v>1</v>
      </c>
      <c r="AI108" s="273" t="s">
        <v>1</v>
      </c>
      <c r="AJ108" s="659" t="s">
        <v>1</v>
      </c>
      <c r="AK108" s="659" t="s">
        <v>1</v>
      </c>
      <c r="AL108" s="664" t="s">
        <v>1</v>
      </c>
      <c r="AM108" s="659" t="s">
        <v>1</v>
      </c>
      <c r="AN108" s="659" t="s">
        <v>1</v>
      </c>
      <c r="AO108" s="659" t="s">
        <v>1</v>
      </c>
      <c r="AP108" s="659" t="s">
        <v>1</v>
      </c>
      <c r="AQ108" s="453" t="s">
        <v>1</v>
      </c>
      <c r="AR108" s="273" t="s">
        <v>1</v>
      </c>
      <c r="AS108" s="273" t="s">
        <v>1</v>
      </c>
      <c r="AT108" s="273" t="s">
        <v>1</v>
      </c>
      <c r="AU108" s="273" t="s">
        <v>1</v>
      </c>
      <c r="AV108" s="453" t="s">
        <v>1</v>
      </c>
      <c r="AW108" s="273" t="s">
        <v>1</v>
      </c>
      <c r="AX108" s="273" t="s">
        <v>1</v>
      </c>
      <c r="AY108" s="273" t="s">
        <v>1</v>
      </c>
      <c r="AZ108" s="273" t="s">
        <v>1</v>
      </c>
      <c r="BA108" s="453" t="s">
        <v>1</v>
      </c>
      <c r="BB108" s="273" t="s">
        <v>1</v>
      </c>
      <c r="BC108" s="273" t="s">
        <v>1</v>
      </c>
      <c r="BD108" s="273" t="s">
        <v>1</v>
      </c>
      <c r="BE108" s="273" t="s">
        <v>1</v>
      </c>
      <c r="BF108" s="453" t="s">
        <v>1</v>
      </c>
      <c r="BG108" s="273" t="s">
        <v>1</v>
      </c>
      <c r="BH108" s="273" t="s">
        <v>1</v>
      </c>
      <c r="BI108" s="273" t="s">
        <v>1</v>
      </c>
      <c r="BJ108" s="273" t="s">
        <v>1</v>
      </c>
      <c r="BK108" s="453" t="s">
        <v>1</v>
      </c>
      <c r="BL108" s="273" t="s">
        <v>1</v>
      </c>
      <c r="BM108" s="273" t="s">
        <v>1</v>
      </c>
      <c r="BN108" s="273" t="s">
        <v>1</v>
      </c>
      <c r="BO108" s="273" t="s">
        <v>1</v>
      </c>
      <c r="BP108" s="453" t="s">
        <v>1</v>
      </c>
      <c r="BQ108" s="273" t="s">
        <v>1</v>
      </c>
      <c r="BR108" s="273" t="s">
        <v>1</v>
      </c>
      <c r="BS108" s="273" t="s">
        <v>1</v>
      </c>
      <c r="BT108" s="273" t="s">
        <v>1</v>
      </c>
      <c r="BU108" s="453" t="s">
        <v>1</v>
      </c>
    </row>
    <row r="109" spans="2:73" ht="14.25" customHeight="1">
      <c r="B109" s="270" t="s">
        <v>9</v>
      </c>
      <c r="C109" s="270"/>
      <c r="D109" s="274">
        <f>+D103+D107+D106</f>
        <v>-6723</v>
      </c>
      <c r="E109" s="274">
        <f>+E103+E107+E106</f>
        <v>-7244</v>
      </c>
      <c r="F109" s="274">
        <f>+F103+F107+F106</f>
        <v>-6878</v>
      </c>
      <c r="G109" s="274">
        <f>+G103+G107+G106</f>
        <v>-8896</v>
      </c>
      <c r="H109" s="448">
        <f t="shared" ref="H109:AQ109" si="178">+H103+H107+H106</f>
        <v>-29741</v>
      </c>
      <c r="I109" s="274">
        <f t="shared" si="178"/>
        <v>-6774</v>
      </c>
      <c r="J109" s="274">
        <f t="shared" si="178"/>
        <v>-7680</v>
      </c>
      <c r="K109" s="274">
        <f t="shared" si="178"/>
        <v>-8868</v>
      </c>
      <c r="L109" s="274">
        <f t="shared" si="178"/>
        <v>-12243</v>
      </c>
      <c r="M109" s="448">
        <f t="shared" si="178"/>
        <v>-35565</v>
      </c>
      <c r="N109" s="274">
        <f t="shared" si="178"/>
        <v>-9336</v>
      </c>
      <c r="O109" s="274">
        <f t="shared" si="178"/>
        <v>-9079</v>
      </c>
      <c r="P109" s="274">
        <f t="shared" si="178"/>
        <v>-5178</v>
      </c>
      <c r="Q109" s="274">
        <f t="shared" si="178"/>
        <v>-5680</v>
      </c>
      <c r="R109" s="448">
        <f t="shared" si="178"/>
        <v>-29273</v>
      </c>
      <c r="S109" s="274">
        <f t="shared" si="178"/>
        <v>-5651</v>
      </c>
      <c r="T109" s="274">
        <f t="shared" si="178"/>
        <v>-5716</v>
      </c>
      <c r="U109" s="274">
        <f t="shared" si="178"/>
        <v>-6340</v>
      </c>
      <c r="V109" s="274">
        <f t="shared" si="178"/>
        <v>-7478</v>
      </c>
      <c r="W109" s="448">
        <f t="shared" si="178"/>
        <v>-25185</v>
      </c>
      <c r="X109" s="274">
        <f t="shared" si="178"/>
        <v>-8553</v>
      </c>
      <c r="Y109" s="274">
        <f t="shared" si="178"/>
        <v>-5854</v>
      </c>
      <c r="Z109" s="274">
        <f t="shared" si="178"/>
        <v>-2211</v>
      </c>
      <c r="AA109" s="274">
        <f t="shared" si="178"/>
        <v>-1973</v>
      </c>
      <c r="AB109" s="448">
        <f t="shared" si="178"/>
        <v>-18591</v>
      </c>
      <c r="AC109" s="274">
        <f t="shared" si="178"/>
        <v>1383</v>
      </c>
      <c r="AD109" s="274">
        <f t="shared" si="178"/>
        <v>574</v>
      </c>
      <c r="AE109" s="274">
        <f t="shared" si="178"/>
        <v>778</v>
      </c>
      <c r="AF109" s="274">
        <f t="shared" si="178"/>
        <v>1613</v>
      </c>
      <c r="AG109" s="448">
        <f t="shared" si="178"/>
        <v>4348</v>
      </c>
      <c r="AH109" s="274">
        <f t="shared" si="178"/>
        <v>-4051</v>
      </c>
      <c r="AI109" s="274">
        <f t="shared" si="178"/>
        <v>3030</v>
      </c>
      <c r="AJ109" s="567">
        <f t="shared" si="178"/>
        <v>552</v>
      </c>
      <c r="AK109" s="567">
        <f t="shared" si="178"/>
        <v>-2745</v>
      </c>
      <c r="AL109" s="661">
        <f t="shared" si="178"/>
        <v>-3214</v>
      </c>
      <c r="AM109" s="567">
        <f t="shared" si="178"/>
        <v>-1062</v>
      </c>
      <c r="AN109" s="567">
        <f t="shared" si="178"/>
        <v>4414</v>
      </c>
      <c r="AO109" s="567">
        <f t="shared" si="178"/>
        <v>3651</v>
      </c>
      <c r="AP109" s="567">
        <f t="shared" si="178"/>
        <v>-8531</v>
      </c>
      <c r="AQ109" s="448">
        <f t="shared" si="178"/>
        <v>-1528</v>
      </c>
      <c r="AR109" s="274">
        <f t="shared" ref="AR109:BP109" si="179">+AR103+AR107+AR106</f>
        <v>-7824</v>
      </c>
      <c r="AS109" s="274">
        <f t="shared" si="179"/>
        <v>-424</v>
      </c>
      <c r="AT109" s="274">
        <f t="shared" si="179"/>
        <v>9634</v>
      </c>
      <c r="AU109" s="274">
        <f t="shared" si="179"/>
        <v>24063</v>
      </c>
      <c r="AV109" s="448">
        <f t="shared" si="179"/>
        <v>25449</v>
      </c>
      <c r="AW109" s="274">
        <f t="shared" si="179"/>
        <v>11006</v>
      </c>
      <c r="AX109" s="274">
        <f t="shared" si="179"/>
        <v>12764</v>
      </c>
      <c r="AY109" s="274">
        <f t="shared" si="179"/>
        <v>36066</v>
      </c>
      <c r="AZ109" s="274">
        <f t="shared" si="179"/>
        <v>49199</v>
      </c>
      <c r="BA109" s="448">
        <f t="shared" si="179"/>
        <v>109035</v>
      </c>
      <c r="BB109" s="274">
        <f t="shared" si="179"/>
        <v>43524</v>
      </c>
      <c r="BC109" s="274">
        <f t="shared" si="179"/>
        <v>43755</v>
      </c>
      <c r="BD109" s="274">
        <f t="shared" si="179"/>
        <v>50714</v>
      </c>
      <c r="BE109" s="274">
        <f t="shared" si="179"/>
        <v>41095</v>
      </c>
      <c r="BF109" s="448">
        <f t="shared" si="179"/>
        <v>179088</v>
      </c>
      <c r="BG109" s="274">
        <f t="shared" si="179"/>
        <v>39849</v>
      </c>
      <c r="BH109" s="274">
        <f t="shared" si="179"/>
        <v>45590</v>
      </c>
      <c r="BI109" s="274">
        <f t="shared" ref="BI109" si="180">+BI103+BI107+BI106</f>
        <v>42726</v>
      </c>
      <c r="BJ109" s="274">
        <f t="shared" si="179"/>
        <v>35986</v>
      </c>
      <c r="BK109" s="448">
        <f t="shared" si="179"/>
        <v>164151</v>
      </c>
      <c r="BL109" s="274">
        <f t="shared" si="179"/>
        <v>24666.056375000015</v>
      </c>
      <c r="BM109" s="274">
        <f t="shared" si="179"/>
        <v>32696.773480000003</v>
      </c>
      <c r="BN109" s="274">
        <f t="shared" si="179"/>
        <v>35937.733989000015</v>
      </c>
      <c r="BO109" s="274">
        <f t="shared" si="179"/>
        <v>36527.44414439</v>
      </c>
      <c r="BP109" s="448">
        <f t="shared" si="179"/>
        <v>129828.00798839003</v>
      </c>
      <c r="BQ109" s="274">
        <f t="shared" ref="BQ109:BU109" si="181">+BQ103+BQ107+BQ106</f>
        <v>34972.433730394201</v>
      </c>
      <c r="BR109" s="274">
        <f t="shared" si="181"/>
        <v>35079.778638616437</v>
      </c>
      <c r="BS109" s="274">
        <f t="shared" si="181"/>
        <v>36056.301419963042</v>
      </c>
      <c r="BT109" s="274">
        <f t="shared" si="181"/>
        <v>36267.762098158739</v>
      </c>
      <c r="BU109" s="448">
        <f t="shared" si="181"/>
        <v>142376.27588713242</v>
      </c>
    </row>
    <row r="110" spans="2:73" ht="12.75">
      <c r="B110" s="272" t="s">
        <v>10</v>
      </c>
      <c r="C110" s="280"/>
      <c r="D110" s="279">
        <f t="shared" ref="D110:AQ110" si="182">+D109/D52</f>
        <v>-0.40170889101338431</v>
      </c>
      <c r="E110" s="279">
        <f t="shared" si="182"/>
        <v>-0.40514541387024611</v>
      </c>
      <c r="F110" s="279">
        <f t="shared" si="182"/>
        <v>-0.33833439913424174</v>
      </c>
      <c r="G110" s="279">
        <f t="shared" si="182"/>
        <v>-0.40556188739457488</v>
      </c>
      <c r="H110" s="455">
        <f t="shared" si="182"/>
        <v>-0.38684963579604581</v>
      </c>
      <c r="I110" s="279">
        <f t="shared" si="182"/>
        <v>-0.28738704340078913</v>
      </c>
      <c r="J110" s="279">
        <f t="shared" si="182"/>
        <v>-0.29778984102365258</v>
      </c>
      <c r="K110" s="279">
        <f t="shared" si="182"/>
        <v>-0.31322407459734386</v>
      </c>
      <c r="L110" s="279">
        <f t="shared" si="182"/>
        <v>-0.37266003104739293</v>
      </c>
      <c r="M110" s="455">
        <f t="shared" si="182"/>
        <v>-0.32177949079854512</v>
      </c>
      <c r="N110" s="279">
        <f t="shared" si="182"/>
        <v>-0.26830670191976091</v>
      </c>
      <c r="O110" s="279">
        <f t="shared" si="182"/>
        <v>-0.2436138241923366</v>
      </c>
      <c r="P110" s="279">
        <f t="shared" si="182"/>
        <v>-0.12836213094028112</v>
      </c>
      <c r="Q110" s="279">
        <f t="shared" si="182"/>
        <v>-0.12612692632233424</v>
      </c>
      <c r="R110" s="455">
        <f t="shared" si="182"/>
        <v>-0.1859346913368522</v>
      </c>
      <c r="S110" s="279">
        <f t="shared" si="182"/>
        <v>-0.12489777876008398</v>
      </c>
      <c r="T110" s="279">
        <f t="shared" si="182"/>
        <v>-0.120481419809034</v>
      </c>
      <c r="U110" s="279">
        <f t="shared" si="182"/>
        <v>-0.12549236950970882</v>
      </c>
      <c r="V110" s="279">
        <f t="shared" si="182"/>
        <v>-0.12953179401015052</v>
      </c>
      <c r="W110" s="455">
        <f t="shared" si="182"/>
        <v>-0.12533592117049866</v>
      </c>
      <c r="X110" s="279">
        <f t="shared" si="182"/>
        <v>-0.15689259836742181</v>
      </c>
      <c r="Y110" s="279">
        <f t="shared" si="182"/>
        <v>-0.10016940161872658</v>
      </c>
      <c r="Z110" s="279">
        <f t="shared" si="182"/>
        <v>-3.5452577567545898E-2</v>
      </c>
      <c r="AA110" s="279">
        <f t="shared" si="182"/>
        <v>-2.8689835684164607E-2</v>
      </c>
      <c r="AB110" s="455">
        <f t="shared" si="182"/>
        <v>-7.6164217443494428E-2</v>
      </c>
      <c r="AC110" s="279">
        <f t="shared" si="182"/>
        <v>1.8897315023570404E-2</v>
      </c>
      <c r="AD110" s="279">
        <f t="shared" si="182"/>
        <v>7.2695956129130304E-3</v>
      </c>
      <c r="AE110" s="279">
        <f t="shared" si="182"/>
        <v>9.3560218868378332E-3</v>
      </c>
      <c r="AF110" s="279">
        <f t="shared" si="182"/>
        <v>1.7599947625698324E-2</v>
      </c>
      <c r="AG110" s="455">
        <f t="shared" si="182"/>
        <v>1.3298791547253837E-2</v>
      </c>
      <c r="AH110" s="279">
        <f t="shared" si="182"/>
        <v>-4.2940428238287046E-2</v>
      </c>
      <c r="AI110" s="279">
        <f t="shared" si="182"/>
        <v>3.0633290197347136E-2</v>
      </c>
      <c r="AJ110" s="665">
        <f t="shared" si="182"/>
        <v>5.253390435403283E-3</v>
      </c>
      <c r="AK110" s="665">
        <f t="shared" si="182"/>
        <v>-2.4257902597230447E-2</v>
      </c>
      <c r="AL110" s="666">
        <f t="shared" si="182"/>
        <v>-7.8107153098768856E-3</v>
      </c>
      <c r="AM110" s="665">
        <f t="shared" si="182"/>
        <v>-9.0420686073341226E-3</v>
      </c>
      <c r="AN110" s="665">
        <f t="shared" si="182"/>
        <v>3.4915085310193716E-2</v>
      </c>
      <c r="AO110" s="665">
        <f t="shared" si="182"/>
        <v>2.6098331593921113E-2</v>
      </c>
      <c r="AP110" s="665">
        <f t="shared" si="182"/>
        <v>-5.6258985214787852E-2</v>
      </c>
      <c r="AQ110" s="455">
        <f t="shared" si="182"/>
        <v>-2.8539196569319619E-3</v>
      </c>
      <c r="AR110" s="279">
        <f t="shared" ref="AR110:BP110" si="183">+AR109/AR52</f>
        <v>-4.9712804351141157E-2</v>
      </c>
      <c r="AS110" s="279">
        <f t="shared" si="183"/>
        <v>-2.5320235287092053E-3</v>
      </c>
      <c r="AT110" s="279">
        <f t="shared" si="183"/>
        <v>5.4811822604045171E-2</v>
      </c>
      <c r="AU110" s="279">
        <f t="shared" si="183"/>
        <v>0.13043761078496741</v>
      </c>
      <c r="AV110" s="455">
        <f t="shared" si="183"/>
        <v>3.7147323754931884E-2</v>
      </c>
      <c r="AW110" s="279">
        <f t="shared" si="183"/>
        <v>6.0084946553550178E-2</v>
      </c>
      <c r="AX110" s="279">
        <f t="shared" si="183"/>
        <v>6.7030070054930627E-2</v>
      </c>
      <c r="AY110" s="279">
        <f t="shared" si="183"/>
        <v>0.1813792791297657</v>
      </c>
      <c r="AZ110" s="279">
        <f t="shared" si="183"/>
        <v>0.23968178186565856</v>
      </c>
      <c r="BA110" s="455">
        <f t="shared" si="183"/>
        <v>0.14020061539885845</v>
      </c>
      <c r="BB110" s="279">
        <f t="shared" si="183"/>
        <v>0.21220764403879064</v>
      </c>
      <c r="BC110" s="279">
        <f t="shared" si="183"/>
        <v>0.21036967945728421</v>
      </c>
      <c r="BD110" s="279">
        <f t="shared" si="183"/>
        <v>0.2362592823800162</v>
      </c>
      <c r="BE110" s="279">
        <f t="shared" si="183"/>
        <v>0.1900250160685468</v>
      </c>
      <c r="BF110" s="455">
        <f t="shared" si="183"/>
        <v>0.21218781360818098</v>
      </c>
      <c r="BG110" s="279">
        <f t="shared" si="183"/>
        <v>0.18952880577209363</v>
      </c>
      <c r="BH110" s="279">
        <f t="shared" si="183"/>
        <v>0.21284542445364693</v>
      </c>
      <c r="BI110" s="279">
        <f t="shared" ref="BI110" si="184">+BI109/BI52</f>
        <v>0.19602679390713892</v>
      </c>
      <c r="BJ110" s="279">
        <f t="shared" si="183"/>
        <v>0.16553811617936592</v>
      </c>
      <c r="BK110" s="455">
        <f t="shared" si="183"/>
        <v>0.19091898757144155</v>
      </c>
      <c r="BL110" s="279">
        <f t="shared" si="183"/>
        <v>0.11860407266009518</v>
      </c>
      <c r="BM110" s="279">
        <f t="shared" si="183"/>
        <v>0.15649347597119051</v>
      </c>
      <c r="BN110" s="279">
        <f t="shared" si="183"/>
        <v>0.1709293118924172</v>
      </c>
      <c r="BO110" s="279">
        <f t="shared" si="183"/>
        <v>0.17252576186052368</v>
      </c>
      <c r="BP110" s="455">
        <f t="shared" si="183"/>
        <v>0.15476455806294029</v>
      </c>
      <c r="BQ110" s="279">
        <f t="shared" ref="BQ110:BU110" si="185">+BQ109/BQ52</f>
        <v>0.1653366360651562</v>
      </c>
      <c r="BR110" s="279">
        <f t="shared" si="185"/>
        <v>0.16507151632401318</v>
      </c>
      <c r="BS110" s="279">
        <f t="shared" si="185"/>
        <v>0.16873561693668379</v>
      </c>
      <c r="BT110" s="279">
        <f t="shared" si="185"/>
        <v>0.1685734203366725</v>
      </c>
      <c r="BU110" s="455">
        <f t="shared" si="185"/>
        <v>0.16693870465413319</v>
      </c>
    </row>
    <row r="111" spans="2:73" ht="3.6" customHeight="1">
      <c r="B111" s="280"/>
      <c r="C111" s="280"/>
      <c r="D111" s="273"/>
      <c r="E111" s="274"/>
      <c r="F111" s="274"/>
      <c r="G111" s="274"/>
      <c r="H111" s="448"/>
      <c r="I111" s="274"/>
      <c r="J111" s="274"/>
      <c r="K111" s="274"/>
      <c r="L111" s="274"/>
      <c r="M111" s="448"/>
      <c r="N111" s="274"/>
      <c r="O111" s="274"/>
      <c r="P111" s="274"/>
      <c r="Q111" s="274"/>
      <c r="R111" s="448"/>
      <c r="S111" s="274"/>
      <c r="T111" s="274"/>
      <c r="U111" s="274"/>
      <c r="V111" s="274"/>
      <c r="W111" s="448"/>
      <c r="X111" s="274"/>
      <c r="Y111" s="274"/>
      <c r="Z111" s="274"/>
      <c r="AA111" s="274"/>
      <c r="AB111" s="448"/>
      <c r="AC111" s="274"/>
      <c r="AD111" s="274"/>
      <c r="AE111" s="274"/>
      <c r="AF111" s="274"/>
      <c r="AG111" s="448"/>
      <c r="AH111" s="274"/>
      <c r="AI111" s="274"/>
      <c r="AJ111" s="567"/>
      <c r="AK111" s="567"/>
      <c r="AL111" s="661"/>
      <c r="AM111" s="567"/>
      <c r="AN111" s="567"/>
      <c r="AO111" s="567"/>
      <c r="AP111" s="567"/>
      <c r="AQ111" s="448"/>
      <c r="AR111" s="274"/>
      <c r="AS111" s="274"/>
      <c r="AT111" s="274"/>
      <c r="AU111" s="274"/>
      <c r="AV111" s="448"/>
      <c r="AW111" s="274"/>
      <c r="AX111" s="274"/>
      <c r="AY111" s="274"/>
      <c r="AZ111" s="274"/>
      <c r="BA111" s="448"/>
      <c r="BB111" s="274"/>
      <c r="BC111" s="274"/>
      <c r="BD111" s="274"/>
      <c r="BE111" s="274"/>
      <c r="BF111" s="448"/>
      <c r="BG111" s="274"/>
      <c r="BH111" s="274"/>
      <c r="BI111" s="274"/>
      <c r="BJ111" s="274"/>
      <c r="BK111" s="448"/>
      <c r="BL111" s="274"/>
      <c r="BM111" s="274"/>
      <c r="BN111" s="274"/>
      <c r="BO111" s="274"/>
      <c r="BP111" s="448"/>
      <c r="BQ111" s="274"/>
      <c r="BR111" s="274"/>
      <c r="BS111" s="274"/>
      <c r="BT111" s="274"/>
      <c r="BU111" s="448"/>
    </row>
    <row r="112" spans="2:73" ht="12.75">
      <c r="B112" s="270" t="s">
        <v>11</v>
      </c>
      <c r="C112" s="270"/>
      <c r="D112" s="174">
        <v>96</v>
      </c>
      <c r="E112" s="174">
        <v>95</v>
      </c>
      <c r="F112" s="174">
        <v>89</v>
      </c>
      <c r="G112" s="174">
        <v>99</v>
      </c>
      <c r="H112" s="450">
        <f>D112+E112+F112+G112</f>
        <v>379</v>
      </c>
      <c r="I112" s="174">
        <v>74</v>
      </c>
      <c r="J112" s="174">
        <v>97</v>
      </c>
      <c r="K112" s="174">
        <v>211</v>
      </c>
      <c r="L112" s="174">
        <v>114</v>
      </c>
      <c r="M112" s="450">
        <f>I112+J112+K112+L112</f>
        <v>496</v>
      </c>
      <c r="N112" s="174">
        <v>142</v>
      </c>
      <c r="O112" s="174">
        <v>149</v>
      </c>
      <c r="P112" s="174">
        <v>70</v>
      </c>
      <c r="Q112" s="174">
        <v>-388</v>
      </c>
      <c r="R112" s="450">
        <f>N112+O112+P112+Q112</f>
        <v>-27</v>
      </c>
      <c r="S112" s="174">
        <v>129</v>
      </c>
      <c r="T112" s="174">
        <f>187</f>
        <v>187</v>
      </c>
      <c r="U112" s="174">
        <f>+-2325+2632</f>
        <v>307</v>
      </c>
      <c r="V112" s="174">
        <f>+-227+352</f>
        <v>125</v>
      </c>
      <c r="W112" s="450">
        <f>S112+T112+U112+V112</f>
        <v>748</v>
      </c>
      <c r="X112" s="174">
        <v>95</v>
      </c>
      <c r="Y112" s="174">
        <v>131</v>
      </c>
      <c r="Z112" s="174">
        <v>-155</v>
      </c>
      <c r="AA112" s="174">
        <v>395</v>
      </c>
      <c r="AB112" s="450">
        <f>X112+Y112+Z112+AA112</f>
        <v>466</v>
      </c>
      <c r="AC112" s="174">
        <v>225</v>
      </c>
      <c r="AD112" s="174">
        <v>-519</v>
      </c>
      <c r="AE112" s="174">
        <f>207-0</f>
        <v>207</v>
      </c>
      <c r="AF112" s="566">
        <f>129</f>
        <v>129</v>
      </c>
      <c r="AG112" s="450">
        <f>AC112+AD112+AE112+AF112</f>
        <v>42</v>
      </c>
      <c r="AH112" s="174">
        <v>243</v>
      </c>
      <c r="AI112" s="174">
        <v>235</v>
      </c>
      <c r="AJ112" s="566">
        <f>527</f>
        <v>527</v>
      </c>
      <c r="AK112" s="566">
        <f>981</f>
        <v>981</v>
      </c>
      <c r="AL112" s="663">
        <f>AH112+AI112+AJ112+AK112</f>
        <v>1986</v>
      </c>
      <c r="AM112" s="566">
        <f>363</f>
        <v>363</v>
      </c>
      <c r="AN112" s="566">
        <f>9449-8965</f>
        <v>484</v>
      </c>
      <c r="AO112" s="566">
        <f>208</f>
        <v>208</v>
      </c>
      <c r="AP112" s="566">
        <f>400</f>
        <v>400</v>
      </c>
      <c r="AQ112" s="450">
        <f>AM112+AN112+AO112+AP112</f>
        <v>1455</v>
      </c>
      <c r="AR112" s="174">
        <f>1436</f>
        <v>1436</v>
      </c>
      <c r="AS112" s="174">
        <v>37</v>
      </c>
      <c r="AT112" s="174">
        <f>1035-375</f>
        <v>660</v>
      </c>
      <c r="AU112" s="174">
        <f>-96</f>
        <v>-96</v>
      </c>
      <c r="AV112" s="450">
        <f>AR112+AS112+AT112+AU112</f>
        <v>2037</v>
      </c>
      <c r="AW112" s="174">
        <f>594</f>
        <v>594</v>
      </c>
      <c r="AX112" s="174">
        <f>869</f>
        <v>869</v>
      </c>
      <c r="AY112" s="174">
        <f>2082-604</f>
        <v>1478</v>
      </c>
      <c r="AZ112" s="174">
        <f>-4063</f>
        <v>-4063</v>
      </c>
      <c r="BA112" s="450">
        <f>AW112+AX112+AY112+AZ112</f>
        <v>-1122</v>
      </c>
      <c r="BB112" s="174">
        <f>8925-6360</f>
        <v>2565</v>
      </c>
      <c r="BC112" s="174">
        <f>538</f>
        <v>538</v>
      </c>
      <c r="BD112" s="174">
        <f>2952-1571</f>
        <v>1381</v>
      </c>
      <c r="BE112" s="174">
        <f>3514+1668</f>
        <v>5182</v>
      </c>
      <c r="BF112" s="450">
        <f>BB112+BC112+BD112+BE112</f>
        <v>9666</v>
      </c>
      <c r="BG112" s="174">
        <f>2700</f>
        <v>2700</v>
      </c>
      <c r="BH112" s="174">
        <f>2000</f>
        <v>2000</v>
      </c>
      <c r="BI112" s="174">
        <f>-497</f>
        <v>-497</v>
      </c>
      <c r="BJ112" s="174">
        <f>2597</f>
        <v>2597</v>
      </c>
      <c r="BK112" s="450">
        <f>BG112+BH112+BI112+BJ112</f>
        <v>6800</v>
      </c>
      <c r="BL112" s="174">
        <f>BL109*BL113</f>
        <v>1233.3028187500008</v>
      </c>
      <c r="BM112" s="174">
        <f>BM109*BM113</f>
        <v>1634.8386740000003</v>
      </c>
      <c r="BN112" s="174">
        <f>BN109*BN113</f>
        <v>1796.8866994500008</v>
      </c>
      <c r="BO112" s="174">
        <f>BO109*BO113</f>
        <v>1826.3722072195001</v>
      </c>
      <c r="BP112" s="450">
        <f>BL112+BM112+BN112+BO112</f>
        <v>6491.4003994195009</v>
      </c>
      <c r="BQ112" s="174">
        <f>BQ109*BQ113</f>
        <v>1748.6216865197102</v>
      </c>
      <c r="BR112" s="174">
        <f>BR109*BR113</f>
        <v>1753.988931930822</v>
      </c>
      <c r="BS112" s="174">
        <f>BS109*BS113</f>
        <v>1802.8150709981521</v>
      </c>
      <c r="BT112" s="174">
        <f>BT109*BT113</f>
        <v>1813.3881049079371</v>
      </c>
      <c r="BU112" s="450">
        <f>BQ112+BR112+BS112+BT112</f>
        <v>7118.8137943566217</v>
      </c>
    </row>
    <row r="113" spans="2:73" ht="12.75">
      <c r="B113" s="272" t="s">
        <v>12</v>
      </c>
      <c r="C113" s="299"/>
      <c r="D113" s="277">
        <f t="shared" ref="D113:AQ113" si="186">+D112/D109</f>
        <v>-1.4279339580544399E-2</v>
      </c>
      <c r="E113" s="277">
        <f t="shared" si="186"/>
        <v>-1.3114301490889012E-2</v>
      </c>
      <c r="F113" s="277">
        <f t="shared" si="186"/>
        <v>-1.2939808083745275E-2</v>
      </c>
      <c r="G113" s="277">
        <f t="shared" si="186"/>
        <v>-1.1128597122302158E-2</v>
      </c>
      <c r="H113" s="457">
        <f t="shared" si="186"/>
        <v>-1.2743350929693016E-2</v>
      </c>
      <c r="I113" s="281">
        <f t="shared" si="186"/>
        <v>-1.0924121641570712E-2</v>
      </c>
      <c r="J113" s="281">
        <f t="shared" si="186"/>
        <v>-1.2630208333333334E-2</v>
      </c>
      <c r="K113" s="281">
        <f t="shared" si="186"/>
        <v>-2.3793414524131709E-2</v>
      </c>
      <c r="L113" s="281">
        <f t="shared" si="186"/>
        <v>-9.3114432737074239E-3</v>
      </c>
      <c r="M113" s="457">
        <f t="shared" si="186"/>
        <v>-1.3946295515253761E-2</v>
      </c>
      <c r="N113" s="281">
        <f t="shared" si="186"/>
        <v>-1.5209940017137961E-2</v>
      </c>
      <c r="O113" s="281">
        <f t="shared" si="186"/>
        <v>-1.6411499063773545E-2</v>
      </c>
      <c r="P113" s="281">
        <f t="shared" si="186"/>
        <v>-1.3518733101583623E-2</v>
      </c>
      <c r="Q113" s="281">
        <f t="shared" si="186"/>
        <v>6.8309859154929584E-2</v>
      </c>
      <c r="R113" s="457">
        <f t="shared" si="186"/>
        <v>9.2235165510880332E-4</v>
      </c>
      <c r="S113" s="277">
        <f t="shared" si="186"/>
        <v>-2.2827818085294639E-2</v>
      </c>
      <c r="T113" s="277">
        <f t="shared" si="186"/>
        <v>-3.271518544436669E-2</v>
      </c>
      <c r="U113" s="277">
        <f t="shared" si="186"/>
        <v>-4.8422712933753942E-2</v>
      </c>
      <c r="V113" s="277">
        <f t="shared" si="186"/>
        <v>-1.6715699384862264E-2</v>
      </c>
      <c r="W113" s="457">
        <f t="shared" si="186"/>
        <v>-2.9700218383958706E-2</v>
      </c>
      <c r="X113" s="277">
        <f t="shared" si="186"/>
        <v>-1.110721384309599E-2</v>
      </c>
      <c r="Y113" s="277">
        <f t="shared" si="186"/>
        <v>-2.2377861291424668E-2</v>
      </c>
      <c r="Z113" s="277">
        <f t="shared" si="186"/>
        <v>7.0104025327905925E-2</v>
      </c>
      <c r="AA113" s="277">
        <f t="shared" si="186"/>
        <v>-0.20020273694880891</v>
      </c>
      <c r="AB113" s="457">
        <f t="shared" si="186"/>
        <v>-2.5065892098327148E-2</v>
      </c>
      <c r="AC113" s="277">
        <f t="shared" si="186"/>
        <v>0.16268980477223427</v>
      </c>
      <c r="AD113" s="277">
        <f t="shared" si="186"/>
        <v>-0.90418118466898956</v>
      </c>
      <c r="AE113" s="277">
        <f t="shared" si="186"/>
        <v>0.26606683804627251</v>
      </c>
      <c r="AF113" s="277">
        <f t="shared" si="186"/>
        <v>7.9975201487910721E-2</v>
      </c>
      <c r="AG113" s="457">
        <f t="shared" si="186"/>
        <v>9.659613615455382E-3</v>
      </c>
      <c r="AH113" s="277">
        <f t="shared" si="186"/>
        <v>-5.9985188842261172E-2</v>
      </c>
      <c r="AI113" s="277">
        <f t="shared" si="186"/>
        <v>7.7557755775577553E-2</v>
      </c>
      <c r="AJ113" s="667">
        <f t="shared" si="186"/>
        <v>0.95471014492753625</v>
      </c>
      <c r="AK113" s="667">
        <f t="shared" si="186"/>
        <v>-0.35737704918032787</v>
      </c>
      <c r="AL113" s="668">
        <f t="shared" si="186"/>
        <v>-0.61792159303049154</v>
      </c>
      <c r="AM113" s="667">
        <f t="shared" si="186"/>
        <v>-0.34180790960451979</v>
      </c>
      <c r="AN113" s="667">
        <f t="shared" si="186"/>
        <v>0.10965111010421387</v>
      </c>
      <c r="AO113" s="667">
        <f t="shared" si="186"/>
        <v>5.6970692960832646E-2</v>
      </c>
      <c r="AP113" s="667">
        <f t="shared" si="186"/>
        <v>-4.6887820888524209E-2</v>
      </c>
      <c r="AQ113" s="457">
        <f t="shared" si="186"/>
        <v>-0.95222513089005234</v>
      </c>
      <c r="AR113" s="277">
        <f t="shared" ref="AR113:AY113" si="187">+AR112/AR109</f>
        <v>-0.18353783231083845</v>
      </c>
      <c r="AS113" s="277">
        <f t="shared" si="187"/>
        <v>-8.7264150943396221E-2</v>
      </c>
      <c r="AT113" s="277">
        <f t="shared" si="187"/>
        <v>6.8507369732198467E-2</v>
      </c>
      <c r="AU113" s="277">
        <f t="shared" si="187"/>
        <v>-3.9895274903378629E-3</v>
      </c>
      <c r="AV113" s="457">
        <f t="shared" si="187"/>
        <v>8.0042437816810086E-2</v>
      </c>
      <c r="AW113" s="277">
        <f t="shared" si="187"/>
        <v>5.3970561511902597E-2</v>
      </c>
      <c r="AX113" s="277">
        <f t="shared" si="187"/>
        <v>6.8082105922908184E-2</v>
      </c>
      <c r="AY113" s="277">
        <f t="shared" si="187"/>
        <v>4.0980424776798093E-2</v>
      </c>
      <c r="AZ113" s="277">
        <v>0.03</v>
      </c>
      <c r="BA113" s="457">
        <f t="shared" ref="BA113:BI113" si="188">+BA112/BA109</f>
        <v>-1.0290273765304718E-2</v>
      </c>
      <c r="BB113" s="277">
        <f t="shared" si="188"/>
        <v>5.8933002481389579E-2</v>
      </c>
      <c r="BC113" s="277">
        <f t="shared" si="188"/>
        <v>1.2295737629985145E-2</v>
      </c>
      <c r="BD113" s="277">
        <f t="shared" si="188"/>
        <v>2.7231139330362423E-2</v>
      </c>
      <c r="BE113" s="277">
        <f t="shared" si="188"/>
        <v>0.12609806545808491</v>
      </c>
      <c r="BF113" s="457">
        <f t="shared" si="188"/>
        <v>5.397346555883141E-2</v>
      </c>
      <c r="BG113" s="277">
        <f t="shared" si="188"/>
        <v>6.7755778062184746E-2</v>
      </c>
      <c r="BH113" s="277">
        <f t="shared" si="188"/>
        <v>4.3869269576661547E-2</v>
      </c>
      <c r="BI113" s="277">
        <f t="shared" si="188"/>
        <v>-1.1632261386509385E-2</v>
      </c>
      <c r="BJ113" s="277">
        <v>0.1</v>
      </c>
      <c r="BK113" s="457">
        <f>+BK112/BK109</f>
        <v>4.1425273071744921E-2</v>
      </c>
      <c r="BL113" s="277">
        <v>0.05</v>
      </c>
      <c r="BM113" s="277">
        <v>0.05</v>
      </c>
      <c r="BN113" s="277">
        <v>0.05</v>
      </c>
      <c r="BO113" s="277">
        <v>0.05</v>
      </c>
      <c r="BP113" s="457">
        <f>+BP112/BP109</f>
        <v>4.9999999999999996E-2</v>
      </c>
      <c r="BQ113" s="277">
        <v>0.05</v>
      </c>
      <c r="BR113" s="277">
        <v>0.05</v>
      </c>
      <c r="BS113" s="277">
        <v>0.05</v>
      </c>
      <c r="BT113" s="277">
        <v>0.05</v>
      </c>
      <c r="BU113" s="457">
        <f>+BU112/BU109</f>
        <v>0.05</v>
      </c>
    </row>
    <row r="114" spans="2:73" ht="3.6" customHeight="1">
      <c r="B114" s="270"/>
      <c r="C114" s="270"/>
      <c r="D114" s="273" t="s">
        <v>1</v>
      </c>
      <c r="E114" s="273" t="s">
        <v>1</v>
      </c>
      <c r="F114" s="273" t="s">
        <v>1</v>
      </c>
      <c r="G114" s="273" t="s">
        <v>1</v>
      </c>
      <c r="H114" s="453" t="s">
        <v>1</v>
      </c>
      <c r="I114" s="273" t="s">
        <v>1</v>
      </c>
      <c r="J114" s="273" t="s">
        <v>1</v>
      </c>
      <c r="K114" s="273" t="s">
        <v>1</v>
      </c>
      <c r="L114" s="273" t="s">
        <v>1</v>
      </c>
      <c r="M114" s="453" t="s">
        <v>1</v>
      </c>
      <c r="N114" s="273" t="s">
        <v>1</v>
      </c>
      <c r="O114" s="273" t="s">
        <v>1</v>
      </c>
      <c r="P114" s="273" t="s">
        <v>1</v>
      </c>
      <c r="Q114" s="273" t="s">
        <v>1</v>
      </c>
      <c r="R114" s="453" t="s">
        <v>1</v>
      </c>
      <c r="S114" s="273" t="s">
        <v>1</v>
      </c>
      <c r="T114" s="273" t="s">
        <v>1</v>
      </c>
      <c r="U114" s="273" t="s">
        <v>1</v>
      </c>
      <c r="V114" s="273" t="s">
        <v>1</v>
      </c>
      <c r="W114" s="453" t="s">
        <v>1</v>
      </c>
      <c r="X114" s="273" t="s">
        <v>1</v>
      </c>
      <c r="Y114" s="273" t="s">
        <v>1</v>
      </c>
      <c r="Z114" s="273" t="s">
        <v>1</v>
      </c>
      <c r="AA114" s="273" t="s">
        <v>1</v>
      </c>
      <c r="AB114" s="453" t="s">
        <v>1</v>
      </c>
      <c r="AC114" s="273" t="s">
        <v>1</v>
      </c>
      <c r="AD114" s="273" t="s">
        <v>1</v>
      </c>
      <c r="AE114" s="273" t="s">
        <v>1</v>
      </c>
      <c r="AF114" s="273" t="s">
        <v>1</v>
      </c>
      <c r="AG114" s="453" t="s">
        <v>1</v>
      </c>
      <c r="AH114" s="273" t="s">
        <v>1</v>
      </c>
      <c r="AI114" s="273" t="s">
        <v>1</v>
      </c>
      <c r="AJ114" s="273" t="s">
        <v>1</v>
      </c>
      <c r="AK114" s="273" t="s">
        <v>1</v>
      </c>
      <c r="AL114" s="453" t="s">
        <v>1</v>
      </c>
      <c r="AM114" s="273" t="s">
        <v>1</v>
      </c>
      <c r="AN114" s="273" t="s">
        <v>1</v>
      </c>
      <c r="AO114" s="273" t="s">
        <v>1</v>
      </c>
      <c r="AP114" s="273" t="s">
        <v>1</v>
      </c>
      <c r="AQ114" s="453" t="s">
        <v>1</v>
      </c>
      <c r="AR114" s="273" t="s">
        <v>1</v>
      </c>
      <c r="AS114" s="273" t="s">
        <v>1</v>
      </c>
      <c r="AT114" s="273" t="s">
        <v>1</v>
      </c>
      <c r="AU114" s="273" t="s">
        <v>1</v>
      </c>
      <c r="AV114" s="453" t="s">
        <v>1</v>
      </c>
      <c r="AW114" s="273" t="s">
        <v>1</v>
      </c>
      <c r="AX114" s="273" t="s">
        <v>1</v>
      </c>
      <c r="AY114" s="273" t="s">
        <v>1</v>
      </c>
      <c r="AZ114" s="273" t="s">
        <v>1</v>
      </c>
      <c r="BA114" s="453" t="s">
        <v>1</v>
      </c>
      <c r="BB114" s="273" t="s">
        <v>1</v>
      </c>
      <c r="BC114" s="273" t="s">
        <v>1</v>
      </c>
      <c r="BD114" s="273" t="s">
        <v>1</v>
      </c>
      <c r="BE114" s="273" t="s">
        <v>1</v>
      </c>
      <c r="BF114" s="453" t="s">
        <v>1</v>
      </c>
      <c r="BG114" s="273" t="s">
        <v>1</v>
      </c>
      <c r="BH114" s="273" t="s">
        <v>1</v>
      </c>
      <c r="BI114" s="273" t="s">
        <v>1</v>
      </c>
      <c r="BJ114" s="273" t="s">
        <v>1</v>
      </c>
      <c r="BK114" s="453" t="s">
        <v>1</v>
      </c>
      <c r="BL114" s="273" t="s">
        <v>1</v>
      </c>
      <c r="BM114" s="273" t="s">
        <v>1</v>
      </c>
      <c r="BN114" s="273" t="s">
        <v>1</v>
      </c>
      <c r="BO114" s="273" t="s">
        <v>1</v>
      </c>
      <c r="BP114" s="453" t="s">
        <v>1</v>
      </c>
      <c r="BQ114" s="273" t="s">
        <v>1</v>
      </c>
      <c r="BR114" s="273" t="s">
        <v>1</v>
      </c>
      <c r="BS114" s="273" t="s">
        <v>1</v>
      </c>
      <c r="BT114" s="273" t="s">
        <v>1</v>
      </c>
      <c r="BU114" s="453" t="s">
        <v>1</v>
      </c>
    </row>
    <row r="115" spans="2:73" ht="13.15">
      <c r="B115" s="269" t="s">
        <v>144</v>
      </c>
      <c r="C115" s="269"/>
      <c r="D115" s="199">
        <f t="shared" ref="D115:AQ115" si="189">+D109-D112</f>
        <v>-6819</v>
      </c>
      <c r="E115" s="199">
        <f t="shared" si="189"/>
        <v>-7339</v>
      </c>
      <c r="F115" s="199">
        <f t="shared" si="189"/>
        <v>-6967</v>
      </c>
      <c r="G115" s="199">
        <f t="shared" si="189"/>
        <v>-8995</v>
      </c>
      <c r="H115" s="439">
        <f t="shared" si="189"/>
        <v>-30120</v>
      </c>
      <c r="I115" s="199">
        <f t="shared" si="189"/>
        <v>-6848</v>
      </c>
      <c r="J115" s="199">
        <f t="shared" si="189"/>
        <v>-7777</v>
      </c>
      <c r="K115" s="199">
        <f t="shared" si="189"/>
        <v>-9079</v>
      </c>
      <c r="L115" s="199">
        <f t="shared" si="189"/>
        <v>-12357</v>
      </c>
      <c r="M115" s="439">
        <f t="shared" si="189"/>
        <v>-36061</v>
      </c>
      <c r="N115" s="199">
        <f t="shared" si="189"/>
        <v>-9478</v>
      </c>
      <c r="O115" s="199">
        <f t="shared" si="189"/>
        <v>-9228</v>
      </c>
      <c r="P115" s="199">
        <f t="shared" si="189"/>
        <v>-5248</v>
      </c>
      <c r="Q115" s="199">
        <f t="shared" si="189"/>
        <v>-5292</v>
      </c>
      <c r="R115" s="439">
        <f t="shared" si="189"/>
        <v>-29246</v>
      </c>
      <c r="S115" s="199">
        <f t="shared" si="189"/>
        <v>-5780</v>
      </c>
      <c r="T115" s="199">
        <f t="shared" si="189"/>
        <v>-5903</v>
      </c>
      <c r="U115" s="199">
        <f t="shared" si="189"/>
        <v>-6647</v>
      </c>
      <c r="V115" s="199">
        <f t="shared" si="189"/>
        <v>-7603</v>
      </c>
      <c r="W115" s="439">
        <f t="shared" si="189"/>
        <v>-25933</v>
      </c>
      <c r="X115" s="199">
        <f t="shared" si="189"/>
        <v>-8648</v>
      </c>
      <c r="Y115" s="199">
        <f t="shared" si="189"/>
        <v>-5985</v>
      </c>
      <c r="Z115" s="199">
        <f t="shared" si="189"/>
        <v>-2056</v>
      </c>
      <c r="AA115" s="199">
        <f t="shared" si="189"/>
        <v>-2368</v>
      </c>
      <c r="AB115" s="439">
        <f t="shared" si="189"/>
        <v>-19057</v>
      </c>
      <c r="AC115" s="199">
        <f t="shared" si="189"/>
        <v>1158</v>
      </c>
      <c r="AD115" s="199">
        <f t="shared" si="189"/>
        <v>1093</v>
      </c>
      <c r="AE115" s="199">
        <f t="shared" si="189"/>
        <v>571</v>
      </c>
      <c r="AF115" s="199">
        <f t="shared" si="189"/>
        <v>1484</v>
      </c>
      <c r="AG115" s="439">
        <f t="shared" si="189"/>
        <v>4306</v>
      </c>
      <c r="AH115" s="199">
        <f t="shared" si="189"/>
        <v>-4294</v>
      </c>
      <c r="AI115" s="199">
        <f t="shared" si="189"/>
        <v>2795</v>
      </c>
      <c r="AJ115" s="199">
        <f t="shared" si="189"/>
        <v>25</v>
      </c>
      <c r="AK115" s="199">
        <f t="shared" si="189"/>
        <v>-3726</v>
      </c>
      <c r="AL115" s="439">
        <f t="shared" si="189"/>
        <v>-5200</v>
      </c>
      <c r="AM115" s="199">
        <f t="shared" si="189"/>
        <v>-1425</v>
      </c>
      <c r="AN115" s="199">
        <f t="shared" si="189"/>
        <v>3930</v>
      </c>
      <c r="AO115" s="199">
        <f t="shared" si="189"/>
        <v>3443</v>
      </c>
      <c r="AP115" s="199">
        <f t="shared" si="189"/>
        <v>-8931</v>
      </c>
      <c r="AQ115" s="439">
        <f t="shared" si="189"/>
        <v>-2983</v>
      </c>
      <c r="AR115" s="199">
        <f t="shared" ref="AR115:BP115" si="190">+AR109-AR112</f>
        <v>-9260</v>
      </c>
      <c r="AS115" s="199">
        <f t="shared" si="190"/>
        <v>-461</v>
      </c>
      <c r="AT115" s="199">
        <f t="shared" si="190"/>
        <v>8974</v>
      </c>
      <c r="AU115" s="199">
        <f t="shared" si="190"/>
        <v>24159</v>
      </c>
      <c r="AV115" s="439">
        <f t="shared" si="190"/>
        <v>23412</v>
      </c>
      <c r="AW115" s="199">
        <f t="shared" si="190"/>
        <v>10412</v>
      </c>
      <c r="AX115" s="199">
        <f t="shared" si="190"/>
        <v>11895</v>
      </c>
      <c r="AY115" s="199">
        <f t="shared" si="190"/>
        <v>34588</v>
      </c>
      <c r="AZ115" s="199">
        <f t="shared" si="190"/>
        <v>53262</v>
      </c>
      <c r="BA115" s="439">
        <f t="shared" si="190"/>
        <v>110157</v>
      </c>
      <c r="BB115" s="199">
        <f t="shared" si="190"/>
        <v>40959</v>
      </c>
      <c r="BC115" s="199">
        <f t="shared" si="190"/>
        <v>43217</v>
      </c>
      <c r="BD115" s="199">
        <f t="shared" si="190"/>
        <v>49333</v>
      </c>
      <c r="BE115" s="199">
        <f t="shared" si="190"/>
        <v>35913</v>
      </c>
      <c r="BF115" s="439">
        <f t="shared" si="190"/>
        <v>169422</v>
      </c>
      <c r="BG115" s="199">
        <f t="shared" si="190"/>
        <v>37149</v>
      </c>
      <c r="BH115" s="199">
        <f t="shared" si="190"/>
        <v>43590</v>
      </c>
      <c r="BI115" s="199">
        <f t="shared" ref="BI115" si="191">+BI109-BI112</f>
        <v>43223</v>
      </c>
      <c r="BJ115" s="199">
        <f t="shared" si="190"/>
        <v>33389</v>
      </c>
      <c r="BK115" s="439">
        <f t="shared" si="190"/>
        <v>157351</v>
      </c>
      <c r="BL115" s="199">
        <f t="shared" si="190"/>
        <v>23432.753556250012</v>
      </c>
      <c r="BM115" s="199">
        <f t="shared" si="190"/>
        <v>31061.934806000005</v>
      </c>
      <c r="BN115" s="199">
        <f t="shared" si="190"/>
        <v>34140.847289550016</v>
      </c>
      <c r="BO115" s="199">
        <f t="shared" si="190"/>
        <v>34701.071937170498</v>
      </c>
      <c r="BP115" s="439">
        <f t="shared" si="190"/>
        <v>123336.60758897054</v>
      </c>
      <c r="BQ115" s="199">
        <f t="shared" ref="BQ115:BU115" si="192">+BQ109-BQ112</f>
        <v>33223.812043874488</v>
      </c>
      <c r="BR115" s="199">
        <f t="shared" si="192"/>
        <v>33325.789706685617</v>
      </c>
      <c r="BS115" s="199">
        <f t="shared" si="192"/>
        <v>34253.486348964892</v>
      </c>
      <c r="BT115" s="199">
        <f t="shared" si="192"/>
        <v>34454.373993250803</v>
      </c>
      <c r="BU115" s="439">
        <f t="shared" si="192"/>
        <v>135257.46209277579</v>
      </c>
    </row>
    <row r="116" spans="2:73" ht="9.75" customHeight="1">
      <c r="B116" s="269"/>
      <c r="C116" s="269"/>
      <c r="D116" s="195"/>
      <c r="E116" s="195"/>
      <c r="F116" s="195"/>
      <c r="G116" s="195"/>
      <c r="H116" s="458"/>
      <c r="I116" s="195"/>
      <c r="J116" s="195"/>
      <c r="K116" s="195"/>
      <c r="L116" s="195"/>
      <c r="M116" s="459"/>
      <c r="N116" s="195"/>
      <c r="O116" s="195"/>
      <c r="P116" s="195"/>
      <c r="Q116" s="195"/>
      <c r="R116" s="459"/>
      <c r="S116" s="195"/>
      <c r="T116" s="195"/>
      <c r="U116" s="195"/>
      <c r="V116" s="195"/>
      <c r="W116" s="459"/>
      <c r="X116" s="195"/>
      <c r="Y116" s="195"/>
      <c r="Z116" s="195"/>
      <c r="AA116" s="195"/>
      <c r="AB116" s="467"/>
      <c r="AC116" s="195"/>
      <c r="AD116" s="195"/>
      <c r="AE116" s="195"/>
      <c r="AF116" s="195"/>
      <c r="AG116" s="467"/>
      <c r="AH116" s="195"/>
      <c r="AI116" s="195"/>
      <c r="AJ116" s="195"/>
      <c r="AK116" s="195"/>
      <c r="AL116" s="467"/>
      <c r="AM116" s="195"/>
      <c r="AN116" s="195"/>
      <c r="AO116" s="195"/>
      <c r="AP116" s="195"/>
      <c r="AQ116" s="467"/>
      <c r="AR116" s="195"/>
      <c r="AS116" s="195"/>
      <c r="AT116" s="195"/>
      <c r="AU116" s="195"/>
      <c r="AV116" s="467"/>
      <c r="AW116" s="195"/>
      <c r="AX116" s="195"/>
      <c r="AY116" s="195"/>
      <c r="AZ116" s="195"/>
      <c r="BA116" s="467"/>
      <c r="BB116" s="195"/>
      <c r="BC116" s="195"/>
      <c r="BD116" s="195"/>
      <c r="BE116" s="195"/>
      <c r="BF116" s="467"/>
      <c r="BG116" s="195"/>
      <c r="BH116" s="195"/>
      <c r="BI116" s="195"/>
      <c r="BJ116" s="195"/>
      <c r="BK116" s="467"/>
      <c r="BL116" s="195"/>
      <c r="BM116" s="195"/>
      <c r="BN116" s="195"/>
      <c r="BO116" s="195"/>
      <c r="BP116" s="467"/>
      <c r="BQ116" s="195"/>
      <c r="BR116" s="195"/>
      <c r="BS116" s="195"/>
      <c r="BT116" s="195"/>
      <c r="BU116" s="467"/>
    </row>
    <row r="117" spans="2:73" ht="13.15">
      <c r="B117" s="269" t="s">
        <v>145</v>
      </c>
      <c r="C117" s="269"/>
      <c r="D117" s="282">
        <f t="shared" ref="D117:AQ117" si="193">D115/D119</f>
        <v>-0.53622507455761825</v>
      </c>
      <c r="E117" s="282">
        <f t="shared" si="193"/>
        <v>-0.57502434000697955</v>
      </c>
      <c r="F117" s="282">
        <f t="shared" si="193"/>
        <v>-0.5437446343557325</v>
      </c>
      <c r="G117" s="282">
        <f t="shared" si="193"/>
        <v>-0.70322602888535124</v>
      </c>
      <c r="H117" s="458">
        <f t="shared" si="193"/>
        <v>-2.3584839176766961</v>
      </c>
      <c r="I117" s="282">
        <f t="shared" si="193"/>
        <v>-0.54167838668433033</v>
      </c>
      <c r="J117" s="282">
        <f t="shared" si="193"/>
        <v>-0.61019763671404692</v>
      </c>
      <c r="K117" s="282">
        <f t="shared" si="193"/>
        <v>-0.27495054282063219</v>
      </c>
      <c r="L117" s="282">
        <f t="shared" si="193"/>
        <v>-0.30803307559803478</v>
      </c>
      <c r="M117" s="458">
        <f t="shared" si="193"/>
        <v>-1.4640561314192013</v>
      </c>
      <c r="N117" s="282">
        <f t="shared" si="193"/>
        <v>-0.23374956523394722</v>
      </c>
      <c r="O117" s="282">
        <f t="shared" si="193"/>
        <v>-0.22472450244453648</v>
      </c>
      <c r="P117" s="282">
        <f t="shared" si="193"/>
        <v>-0.12651217668852593</v>
      </c>
      <c r="Q117" s="282">
        <f t="shared" si="193"/>
        <v>-0.12631952222385756</v>
      </c>
      <c r="R117" s="458">
        <f t="shared" si="193"/>
        <v>-0.70904887134377204</v>
      </c>
      <c r="S117" s="282">
        <f t="shared" si="193"/>
        <v>-0.13756392051556673</v>
      </c>
      <c r="T117" s="282">
        <f t="shared" si="193"/>
        <v>-0.1383041706310309</v>
      </c>
      <c r="U117" s="282">
        <f t="shared" si="193"/>
        <v>-0.15358479078491255</v>
      </c>
      <c r="V117" s="282">
        <f t="shared" si="193"/>
        <v>-0.17388740421212331</v>
      </c>
      <c r="W117" s="458">
        <f t="shared" si="193"/>
        <v>-0.60414381551158303</v>
      </c>
      <c r="X117" s="282">
        <f t="shared" si="193"/>
        <v>-0.19128405615983102</v>
      </c>
      <c r="Y117" s="282">
        <f t="shared" si="193"/>
        <v>-0.1293216692750318</v>
      </c>
      <c r="Z117" s="282">
        <f t="shared" si="193"/>
        <v>-4.3824799110936362E-2</v>
      </c>
      <c r="AA117" s="282">
        <f t="shared" si="193"/>
        <v>-4.9960932154531019E-2</v>
      </c>
      <c r="AB117" s="458">
        <f t="shared" si="193"/>
        <v>-0.41026621836268229</v>
      </c>
      <c r="AC117" s="282">
        <f t="shared" si="193"/>
        <v>2.2624079890588542E-2</v>
      </c>
      <c r="AD117" s="282">
        <f t="shared" si="193"/>
        <v>2.1004742344261463E-2</v>
      </c>
      <c r="AE117" s="282">
        <f t="shared" si="193"/>
        <v>1.0895978195220321E-2</v>
      </c>
      <c r="AF117" s="282">
        <f>AF115/AF119</f>
        <v>2.8221087728579165E-2</v>
      </c>
      <c r="AG117" s="458">
        <f t="shared" si="193"/>
        <v>8.271526912918821E-2</v>
      </c>
      <c r="AH117" s="282">
        <f t="shared" si="193"/>
        <v>-8.5661887701534351E-2</v>
      </c>
      <c r="AI117" s="282">
        <f t="shared" si="193"/>
        <v>5.2672978390830523E-2</v>
      </c>
      <c r="AJ117" s="282">
        <f t="shared" si="193"/>
        <v>4.6387179088392479E-4</v>
      </c>
      <c r="AK117" s="282">
        <f t="shared" si="193"/>
        <v>-7.1629777171221043E-2</v>
      </c>
      <c r="AL117" s="458">
        <f t="shared" si="193"/>
        <v>-0.10188721774693503</v>
      </c>
      <c r="AM117" s="282">
        <f t="shared" si="193"/>
        <v>-2.6935132884997888E-2</v>
      </c>
      <c r="AN117" s="282">
        <f t="shared" si="193"/>
        <v>6.80735264757691E-2</v>
      </c>
      <c r="AO117" s="282">
        <f>AO115/AO119</f>
        <v>5.8978715450086913E-2</v>
      </c>
      <c r="AP117" s="282">
        <f t="shared" si="193"/>
        <v>-0.15736808529064772</v>
      </c>
      <c r="AQ117" s="458">
        <f t="shared" si="193"/>
        <v>-5.4039855072463769E-2</v>
      </c>
      <c r="AR117" s="282">
        <f t="shared" ref="AR117:BP117" si="194">AR115/AR119</f>
        <v>-0.16041626183648106</v>
      </c>
      <c r="AS117" s="282">
        <f t="shared" si="194"/>
        <v>-7.9155276863352129E-3</v>
      </c>
      <c r="AT117" s="282">
        <f t="shared" si="194"/>
        <v>0.13680322033622097</v>
      </c>
      <c r="AU117" s="282">
        <f t="shared" si="194"/>
        <v>0.34705746725191944</v>
      </c>
      <c r="AV117" s="458">
        <f t="shared" si="194"/>
        <v>0.37284173177435842</v>
      </c>
      <c r="AW117" s="282">
        <f t="shared" si="194"/>
        <v>0.15680693136034107</v>
      </c>
      <c r="AX117" s="282">
        <f t="shared" si="194"/>
        <v>0.17692598135353357</v>
      </c>
      <c r="AY117" s="282">
        <f t="shared" si="194"/>
        <v>0.50200857858755754</v>
      </c>
      <c r="AZ117" s="282">
        <f t="shared" si="194"/>
        <v>0.72240317339824578</v>
      </c>
      <c r="BA117" s="458">
        <f t="shared" si="194"/>
        <v>1.5285796182085265</v>
      </c>
      <c r="BB117" s="282">
        <f t="shared" si="194"/>
        <v>0.55333770754588407</v>
      </c>
      <c r="BC117" s="282">
        <f t="shared" si="194"/>
        <v>0.58204431601409068</v>
      </c>
      <c r="BD117" s="282">
        <f t="shared" si="194"/>
        <v>0.66185845609604932</v>
      </c>
      <c r="BE117" s="282">
        <f t="shared" si="194"/>
        <v>0.47829864246451292</v>
      </c>
      <c r="BF117" s="458">
        <f t="shared" si="194"/>
        <v>2.2749297261025738</v>
      </c>
      <c r="BG117" s="282">
        <f t="shared" si="194"/>
        <v>0.49263986180144986</v>
      </c>
      <c r="BH117" s="282">
        <f t="shared" si="194"/>
        <v>0.57824213726996088</v>
      </c>
      <c r="BI117" s="282">
        <f t="shared" ref="BI117" si="195">BI115/BI119</f>
        <v>0.5716433375136315</v>
      </c>
      <c r="BJ117" s="282">
        <f t="shared" si="194"/>
        <v>0.43753514538500471</v>
      </c>
      <c r="BK117" s="458">
        <f t="shared" si="194"/>
        <v>2.0791959996391061</v>
      </c>
      <c r="BL117" s="282">
        <f t="shared" si="194"/>
        <v>0.3039267646725034</v>
      </c>
      <c r="BM117" s="282">
        <f t="shared" si="194"/>
        <v>0.39888963549973683</v>
      </c>
      <c r="BN117" s="282">
        <f t="shared" si="194"/>
        <v>0.43408738938198266</v>
      </c>
      <c r="BO117" s="282">
        <f t="shared" si="194"/>
        <v>0.43814342057212496</v>
      </c>
      <c r="BP117" s="458">
        <f t="shared" si="194"/>
        <v>1.5770887532168074</v>
      </c>
      <c r="BQ117" s="282">
        <f t="shared" ref="BQ117:BU117" si="196">BQ115/BQ119</f>
        <v>0.41907213780824054</v>
      </c>
      <c r="BR117" s="282">
        <f t="shared" si="196"/>
        <v>0.41993850555515616</v>
      </c>
      <c r="BS117" s="282">
        <f t="shared" si="196"/>
        <v>0.43119722011196288</v>
      </c>
      <c r="BT117" s="282">
        <f t="shared" si="196"/>
        <v>0.43329278505801122</v>
      </c>
      <c r="BU117" s="458">
        <f t="shared" si="196"/>
        <v>1.7035275959957206</v>
      </c>
    </row>
    <row r="118" spans="2:73" ht="13.15">
      <c r="B118" s="269"/>
      <c r="C118" s="270"/>
      <c r="D118" s="283"/>
      <c r="E118" s="283"/>
      <c r="F118" s="283"/>
      <c r="G118" s="283"/>
      <c r="H118" s="459"/>
      <c r="I118" s="283"/>
      <c r="J118" s="283"/>
      <c r="K118" s="283"/>
      <c r="L118" s="283"/>
      <c r="M118" s="459"/>
      <c r="N118" s="283"/>
      <c r="O118" s="283"/>
      <c r="P118" s="283"/>
      <c r="Q118" s="283"/>
      <c r="R118" s="459"/>
      <c r="S118" s="405" t="s">
        <v>320</v>
      </c>
      <c r="T118" s="406" t="s">
        <v>323</v>
      </c>
      <c r="U118" s="405"/>
      <c r="V118" s="405"/>
      <c r="W118" s="466"/>
      <c r="X118" s="405" t="s">
        <v>321</v>
      </c>
      <c r="Y118" s="406" t="s">
        <v>322</v>
      </c>
      <c r="Z118" s="283"/>
      <c r="AA118" s="283"/>
      <c r="AB118" s="459"/>
      <c r="AC118" s="283"/>
      <c r="AD118" s="283"/>
      <c r="AE118" s="283"/>
      <c r="AF118" s="283"/>
      <c r="AG118" s="459"/>
      <c r="AH118" s="283"/>
      <c r="AI118" s="283"/>
      <c r="AJ118" s="283"/>
      <c r="AK118" s="283"/>
      <c r="AL118" s="459"/>
      <c r="AM118" s="283"/>
      <c r="AN118" s="283"/>
      <c r="AO118" s="283"/>
      <c r="AP118" s="283"/>
      <c r="AQ118" s="459"/>
      <c r="AR118" s="283"/>
      <c r="AS118" s="283"/>
      <c r="AT118" s="283"/>
      <c r="AU118" s="283"/>
      <c r="AV118" s="459"/>
      <c r="AW118" s="283"/>
      <c r="AX118" s="283"/>
      <c r="AY118" s="283"/>
      <c r="AZ118" s="283"/>
      <c r="BA118" s="459"/>
      <c r="BB118" s="283"/>
      <c r="BC118" s="283"/>
      <c r="BD118" s="283"/>
      <c r="BE118" s="283"/>
      <c r="BF118" s="459"/>
      <c r="BG118" s="283"/>
      <c r="BH118" s="283"/>
      <c r="BI118" s="283"/>
      <c r="BJ118" s="283"/>
      <c r="BK118" s="459"/>
      <c r="BL118" s="283"/>
      <c r="BM118" s="283"/>
      <c r="BN118" s="283"/>
      <c r="BO118" s="283"/>
      <c r="BP118" s="459"/>
      <c r="BQ118" s="283"/>
      <c r="BR118" s="283"/>
      <c r="BS118" s="283"/>
      <c r="BT118" s="283"/>
      <c r="BU118" s="459"/>
    </row>
    <row r="119" spans="2:73" ht="12.75">
      <c r="B119" s="270" t="s">
        <v>13</v>
      </c>
      <c r="C119" s="270"/>
      <c r="D119" s="274">
        <v>12716.674999999999</v>
      </c>
      <c r="E119" s="274">
        <v>12762.938</v>
      </c>
      <c r="F119" s="322">
        <v>12813</v>
      </c>
      <c r="G119" s="322">
        <v>12791.050999999999</v>
      </c>
      <c r="H119" s="448">
        <f>(D119+E119+F119+G119)/4</f>
        <v>12770.915999999999</v>
      </c>
      <c r="I119" s="274">
        <v>12642.188</v>
      </c>
      <c r="J119" s="274">
        <v>12745.050999999999</v>
      </c>
      <c r="K119" s="274">
        <v>33020.483999999997</v>
      </c>
      <c r="L119" s="274">
        <v>40115.821900000003</v>
      </c>
      <c r="M119" s="448">
        <f>(I119+J119+K119+L119)/4</f>
        <v>24630.886225000002</v>
      </c>
      <c r="N119" s="274">
        <v>40547.669000000002</v>
      </c>
      <c r="O119" s="274">
        <v>41063.612999999998</v>
      </c>
      <c r="P119" s="274">
        <v>41482.173000000003</v>
      </c>
      <c r="Q119" s="274">
        <v>41893.762000000002</v>
      </c>
      <c r="R119" s="448">
        <f>(N119+O119+P119+Q119)/4</f>
        <v>41246.804250000001</v>
      </c>
      <c r="S119" s="274">
        <v>42016.830999999998</v>
      </c>
      <c r="T119" s="274">
        <f>42681.287</f>
        <v>42681.286999999997</v>
      </c>
      <c r="U119" s="274">
        <v>43279.025000000001</v>
      </c>
      <c r="V119" s="274">
        <v>43723.696000000004</v>
      </c>
      <c r="W119" s="448">
        <f>(S119+T119+U119+V119)/4</f>
        <v>42925.209749999995</v>
      </c>
      <c r="X119" s="274">
        <v>45210.25</v>
      </c>
      <c r="Y119" s="274">
        <v>46279.947</v>
      </c>
      <c r="Z119" s="274">
        <v>46914.076999999997</v>
      </c>
      <c r="AA119" s="274">
        <v>47397.034</v>
      </c>
      <c r="AB119" s="448">
        <f>(X119+Y119+Z119+AA119)/4</f>
        <v>46450.327000000005</v>
      </c>
      <c r="AC119" s="274">
        <v>51184.402000000002</v>
      </c>
      <c r="AD119" s="274">
        <v>52035.868000000002</v>
      </c>
      <c r="AE119" s="274">
        <v>52404.656999999999</v>
      </c>
      <c r="AF119" s="567">
        <v>52584.790999999997</v>
      </c>
      <c r="AG119" s="448">
        <f>52058.103</f>
        <v>52058.103000000003</v>
      </c>
      <c r="AH119" s="567">
        <v>50127.31</v>
      </c>
      <c r="AI119" s="567">
        <v>53063.260999999999</v>
      </c>
      <c r="AJ119" s="567">
        <f>53894.202</f>
        <v>53894.201999999997</v>
      </c>
      <c r="AK119" s="567">
        <f>52017.4729999999</f>
        <v>52017.472999999904</v>
      </c>
      <c r="AL119" s="448">
        <f>51036.824</f>
        <v>51036.824000000001</v>
      </c>
      <c r="AM119" s="274">
        <f>52904.881</f>
        <v>52904.881000000001</v>
      </c>
      <c r="AN119" s="274">
        <f>57731.694</f>
        <v>57731.694000000003</v>
      </c>
      <c r="AO119" s="274">
        <v>58376.991999999998</v>
      </c>
      <c r="AP119" s="274">
        <f>56752.295</f>
        <v>56752.294999999998</v>
      </c>
      <c r="AQ119" s="448">
        <v>55200</v>
      </c>
      <c r="AR119" s="274">
        <f>57724.821</f>
        <v>57724.821000000004</v>
      </c>
      <c r="AS119" s="274">
        <f>58239.958</f>
        <v>58239.957999999999</v>
      </c>
      <c r="AT119" s="274">
        <f>65597.871</f>
        <v>65597.870999999999</v>
      </c>
      <c r="AU119" s="274">
        <f>69610.95</f>
        <v>69610.95</v>
      </c>
      <c r="AV119" s="448">
        <f>(AR119+AS119+AT119+AU119)/4</f>
        <v>62793.400000000009</v>
      </c>
      <c r="AW119" s="274">
        <v>66400.126000000004</v>
      </c>
      <c r="AX119" s="274">
        <f>67231.505</f>
        <v>67231.505000000005</v>
      </c>
      <c r="AY119" s="274">
        <f>68899.221</f>
        <v>68899.221000000005</v>
      </c>
      <c r="AZ119" s="274">
        <f>73728.912</f>
        <v>73728.911999999997</v>
      </c>
      <c r="BA119" s="448">
        <f>(AW119+AX119+AY119+AZ119)/4+3000</f>
        <v>72064.941000000006</v>
      </c>
      <c r="BB119" s="274">
        <f>74021.704</f>
        <v>74021.703999999998</v>
      </c>
      <c r="BC119" s="274">
        <f>74250.36</f>
        <v>74250.36</v>
      </c>
      <c r="BD119" s="274">
        <f>74537.085</f>
        <v>74537.085000000006</v>
      </c>
      <c r="BE119" s="274">
        <v>75084.888000000006</v>
      </c>
      <c r="BF119" s="448">
        <f>AVERAGE(BB119:BE119)</f>
        <v>74473.509250000003</v>
      </c>
      <c r="BG119" s="274">
        <f>75408.027</f>
        <v>75408.027000000002</v>
      </c>
      <c r="BH119" s="274">
        <f>75383.645</f>
        <v>75383.645000000004</v>
      </c>
      <c r="BI119" s="274">
        <f>75611.832</f>
        <v>75611.831999999995</v>
      </c>
      <c r="BJ119" s="274">
        <f>76311.584</f>
        <v>76311.584000000003</v>
      </c>
      <c r="BK119" s="448">
        <f>AVERAGE(BG119:BJ119)</f>
        <v>75678.771999999997</v>
      </c>
      <c r="BL119" s="274">
        <f>77100</f>
        <v>77100</v>
      </c>
      <c r="BM119" s="274">
        <f>BL119*1.01</f>
        <v>77871</v>
      </c>
      <c r="BN119" s="274">
        <f>BM119*1.01</f>
        <v>78649.710000000006</v>
      </c>
      <c r="BO119" s="274">
        <f>BN119*1.007</f>
        <v>79200.257969999991</v>
      </c>
      <c r="BP119" s="448">
        <f>AVERAGE(BL119:BO119)</f>
        <v>78205.241992499999</v>
      </c>
      <c r="BQ119" s="274">
        <f>BO119*1.001</f>
        <v>79279.458227969983</v>
      </c>
      <c r="BR119" s="274">
        <f>BQ119*1.001</f>
        <v>79358.737686197943</v>
      </c>
      <c r="BS119" s="274">
        <f t="shared" ref="BS119:BT119" si="197">BR119*1.001</f>
        <v>79438.096423884126</v>
      </c>
      <c r="BT119" s="274">
        <f t="shared" si="197"/>
        <v>79517.534520308007</v>
      </c>
      <c r="BU119" s="448">
        <f>AVERAGE(BQ119:BT119)</f>
        <v>79398.456714590007</v>
      </c>
    </row>
    <row r="120" spans="2:73" ht="3.75" customHeight="1">
      <c r="B120" s="270"/>
      <c r="C120" s="270"/>
      <c r="D120" s="284"/>
      <c r="E120" s="284"/>
      <c r="F120" s="284"/>
      <c r="G120" s="284"/>
      <c r="H120" s="460"/>
      <c r="I120" s="284"/>
      <c r="J120" s="284"/>
      <c r="K120" s="284"/>
      <c r="L120" s="284"/>
      <c r="M120" s="460"/>
      <c r="N120" s="284"/>
      <c r="O120" s="284"/>
      <c r="P120" s="284"/>
      <c r="Q120" s="284"/>
      <c r="R120" s="460"/>
      <c r="S120" s="284"/>
      <c r="T120" s="284"/>
      <c r="U120" s="284"/>
      <c r="V120" s="284"/>
      <c r="W120" s="460"/>
      <c r="X120" s="284"/>
      <c r="Y120" s="284"/>
      <c r="Z120" s="284"/>
      <c r="AA120" s="284"/>
      <c r="AB120" s="460"/>
      <c r="AC120" s="284"/>
      <c r="AD120" s="284"/>
      <c r="AE120" s="284"/>
      <c r="AF120" s="284"/>
      <c r="AG120" s="609"/>
      <c r="AH120" s="284"/>
      <c r="AI120" s="284"/>
      <c r="AJ120" s="284"/>
      <c r="AK120" s="284"/>
      <c r="AL120" s="460"/>
      <c r="AM120" s="284"/>
      <c r="AN120" s="284"/>
      <c r="AO120" s="284"/>
      <c r="AP120" s="284"/>
      <c r="AQ120" s="460"/>
      <c r="AR120" s="284"/>
      <c r="AS120" s="284"/>
      <c r="AT120" s="284"/>
      <c r="AU120" s="284"/>
      <c r="AV120" s="460"/>
      <c r="AW120" s="284"/>
      <c r="AX120" s="284"/>
      <c r="AY120" s="284"/>
      <c r="AZ120" s="284"/>
      <c r="BA120" s="460"/>
      <c r="BB120" s="284"/>
      <c r="BC120" s="284"/>
      <c r="BD120" s="284"/>
      <c r="BE120" s="284"/>
      <c r="BF120" s="460"/>
      <c r="BG120" s="284"/>
      <c r="BH120" s="284"/>
      <c r="BI120" s="284"/>
      <c r="BJ120" s="284"/>
      <c r="BK120" s="460"/>
      <c r="BL120" s="284"/>
      <c r="BM120" s="284"/>
      <c r="BN120" s="284"/>
      <c r="BO120" s="284"/>
      <c r="BP120" s="460"/>
      <c r="BQ120" s="284"/>
      <c r="BR120" s="284"/>
      <c r="BS120" s="284"/>
      <c r="BT120" s="284"/>
      <c r="BU120" s="460"/>
    </row>
    <row r="121" spans="2:73" ht="12.75" hidden="1" customHeight="1" outlineLevel="1">
      <c r="B121" s="186"/>
      <c r="C121" s="270"/>
      <c r="D121" s="196"/>
      <c r="E121" s="196"/>
      <c r="F121" s="196"/>
      <c r="G121" s="196"/>
      <c r="H121" s="461"/>
      <c r="I121" s="196"/>
      <c r="J121" s="196"/>
      <c r="K121" s="196"/>
      <c r="L121" s="196"/>
      <c r="M121" s="461"/>
      <c r="N121" s="196"/>
      <c r="O121" s="196"/>
      <c r="P121" s="196"/>
      <c r="Q121" s="196"/>
      <c r="R121" s="461"/>
      <c r="S121" s="196"/>
      <c r="T121" s="196"/>
      <c r="U121" s="196"/>
      <c r="V121" s="196"/>
      <c r="W121" s="461"/>
      <c r="X121" s="196"/>
      <c r="Y121" s="196"/>
      <c r="Z121" s="196"/>
      <c r="AA121" s="196"/>
      <c r="AB121" s="461"/>
      <c r="AC121" s="196"/>
      <c r="AD121" s="196"/>
      <c r="AE121" s="196"/>
      <c r="AF121" s="196"/>
      <c r="AG121" s="513"/>
      <c r="AH121" s="196"/>
      <c r="AI121" s="196"/>
      <c r="AJ121" s="196"/>
      <c r="AK121" s="196"/>
      <c r="AL121" s="461"/>
      <c r="AM121" s="196"/>
      <c r="AN121" s="196"/>
      <c r="AO121" s="196"/>
      <c r="AP121" s="196"/>
      <c r="AQ121" s="461"/>
      <c r="AR121" s="196"/>
      <c r="AS121" s="196"/>
      <c r="AT121" s="196"/>
      <c r="AU121" s="196"/>
      <c r="AV121" s="461"/>
      <c r="AW121" s="196"/>
      <c r="AX121" s="196"/>
      <c r="AY121" s="196"/>
      <c r="AZ121" s="196"/>
      <c r="BA121" s="461"/>
      <c r="BB121" s="196"/>
      <c r="BC121" s="196"/>
      <c r="BD121" s="196"/>
      <c r="BE121" s="196"/>
      <c r="BF121" s="461"/>
      <c r="BG121" s="196"/>
      <c r="BH121" s="196"/>
      <c r="BI121" s="196"/>
      <c r="BJ121" s="196"/>
      <c r="BK121" s="461"/>
      <c r="BL121" s="196"/>
      <c r="BM121" s="196"/>
      <c r="BN121" s="196"/>
      <c r="BO121" s="196"/>
      <c r="BP121" s="461"/>
      <c r="BQ121" s="196"/>
      <c r="BR121" s="196"/>
      <c r="BS121" s="196"/>
      <c r="BT121" s="196"/>
      <c r="BU121" s="461"/>
    </row>
    <row r="122" spans="2:73" ht="12.75" hidden="1" customHeight="1" outlineLevel="1">
      <c r="B122" s="186" t="s">
        <v>396</v>
      </c>
      <c r="C122" s="270"/>
      <c r="D122" s="196"/>
      <c r="E122" s="196"/>
      <c r="F122" s="196"/>
      <c r="G122" s="196"/>
      <c r="H122" s="461"/>
      <c r="I122" s="196"/>
      <c r="J122" s="196"/>
      <c r="K122" s="196"/>
      <c r="L122" s="196"/>
      <c r="M122" s="461"/>
      <c r="N122" s="196"/>
      <c r="O122" s="196"/>
      <c r="P122" s="196"/>
      <c r="Q122" s="196"/>
      <c r="R122" s="461"/>
      <c r="S122" s="196"/>
      <c r="T122" s="196"/>
      <c r="U122" s="196"/>
      <c r="V122" s="196"/>
      <c r="W122" s="461"/>
      <c r="X122" s="196"/>
      <c r="Y122" s="196"/>
      <c r="Z122" s="196"/>
      <c r="AA122" s="196">
        <f>1246</f>
        <v>1246</v>
      </c>
      <c r="AB122" s="461">
        <f>AA122</f>
        <v>1246</v>
      </c>
      <c r="AC122" s="196"/>
      <c r="AD122" s="196"/>
      <c r="AE122" s="196"/>
      <c r="AF122" s="196">
        <f>1544</f>
        <v>1544</v>
      </c>
      <c r="AG122" s="513">
        <f>AF122</f>
        <v>1544</v>
      </c>
      <c r="AH122" s="196"/>
      <c r="AI122" s="196"/>
      <c r="AJ122" s="196"/>
      <c r="AK122" s="196">
        <f>1847</f>
        <v>1847</v>
      </c>
      <c r="AL122" s="461">
        <f>AK122</f>
        <v>1847</v>
      </c>
      <c r="AM122" s="196"/>
      <c r="AN122" s="196"/>
      <c r="AO122" s="196"/>
      <c r="AP122" s="196">
        <f>2353</f>
        <v>2353</v>
      </c>
      <c r="AQ122" s="461">
        <f>AP122</f>
        <v>2353</v>
      </c>
      <c r="AR122" s="196"/>
      <c r="AS122" s="196"/>
      <c r="AT122" s="196"/>
      <c r="AU122" s="196">
        <f>2623</f>
        <v>2623</v>
      </c>
      <c r="AV122" s="461">
        <f>AU122</f>
        <v>2623</v>
      </c>
      <c r="AW122" s="196"/>
      <c r="AX122" s="196"/>
      <c r="AY122" s="196"/>
      <c r="AZ122" s="196">
        <f>2228</f>
        <v>2228</v>
      </c>
      <c r="BA122" s="461">
        <f>AZ122</f>
        <v>2228</v>
      </c>
      <c r="BB122" s="196"/>
      <c r="BC122" s="196"/>
      <c r="BD122" s="196"/>
      <c r="BE122" s="196">
        <f>2413</f>
        <v>2413</v>
      </c>
      <c r="BF122" s="461">
        <f>BE122</f>
        <v>2413</v>
      </c>
      <c r="BG122" s="196"/>
      <c r="BH122" s="196"/>
      <c r="BI122" s="196"/>
      <c r="BJ122" s="196"/>
      <c r="BK122" s="461"/>
      <c r="BL122" s="196"/>
      <c r="BM122" s="196"/>
      <c r="BN122" s="196"/>
      <c r="BO122" s="196"/>
      <c r="BP122" s="461"/>
      <c r="BQ122" s="196"/>
      <c r="BR122" s="196"/>
      <c r="BS122" s="196"/>
      <c r="BT122" s="196"/>
      <c r="BU122" s="461"/>
    </row>
    <row r="123" spans="2:73" ht="12.75" hidden="1" outlineLevel="1">
      <c r="B123" s="186" t="s">
        <v>126</v>
      </c>
      <c r="C123" s="270"/>
      <c r="D123" s="196"/>
      <c r="E123" s="196"/>
      <c r="F123" s="196"/>
      <c r="G123" s="196"/>
      <c r="H123" s="461"/>
      <c r="I123" s="196"/>
      <c r="J123" s="196"/>
      <c r="K123" s="196"/>
      <c r="L123" s="196"/>
      <c r="M123" s="461"/>
      <c r="N123" s="196"/>
      <c r="O123" s="196"/>
      <c r="P123" s="196"/>
      <c r="Q123" s="196"/>
      <c r="R123" s="461"/>
      <c r="S123" s="196"/>
      <c r="T123" s="196"/>
      <c r="U123" s="196"/>
      <c r="V123" s="196"/>
      <c r="W123" s="461"/>
      <c r="X123" s="196"/>
      <c r="Y123" s="196"/>
      <c r="Z123" s="196"/>
      <c r="AA123" s="196"/>
      <c r="AB123" s="461"/>
      <c r="AC123" s="196"/>
      <c r="AD123" s="196"/>
      <c r="AE123" s="196"/>
      <c r="AF123" s="196"/>
      <c r="AG123" s="513"/>
      <c r="AH123" s="196"/>
      <c r="AI123" s="196"/>
      <c r="AJ123" s="196"/>
      <c r="AK123" s="196"/>
      <c r="AL123" s="461"/>
      <c r="AM123" s="196"/>
      <c r="AN123" s="196"/>
      <c r="AO123" s="196"/>
      <c r="AP123" s="196"/>
      <c r="AQ123" s="462">
        <f>AQ122/AL122-1</f>
        <v>0.27395776935571203</v>
      </c>
      <c r="AR123" s="196"/>
      <c r="AS123" s="196"/>
      <c r="AT123" s="196"/>
      <c r="AU123" s="196"/>
      <c r="AV123" s="462">
        <f>AV122/AQ122-1</f>
        <v>0.11474713132171699</v>
      </c>
      <c r="AW123" s="196"/>
      <c r="AX123" s="196"/>
      <c r="AY123" s="196"/>
      <c r="AZ123" s="196"/>
      <c r="BA123" s="462">
        <f>BA122/AV122-1</f>
        <v>-0.15059092642012961</v>
      </c>
      <c r="BB123" s="196"/>
      <c r="BC123" s="196"/>
      <c r="BD123" s="196"/>
      <c r="BE123" s="196"/>
      <c r="BF123" s="462">
        <f>BF122/BA122-1</f>
        <v>8.3034111310592351E-2</v>
      </c>
      <c r="BG123" s="196"/>
      <c r="BH123" s="196"/>
      <c r="BI123" s="196"/>
      <c r="BJ123" s="196"/>
      <c r="BK123" s="461"/>
      <c r="BL123" s="196"/>
      <c r="BM123" s="196"/>
      <c r="BN123" s="196"/>
      <c r="BO123" s="196"/>
      <c r="BP123" s="461"/>
      <c r="BQ123" s="196"/>
      <c r="BR123" s="196"/>
      <c r="BS123" s="196"/>
      <c r="BT123" s="196"/>
      <c r="BU123" s="461"/>
    </row>
    <row r="124" spans="2:73" ht="12.75" hidden="1" customHeight="1" outlineLevel="1">
      <c r="B124" s="186" t="s">
        <v>140</v>
      </c>
      <c r="C124" s="270"/>
      <c r="D124" s="196"/>
      <c r="E124" s="196"/>
      <c r="F124" s="196"/>
      <c r="G124" s="196"/>
      <c r="H124" s="461">
        <f>+'Billings &amp; Recs'!H92</f>
        <v>-22842</v>
      </c>
      <c r="I124" s="196">
        <f>+'Billings &amp; Recs'!I92</f>
        <v>-4853</v>
      </c>
      <c r="J124" s="196">
        <f>+'Billings &amp; Recs'!J92</f>
        <v>-6155</v>
      </c>
      <c r="K124" s="196">
        <f>+'Billings &amp; Recs'!K92</f>
        <v>-6698</v>
      </c>
      <c r="L124" s="196">
        <f>+'Billings &amp; Recs'!L92</f>
        <v>-10992</v>
      </c>
      <c r="M124" s="461">
        <f>+'Billings &amp; Recs'!M92</f>
        <v>-28698</v>
      </c>
      <c r="N124" s="196">
        <f>+'Billings &amp; Recs'!N92</f>
        <v>-8389</v>
      </c>
      <c r="O124" s="196">
        <f>+'Billings &amp; Recs'!O92</f>
        <v>-7932</v>
      </c>
      <c r="P124" s="196">
        <f>+'Billings &amp; Recs'!P92</f>
        <v>-4116</v>
      </c>
      <c r="Q124" s="196">
        <f>+'Billings &amp; Recs'!Q92</f>
        <v>-4571</v>
      </c>
      <c r="R124" s="461">
        <f>+'Billings &amp; Recs'!R92</f>
        <v>-25008</v>
      </c>
      <c r="S124" s="196">
        <f>+'Billings &amp; Recs'!S92</f>
        <v>-4567</v>
      </c>
      <c r="T124" s="196">
        <f>+'Billings &amp; Recs'!T92</f>
        <v>-5033</v>
      </c>
      <c r="U124" s="196">
        <f>+'Billings &amp; Recs'!U92</f>
        <v>-5600</v>
      </c>
      <c r="V124" s="196">
        <f>+'Billings &amp; Recs'!V92</f>
        <v>-6258</v>
      </c>
      <c r="W124" s="461">
        <f>+'Billings &amp; Recs'!W92</f>
        <v>-21458</v>
      </c>
      <c r="X124" s="196">
        <f>+'Billings &amp; Recs'!X92</f>
        <v>-7421</v>
      </c>
      <c r="Y124" s="196">
        <f>+'Billings &amp; Recs'!Y92</f>
        <v>-4247</v>
      </c>
      <c r="Z124" s="196">
        <f>+'Billings &amp; Recs'!Z92</f>
        <v>-1102</v>
      </c>
      <c r="AA124" s="196">
        <f>+'Billings &amp; Recs'!AA92</f>
        <v>-658</v>
      </c>
      <c r="AB124" s="461">
        <f>+'Billings &amp; Recs'!AB92</f>
        <v>-13428</v>
      </c>
      <c r="AC124" s="196">
        <f>+'Billings &amp; Recs'!AC92</f>
        <v>2607</v>
      </c>
      <c r="AD124" s="196">
        <f>+'Billings &amp; Recs'!AD92</f>
        <v>2746</v>
      </c>
      <c r="AE124" s="196">
        <f>+'Billings &amp; Recs'!AE92</f>
        <v>3446</v>
      </c>
      <c r="AF124" s="196">
        <f>+'Billings &amp; Recs'!AF92</f>
        <v>3654</v>
      </c>
      <c r="AG124" s="513">
        <f>+'Billings &amp; Recs'!AG92</f>
        <v>12453</v>
      </c>
      <c r="AH124" s="196">
        <f>+'Billings &amp; Recs'!AH92</f>
        <v>-780</v>
      </c>
      <c r="AI124" s="196">
        <f>+'Billings &amp; Recs'!AI92</f>
        <v>7556</v>
      </c>
      <c r="AJ124" s="196">
        <f>+'Billings &amp; Recs'!AJ92</f>
        <v>5791</v>
      </c>
      <c r="AK124" s="196">
        <f>+'Billings &amp; Recs'!AK92</f>
        <v>2958</v>
      </c>
      <c r="AL124" s="461">
        <f>+'Billings &amp; Recs'!AL92</f>
        <v>15525</v>
      </c>
      <c r="AM124" s="196">
        <f>+'Billings &amp; Recs'!AM92</f>
        <v>5757</v>
      </c>
      <c r="AN124" s="196">
        <f>+'Billings &amp; Recs'!AN92</f>
        <v>10030</v>
      </c>
      <c r="AO124" s="196">
        <f>+'Billings &amp; Recs'!AO92</f>
        <v>9911</v>
      </c>
      <c r="AP124" s="196">
        <f>+'Billings &amp; Recs'!AP92</f>
        <v>-1903</v>
      </c>
      <c r="AQ124" s="461">
        <f>+'Billings &amp; Recs'!AQ92</f>
        <v>23795</v>
      </c>
      <c r="AR124" s="196">
        <f>+'Billings &amp; Recs'!AR92</f>
        <v>-1173</v>
      </c>
      <c r="AS124" s="196">
        <f>+'Billings &amp; Recs'!AS92</f>
        <v>7983</v>
      </c>
      <c r="AT124" s="196">
        <f>+'Billings &amp; Recs'!AT92</f>
        <v>17930</v>
      </c>
      <c r="AU124" s="196">
        <f>+'Billings &amp; Recs'!AU92</f>
        <v>24700</v>
      </c>
      <c r="AV124" s="461">
        <f>+'Billings &amp; Recs'!AV92</f>
        <v>47780</v>
      </c>
      <c r="AW124" s="196">
        <f>+'Billings &amp; Recs'!AW92</f>
        <v>16821</v>
      </c>
      <c r="AX124" s="196">
        <f>+'Billings &amp; Recs'!AX92</f>
        <v>19049</v>
      </c>
      <c r="AY124" s="196">
        <f>+'Billings &amp; Recs'!AY92</f>
        <v>42925</v>
      </c>
      <c r="AZ124" s="196">
        <f>+'Billings &amp; Recs'!AZ92</f>
        <v>47412</v>
      </c>
      <c r="BA124" s="461">
        <f>+'Billings &amp; Recs'!BA92</f>
        <v>126722</v>
      </c>
      <c r="BB124" s="196">
        <f>+'Billings &amp; Recs'!BB92</f>
        <v>46619</v>
      </c>
      <c r="BC124" s="196">
        <f>+'Billings &amp; Recs'!BC92</f>
        <v>45438</v>
      </c>
      <c r="BD124" s="196">
        <f>+'Billings &amp; Recs'!BD92</f>
        <v>50083</v>
      </c>
      <c r="BE124" s="196">
        <f>+'Billings &amp; Recs'!BE92</f>
        <v>46310</v>
      </c>
      <c r="BF124" s="461">
        <f>+'Billings &amp; Recs'!BF92</f>
        <v>183911</v>
      </c>
      <c r="BG124" s="196">
        <f>+'Billings &amp; Recs'!BG92</f>
        <v>38898</v>
      </c>
      <c r="BH124" s="196">
        <f>+'Billings &amp; Recs'!BH92</f>
        <v>42648</v>
      </c>
      <c r="BI124" s="196">
        <f>+'Billings &amp; Recs'!BI92</f>
        <v>43514</v>
      </c>
      <c r="BJ124" s="196">
        <f>+'Billings &amp; Recs'!BJ92</f>
        <v>36812</v>
      </c>
      <c r="BK124" s="461">
        <f>+'Billings &amp; Recs'!BK92</f>
        <v>161872</v>
      </c>
      <c r="BL124" s="196">
        <f>+'Billings &amp; Recs'!BL92</f>
        <v>26099.856375000018</v>
      </c>
      <c r="BM124" s="196">
        <f>+'Billings &amp; Recs'!BM92</f>
        <v>33154.701260000002</v>
      </c>
      <c r="BN124" s="196">
        <f>+'Billings &amp; Recs'!BN92</f>
        <v>35536.131050600015</v>
      </c>
      <c r="BO124" s="196">
        <f>+'Billings &amp; Recs'!BO92</f>
        <v>35369.125623461994</v>
      </c>
      <c r="BP124" s="461">
        <f>+'Billings &amp; Recs'!BP92</f>
        <v>130159.81430906203</v>
      </c>
      <c r="BQ124" s="196">
        <f>+'Billings &amp; Recs'!BQ92</f>
        <v>31148.155309252441</v>
      </c>
      <c r="BR124" s="196">
        <f>+'Billings &amp; Recs'!BR92</f>
        <v>30668.213365584583</v>
      </c>
      <c r="BS124" s="196">
        <f>+'Billings &amp; Recs'!BS92</f>
        <v>31127.71312120607</v>
      </c>
      <c r="BT124" s="196">
        <f>+'Billings &amp; Recs'!BT92</f>
        <v>30884.240876085976</v>
      </c>
      <c r="BU124" s="461">
        <f>+'Billings &amp; Recs'!BU92</f>
        <v>123828.32267212906</v>
      </c>
    </row>
    <row r="125" spans="2:73" ht="12.75" hidden="1" customHeight="1" outlineLevel="1">
      <c r="B125" s="186" t="s">
        <v>204</v>
      </c>
      <c r="C125" s="270"/>
      <c r="D125" s="237"/>
      <c r="E125" s="237"/>
      <c r="F125" s="237"/>
      <c r="G125" s="237"/>
      <c r="H125" s="462">
        <f>+'Billings &amp; Recs'!H95</f>
        <v>-0.29711238293444331</v>
      </c>
      <c r="I125" s="237">
        <f>+'Billings &amp; Recs'!I95</f>
        <v>-0.20588859191379238</v>
      </c>
      <c r="J125" s="237">
        <f>+'Billings &amp; Recs'!J95</f>
        <v>-0.23865839472663825</v>
      </c>
      <c r="K125" s="237">
        <f>+'Billings &amp; Recs'!K95</f>
        <v>-0.23657812941508902</v>
      </c>
      <c r="L125" s="237">
        <f>+'Billings &amp; Recs'!L95</f>
        <v>-0.33458131677472375</v>
      </c>
      <c r="M125" s="462">
        <f>+'Billings &amp; Recs'!M95</f>
        <v>-0.25964931328375224</v>
      </c>
      <c r="N125" s="237">
        <f>+'Billings &amp; Recs'!N95</f>
        <v>-0.24109092999195308</v>
      </c>
      <c r="O125" s="237">
        <f>+'Billings &amp; Recs'!O95</f>
        <v>-0.21283675002683267</v>
      </c>
      <c r="P125" s="237">
        <f>+'Billings &amp; Recs'!P95</f>
        <v>-0.10203525124569275</v>
      </c>
      <c r="Q125" s="237">
        <f>+'Billings &amp; Recs'!Q95</f>
        <v>-0.10150108806679398</v>
      </c>
      <c r="R125" s="462">
        <f>+'Billings &amp; Recs'!R95</f>
        <v>-0.15884449017702318</v>
      </c>
      <c r="S125" s="237">
        <f>+'Billings &amp; Recs'!S95</f>
        <v>-0.10093933031274174</v>
      </c>
      <c r="T125" s="237">
        <f>+'Billings &amp; Recs'!T95</f>
        <v>-0.10608519697320996</v>
      </c>
      <c r="U125" s="237">
        <f>+'Billings &amp; Recs'!U95</f>
        <v>-0.11084499515053146</v>
      </c>
      <c r="V125" s="237">
        <f>+'Billings &amp; Recs'!V95</f>
        <v>-0.10839930020266408</v>
      </c>
      <c r="W125" s="462">
        <f>+'Billings &amp; Recs'!W95</f>
        <v>-0.10678809594903951</v>
      </c>
      <c r="X125" s="237">
        <f>+'Billings &amp; Recs'!X95</f>
        <v>-0.13612767128313308</v>
      </c>
      <c r="Y125" s="237">
        <f>+'Billings &amp; Recs'!Y95</f>
        <v>-7.2671583306240475E-2</v>
      </c>
      <c r="Z125" s="237">
        <f>+'Billings &amp; Recs'!Z95</f>
        <v>-1.7670167561933778E-2</v>
      </c>
      <c r="AA125" s="237">
        <f>+'Billings &amp; Recs'!AA95</f>
        <v>-9.5681256361785667E-3</v>
      </c>
      <c r="AB125" s="462">
        <f>+'Billings &amp; Recs'!AB95</f>
        <v>-5.5012270014052136E-2</v>
      </c>
      <c r="AC125" s="237">
        <f>+'Billings &amp; Recs'!AC95</f>
        <v>3.5622053699528589E-2</v>
      </c>
      <c r="AD125" s="237">
        <f>+'Billings &amp; Recs'!AD95</f>
        <v>3.4777542775364427E-2</v>
      </c>
      <c r="AE125" s="237">
        <f>+'Billings &amp; Recs'!AE95</f>
        <v>4.1440683061752151E-2</v>
      </c>
      <c r="AF125" s="237">
        <f>+'Billings &amp; Recs'!AF95</f>
        <v>3.9869937150837989E-2</v>
      </c>
      <c r="AG125" s="480">
        <f>+'Billings &amp; Recs'!AG95</f>
        <v>3.8088742212040484E-2</v>
      </c>
      <c r="AH125" s="237">
        <f>+'Billings &amp; Recs'!AH95</f>
        <v>-8.2679669281322879E-3</v>
      </c>
      <c r="AI125" s="237">
        <f>+'Billings &amp; Recs'!AI95</f>
        <v>7.639113555483662E-2</v>
      </c>
      <c r="AJ125" s="237">
        <f>+'Billings &amp; Recs'!AJ95</f>
        <v>5.5113014513442776E-2</v>
      </c>
      <c r="AK125" s="237">
        <f>+'Billings &amp; Recs'!AK95</f>
        <v>2.6140209793299694E-2</v>
      </c>
      <c r="AL125" s="462">
        <f>+'Billings &amp; Recs'!AL95</f>
        <v>3.7729108645251599E-2</v>
      </c>
      <c r="AM125" s="237">
        <f>+'Billings &amp; Recs'!AM95</f>
        <v>4.9016185473090904E-2</v>
      </c>
      <c r="AN125" s="237">
        <f>+'Billings &amp; Recs'!AN95</f>
        <v>7.9338084653657229E-2</v>
      </c>
      <c r="AO125" s="237">
        <f>+'Billings &amp; Recs'!AO95</f>
        <v>7.0846498062818994E-2</v>
      </c>
      <c r="AP125" s="237">
        <f>+'Billings &amp; Recs'!AP95</f>
        <v>-1.2549624764241154E-2</v>
      </c>
      <c r="AQ125" s="462">
        <f>+'Billings &amp; Recs'!AQ95</f>
        <v>4.4443074762235621E-2</v>
      </c>
      <c r="AR125" s="237">
        <f>+'Billings &amp; Recs'!AR95</f>
        <v>-7.4531083210491534E-3</v>
      </c>
      <c r="AS125" s="237">
        <f>+'Billings &amp; Recs'!AS95</f>
        <v>4.7672509032277328E-2</v>
      </c>
      <c r="AT125" s="237">
        <f>+'Billings &amp; Recs'!AT95</f>
        <v>0.10201120814724206</v>
      </c>
      <c r="AU125" s="237">
        <f>+'Billings &amp; Recs'!AU95</f>
        <v>0.13389057833140899</v>
      </c>
      <c r="AV125" s="462">
        <f>+'Billings &amp; Recs'!AV95</f>
        <v>6.9743374160503177E-2</v>
      </c>
      <c r="AW125" s="237">
        <f>+'Billings &amp; Recs'!AW95</f>
        <v>9.183071833338792E-2</v>
      </c>
      <c r="AX125" s="237">
        <f>+'Billings &amp; Recs'!AX95</f>
        <v>0.10003571015954039</v>
      </c>
      <c r="AY125" s="237">
        <f>+'Billings &amp; Recs'!AY95</f>
        <v>0.21587383010716998</v>
      </c>
      <c r="AZ125" s="237">
        <f>+'Billings &amp; Recs'!AZ95</f>
        <v>0.23097608979480483</v>
      </c>
      <c r="BA125" s="462">
        <f>+'Billings &amp; Recs'!BA95</f>
        <v>0.16294311353761765</v>
      </c>
      <c r="BB125" s="237">
        <f>+'Billings &amp; Recs'!BB95</f>
        <v>0.22729777036679488</v>
      </c>
      <c r="BC125" s="237">
        <f>+'Billings &amp; Recs'!BC95</f>
        <v>0.21846137573260382</v>
      </c>
      <c r="BD125" s="237">
        <f>+'Billings &amp; Recs'!BD95</f>
        <v>0.2333196679307164</v>
      </c>
      <c r="BE125" s="237">
        <f>+'Billings &amp; Recs'!BE95</f>
        <v>0.2141393963775253</v>
      </c>
      <c r="BF125" s="462">
        <f>+'Billings &amp; Recs'!BF95</f>
        <v>0.2179022211901086</v>
      </c>
      <c r="BG125" s="237">
        <f>+'Billings &amp; Recs'!BG95</f>
        <v>0.18500568362877104</v>
      </c>
      <c r="BH125" s="237">
        <f>+'Billings &amp; Recs'!BH95</f>
        <v>0.19911014832417492</v>
      </c>
      <c r="BI125" s="237">
        <f>+'Billings &amp; Recs'!BI95</f>
        <v>0.19964213617177465</v>
      </c>
      <c r="BJ125" s="237">
        <f>+'Billings &amp; Recs'!BJ95</f>
        <v>0.1693377739341638</v>
      </c>
      <c r="BK125" s="462">
        <f>+'Billings &amp; Recs'!BK95</f>
        <v>0.1882683526519143</v>
      </c>
      <c r="BL125" s="237">
        <f>+'Billings &amp; Recs'!BL95</f>
        <v>0.12549834537214499</v>
      </c>
      <c r="BM125" s="237">
        <f>+'Billings &amp; Recs'!BM95</f>
        <v>0.15868521241514896</v>
      </c>
      <c r="BN125" s="237">
        <f>+'Billings &amp; Recs'!BN95</f>
        <v>0.16901918272468236</v>
      </c>
      <c r="BO125" s="237">
        <f>+'Billings &amp; Recs'!BO95</f>
        <v>0.16705481282531859</v>
      </c>
      <c r="BP125" s="462">
        <f>+'Billings &amp; Recs'!BP95</f>
        <v>0.15516009566208366</v>
      </c>
      <c r="BQ125" s="237">
        <f>+'Billings &amp; Recs'!BQ95</f>
        <v>0.14725687260338072</v>
      </c>
      <c r="BR125" s="237">
        <f>+'Billings &amp; Recs'!BR95</f>
        <v>0.144312440946608</v>
      </c>
      <c r="BS125" s="237">
        <f>+'Billings &amp; Recs'!BS95</f>
        <v>0.14567089996720461</v>
      </c>
      <c r="BT125" s="237">
        <f>+'Billings &amp; Recs'!BT95</f>
        <v>0.14355068572725083</v>
      </c>
      <c r="BU125" s="462">
        <f>+'Billings &amp; Recs'!BU95</f>
        <v>0.14519090106533339</v>
      </c>
    </row>
    <row r="126" spans="2:73" ht="12.75" hidden="1" customHeight="1" outlineLevel="1">
      <c r="B126" s="270" t="s">
        <v>188</v>
      </c>
      <c r="C126" s="270"/>
      <c r="D126" s="196"/>
      <c r="E126" s="196"/>
      <c r="F126" s="196"/>
      <c r="G126" s="196"/>
      <c r="H126" s="461">
        <f>+CF!H74</f>
        <v>-10438</v>
      </c>
      <c r="I126" s="196">
        <f>+CF!I74</f>
        <v>-3585</v>
      </c>
      <c r="J126" s="196">
        <f>+CF!J74</f>
        <v>-1863</v>
      </c>
      <c r="K126" s="196">
        <f>+CF!K74</f>
        <v>629</v>
      </c>
      <c r="L126" s="196">
        <f>+CF!L74</f>
        <v>-1224</v>
      </c>
      <c r="M126" s="461">
        <f>+CF!M74</f>
        <v>-6043</v>
      </c>
      <c r="N126" s="196">
        <f>+CF!N74</f>
        <v>-2684</v>
      </c>
      <c r="O126" s="196">
        <f>+CF!O74</f>
        <v>1113</v>
      </c>
      <c r="P126" s="196">
        <f>+CF!P74</f>
        <v>325</v>
      </c>
      <c r="Q126" s="196">
        <f>+CF!Q74</f>
        <v>5859</v>
      </c>
      <c r="R126" s="461">
        <f>+CF!R74</f>
        <v>4613</v>
      </c>
      <c r="S126" s="196">
        <f>+CF!S74</f>
        <v>1986</v>
      </c>
      <c r="T126" s="196">
        <f>+CF!T74</f>
        <v>-5224</v>
      </c>
      <c r="U126" s="196">
        <f>+CF!U74</f>
        <v>4816</v>
      </c>
      <c r="V126" s="196">
        <f>+CF!V74</f>
        <v>6884</v>
      </c>
      <c r="W126" s="461">
        <f>+CF!W74</f>
        <v>8462</v>
      </c>
      <c r="X126" s="196">
        <f>+CF!X74</f>
        <v>5149</v>
      </c>
      <c r="Y126" s="196">
        <f>+CF!Y74</f>
        <v>-12617</v>
      </c>
      <c r="Z126" s="196">
        <f>+CF!Z74</f>
        <v>-6804</v>
      </c>
      <c r="AA126" s="196">
        <f>+CF!AA74</f>
        <v>7525</v>
      </c>
      <c r="AB126" s="461">
        <f>+CF!AB74</f>
        <v>-6747</v>
      </c>
      <c r="AC126" s="196">
        <f>+CF!AC74</f>
        <v>-22029</v>
      </c>
      <c r="AD126" s="196">
        <f>+CF!AD74</f>
        <v>-6766</v>
      </c>
      <c r="AE126" s="196">
        <f>+CF!AE74</f>
        <v>-7502</v>
      </c>
      <c r="AF126" s="196">
        <f>+CF!AF74</f>
        <v>5449</v>
      </c>
      <c r="AG126" s="513">
        <f>+CF!AG74</f>
        <v>-30848</v>
      </c>
      <c r="AH126" s="196">
        <f>+CF!AH74</f>
        <v>-11445</v>
      </c>
      <c r="AI126" s="196">
        <f>+CF!AI74</f>
        <v>-2231</v>
      </c>
      <c r="AJ126" s="196">
        <f>+CF!AJ74</f>
        <v>6449</v>
      </c>
      <c r="AK126" s="196">
        <f>+CF!AK74</f>
        <v>-7818</v>
      </c>
      <c r="AL126" s="461">
        <f>+CF!AL74</f>
        <v>-15045</v>
      </c>
      <c r="AM126" s="196">
        <f>+CF!AM74</f>
        <v>17865</v>
      </c>
      <c r="AN126" s="196">
        <f>+CF!AN74</f>
        <v>5040</v>
      </c>
      <c r="AO126" s="196">
        <f>+CF!AO74</f>
        <v>14327</v>
      </c>
      <c r="AP126" s="196">
        <f>+CF!AP74</f>
        <v>-2179</v>
      </c>
      <c r="AQ126" s="461">
        <f>+CF!AQ74</f>
        <v>35053</v>
      </c>
      <c r="AR126" s="196">
        <f>+CF!AR74</f>
        <v>3828</v>
      </c>
      <c r="AS126" s="196">
        <f>+CF!AS74</f>
        <v>-1258</v>
      </c>
      <c r="AT126" s="196">
        <f>+CF!AT74</f>
        <v>9657</v>
      </c>
      <c r="AU126" s="196">
        <f>+CF!AU74</f>
        <v>28450</v>
      </c>
      <c r="AV126" s="461">
        <f>+CF!AV74</f>
        <v>40677</v>
      </c>
      <c r="AW126" s="196">
        <f>+CF!AW74</f>
        <v>-1219</v>
      </c>
      <c r="AX126" s="196">
        <f>+CF!AX74</f>
        <v>25581</v>
      </c>
      <c r="AY126" s="196">
        <f>+CF!AY74</f>
        <v>-582</v>
      </c>
      <c r="AZ126" s="196">
        <f>+CF!AZ74</f>
        <v>60254</v>
      </c>
      <c r="BA126" s="461">
        <f>+CF!BA74</f>
        <v>84034</v>
      </c>
      <c r="BB126" s="196">
        <f>+CF!BB74</f>
        <v>27534</v>
      </c>
      <c r="BC126" s="196">
        <f>+CF!BC74</f>
        <v>29205</v>
      </c>
      <c r="BD126" s="196">
        <f>+CF!BD74</f>
        <v>38502</v>
      </c>
      <c r="BE126" s="196">
        <f>+CF!BE74</f>
        <v>58842</v>
      </c>
      <c r="BF126" s="461">
        <f>+CF!BF74</f>
        <v>154083</v>
      </c>
      <c r="BG126" s="196">
        <f>+CF!BG74</f>
        <v>24677</v>
      </c>
      <c r="BH126" s="196">
        <f>+CF!BH74</f>
        <v>42280</v>
      </c>
      <c r="BI126" s="196">
        <f>+CF!BI74</f>
        <v>30111</v>
      </c>
      <c r="BJ126" s="196">
        <f>+CF!BJ74</f>
        <v>32299</v>
      </c>
      <c r="BK126" s="461">
        <f>+CF!BK74</f>
        <v>129367</v>
      </c>
      <c r="BL126" s="196">
        <f>+CF!BL74</f>
        <v>21730.316204027793</v>
      </c>
      <c r="BM126" s="196">
        <f>+CF!BM74</f>
        <v>34972.219245822227</v>
      </c>
      <c r="BN126" s="196">
        <f>+CF!BN74</f>
        <v>23669.974858971102</v>
      </c>
      <c r="BO126" s="196">
        <f>+CF!BO74</f>
        <v>49668.897060627249</v>
      </c>
      <c r="BP126" s="461">
        <f>+CF!BP74</f>
        <v>130041.40736944834</v>
      </c>
      <c r="BQ126" s="196">
        <f>+CF!BQ74</f>
        <v>20428.766085881285</v>
      </c>
      <c r="BR126" s="196">
        <f>+CF!BR74</f>
        <v>30905.22829111194</v>
      </c>
      <c r="BS126" s="196">
        <f>+CF!BS74</f>
        <v>26350.211860919229</v>
      </c>
      <c r="BT126" s="196">
        <f>+CF!BT74</f>
        <v>53046.147467990595</v>
      </c>
      <c r="BU126" s="461">
        <f>+CF!BU74</f>
        <v>130730.35370590306</v>
      </c>
    </row>
    <row r="127" spans="2:73" ht="12.75" hidden="1" customHeight="1" outlineLevel="1">
      <c r="B127" s="270" t="s">
        <v>189</v>
      </c>
      <c r="C127" s="270"/>
      <c r="D127" s="237"/>
      <c r="E127" s="237"/>
      <c r="F127" s="237"/>
      <c r="G127" s="237"/>
      <c r="H127" s="462">
        <f>+CF!H77</f>
        <v>-0.1357700312174818</v>
      </c>
      <c r="I127" s="237">
        <f>+CF!I77</f>
        <v>-0.15209367443044419</v>
      </c>
      <c r="J127" s="237">
        <f>+CF!J77</f>
        <v>-7.2237301279565722E-2</v>
      </c>
      <c r="K127" s="237">
        <f>+CF!K77</f>
        <v>2.2216727889234247E-2</v>
      </c>
      <c r="L127" s="237">
        <f>+CF!L77</f>
        <v>-3.7256871518582778E-2</v>
      </c>
      <c r="M127" s="462">
        <f>+CF!M77</f>
        <v>-5.467491811881367E-2</v>
      </c>
      <c r="N127" s="237">
        <f>+CF!N77</f>
        <v>-7.7135302908380277E-2</v>
      </c>
      <c r="O127" s="237">
        <f>+CF!O77</f>
        <v>2.9864763335837714E-2</v>
      </c>
      <c r="P127" s="237">
        <f>+CF!P77</f>
        <v>8.0567193038994529E-3</v>
      </c>
      <c r="Q127" s="237">
        <f>+CF!Q77</f>
        <v>0.13010170093706977</v>
      </c>
      <c r="R127" s="462">
        <f>+CF!R77</f>
        <v>2.9300609132541906E-2</v>
      </c>
      <c r="S127" s="237">
        <f>+CF!S77</f>
        <v>4.3894352967178696E-2</v>
      </c>
      <c r="T127" s="237">
        <f>+CF!T77</f>
        <v>-0.11011108066521931</v>
      </c>
      <c r="U127" s="237">
        <f>+CF!U77</f>
        <v>9.5326695829457062E-2</v>
      </c>
      <c r="V127" s="237">
        <f>+CF!V77</f>
        <v>0.11924269456617761</v>
      </c>
      <c r="W127" s="462">
        <f>+CF!W77</f>
        <v>4.2112073255698219E-2</v>
      </c>
      <c r="X127" s="237">
        <f>+CF!X77</f>
        <v>9.4451068513253231E-2</v>
      </c>
      <c r="Y127" s="237">
        <f>+CF!Y77</f>
        <v>-0.21589295186598451</v>
      </c>
      <c r="Z127" s="237">
        <f>+CF!Z77</f>
        <v>-0.10909965525535156</v>
      </c>
      <c r="AA127" s="237">
        <f>+CF!AA77</f>
        <v>0.10942271339246765</v>
      </c>
      <c r="AB127" s="462">
        <f>+CF!AB77</f>
        <v>-2.7641330487400192E-2</v>
      </c>
      <c r="AC127" s="237">
        <f>+CF!AC77</f>
        <v>-0.30100430416068868</v>
      </c>
      <c r="AD127" s="237">
        <f>+CF!AD77</f>
        <v>-8.5690041667194364E-2</v>
      </c>
      <c r="AE127" s="237">
        <f>+CF!AE77</f>
        <v>-9.0217064518068671E-2</v>
      </c>
      <c r="AF127" s="237">
        <f>+CF!AF77</f>
        <v>5.9455743715083796E-2</v>
      </c>
      <c r="AG127" s="480">
        <f>+CF!AG77</f>
        <v>-9.4351683912071382E-2</v>
      </c>
      <c r="AH127" s="237">
        <f>+CF!AH77</f>
        <v>-0.12131651473394106</v>
      </c>
      <c r="AI127" s="237">
        <f>+CF!AI77</f>
        <v>-2.2555402782271111E-2</v>
      </c>
      <c r="AJ127" s="237">
        <f>+CF!AJ77</f>
        <v>6.1375208184630027E-2</v>
      </c>
      <c r="AK127" s="237">
        <f>+CF!AK77</f>
        <v>-6.908862750642901E-2</v>
      </c>
      <c r="AL127" s="462">
        <f>+CF!AL77</f>
        <v>-3.6562604803079574E-2</v>
      </c>
      <c r="AM127" s="237">
        <f>+CF!AM77</f>
        <v>0.15210598462337485</v>
      </c>
      <c r="AN127" s="237">
        <f>+CF!AN77</f>
        <v>3.9866794282595458E-2</v>
      </c>
      <c r="AO127" s="237">
        <f>+CF!AO77</f>
        <v>0.10241325575078274</v>
      </c>
      <c r="AP127" s="237">
        <f>+CF!AP77</f>
        <v>-1.4369749007504715E-2</v>
      </c>
      <c r="AQ127" s="462">
        <f>+CF!AQ77</f>
        <v>6.5470186998976471E-2</v>
      </c>
      <c r="AR127" s="237">
        <f>+CF!AR77</f>
        <v>2.4322675748487774E-2</v>
      </c>
      <c r="AS127" s="237">
        <f>+CF!AS77</f>
        <v>-7.5124660356513688E-3</v>
      </c>
      <c r="AT127" s="237">
        <f>+CF!AT77</f>
        <v>5.4942679145449889E-2</v>
      </c>
      <c r="AU127" s="237">
        <f>+CF!AU77</f>
        <v>0.15421809528455813</v>
      </c>
      <c r="AV127" s="462">
        <f>+CF!AV77</f>
        <v>5.9375287373938629E-2</v>
      </c>
      <c r="AW127" s="237">
        <f>+CF!AW77</f>
        <v>-6.6548746001070021E-3</v>
      </c>
      <c r="AX127" s="237">
        <f>+CF!AX77</f>
        <v>0.13433846929451429</v>
      </c>
      <c r="AY127" s="237">
        <f>+CF!AY77</f>
        <v>-2.9269323033750245E-3</v>
      </c>
      <c r="AZ127" s="237">
        <f>+CF!AZ77</f>
        <v>0.29353820371416878</v>
      </c>
      <c r="BA127" s="462">
        <f>+CF!BA77</f>
        <v>0.10805354715850571</v>
      </c>
      <c r="BB127" s="237">
        <f>+CF!BB77</f>
        <v>0.13424605438296255</v>
      </c>
      <c r="BC127" s="237">
        <f>+CF!BC77</f>
        <v>0.14041472948348727</v>
      </c>
      <c r="BD127" s="237">
        <f>+CF!BD77</f>
        <v>0.17936772666710146</v>
      </c>
      <c r="BE127" s="237">
        <f>+CF!BE77</f>
        <v>0.2720878937949977</v>
      </c>
      <c r="BF127" s="462">
        <f>+CF!BF77</f>
        <v>0.18256128207467473</v>
      </c>
      <c r="BG127" s="237">
        <f>+CF!BG77</f>
        <v>0.11736812316590013</v>
      </c>
      <c r="BH127" s="237">
        <f>+CF!BH77</f>
        <v>0.19739207163632799</v>
      </c>
      <c r="BI127" s="237">
        <f>+CF!BI77</f>
        <v>0.13814920168838318</v>
      </c>
      <c r="BJ127" s="237">
        <f>+CF!BJ77</f>
        <v>0.14857765838040737</v>
      </c>
      <c r="BK127" s="462">
        <f>+CF!BK77</f>
        <v>0.15046278527182091</v>
      </c>
      <c r="BL127" s="237">
        <f>+CF!BL77</f>
        <v>0.10448788257054142</v>
      </c>
      <c r="BM127" s="237">
        <f>+CF!BM77</f>
        <v>0.16738422693459251</v>
      </c>
      <c r="BN127" s="237">
        <f>+CF!BN77</f>
        <v>0.11258062393118973</v>
      </c>
      <c r="BO127" s="237">
        <f>+CF!BO77</f>
        <v>0.23459523399128163</v>
      </c>
      <c r="BP127" s="462">
        <f>+CF!BP77</f>
        <v>0.15501894585962703</v>
      </c>
      <c r="BQ127" s="237">
        <f>+CF!BQ77</f>
        <v>9.6579594363948987E-2</v>
      </c>
      <c r="BR127" s="237">
        <f>+CF!BR77</f>
        <v>0.14542773912312371</v>
      </c>
      <c r="BS127" s="237">
        <f>+CF!BS77</f>
        <v>0.1233132373444943</v>
      </c>
      <c r="BT127" s="237">
        <f>+CF!BT77</f>
        <v>0.24655975436699679</v>
      </c>
      <c r="BU127" s="462">
        <f>+CF!BU77</f>
        <v>0.15328365467250227</v>
      </c>
    </row>
    <row r="128" spans="2:73" ht="3" hidden="1" customHeight="1" outlineLevel="1">
      <c r="B128" s="270"/>
      <c r="C128" s="270"/>
      <c r="D128" s="237"/>
      <c r="E128" s="237"/>
      <c r="F128" s="237"/>
      <c r="G128" s="237"/>
      <c r="H128" s="462"/>
      <c r="I128" s="237"/>
      <c r="J128" s="237"/>
      <c r="K128" s="237"/>
      <c r="L128" s="237"/>
      <c r="M128" s="462"/>
      <c r="N128" s="237"/>
      <c r="O128" s="237"/>
      <c r="P128" s="237"/>
      <c r="Q128" s="237"/>
      <c r="R128" s="462"/>
      <c r="S128" s="237"/>
      <c r="T128" s="237"/>
      <c r="U128" s="237"/>
      <c r="V128" s="237"/>
      <c r="W128" s="462"/>
      <c r="X128" s="237"/>
      <c r="Y128" s="237"/>
      <c r="Z128" s="237"/>
      <c r="AA128" s="237"/>
      <c r="AB128" s="462"/>
      <c r="AC128" s="237"/>
      <c r="AD128" s="237"/>
      <c r="AE128" s="237"/>
      <c r="AF128" s="237"/>
      <c r="AG128" s="480"/>
      <c r="AH128" s="237"/>
      <c r="AI128" s="237"/>
      <c r="AJ128" s="237"/>
      <c r="AK128" s="237"/>
      <c r="AL128" s="462"/>
      <c r="AM128" s="237"/>
      <c r="AN128" s="237"/>
      <c r="AO128" s="237"/>
      <c r="AP128" s="237"/>
      <c r="AQ128" s="462"/>
      <c r="AR128" s="237"/>
      <c r="AS128" s="237"/>
      <c r="AT128" s="237"/>
      <c r="AU128" s="237"/>
      <c r="AV128" s="462"/>
      <c r="AW128" s="237"/>
      <c r="AX128" s="237"/>
      <c r="AY128" s="237"/>
      <c r="AZ128" s="237"/>
      <c r="BA128" s="462"/>
      <c r="BB128" s="237"/>
      <c r="BC128" s="237"/>
      <c r="BD128" s="237"/>
      <c r="BE128" s="237"/>
      <c r="BF128" s="462"/>
      <c r="BG128" s="237"/>
      <c r="BH128" s="237"/>
      <c r="BI128" s="237"/>
      <c r="BJ128" s="237"/>
      <c r="BK128" s="462"/>
      <c r="BL128" s="237"/>
      <c r="BM128" s="237"/>
      <c r="BN128" s="237"/>
      <c r="BO128" s="237"/>
      <c r="BP128" s="462"/>
      <c r="BQ128" s="237"/>
      <c r="BR128" s="237"/>
      <c r="BS128" s="237"/>
      <c r="BT128" s="237"/>
      <c r="BU128" s="462"/>
    </row>
    <row r="129" spans="2:73" ht="12" hidden="1" customHeight="1" outlineLevel="1" collapsed="1">
      <c r="B129" s="270" t="s">
        <v>394</v>
      </c>
      <c r="C129" s="270"/>
      <c r="D129" s="301"/>
      <c r="E129" s="301"/>
      <c r="F129" s="301"/>
      <c r="G129" s="301"/>
      <c r="H129" s="448"/>
      <c r="I129" s="301"/>
      <c r="J129" s="371"/>
      <c r="K129" s="371"/>
      <c r="L129" s="371">
        <f>+Metrics!L41</f>
        <v>90.4</v>
      </c>
      <c r="M129" s="464">
        <f>+Metrics!M41/1000000</f>
        <v>9.0400000000000002E-5</v>
      </c>
      <c r="N129" s="371">
        <f>+Metrics!N41/1000000</f>
        <v>9.6099999999999991E-5</v>
      </c>
      <c r="O129" s="371">
        <f>+Metrics!O41/1000000</f>
        <v>1.0450000000000001E-4</v>
      </c>
      <c r="P129" s="371">
        <f>+Metrics!P41/1000000</f>
        <v>1.103E-4</v>
      </c>
      <c r="Q129" s="371">
        <f>+Metrics!Q41/1000000</f>
        <v>1.2120000000000001E-4</v>
      </c>
      <c r="R129" s="464">
        <f>+Metrics!R41</f>
        <v>121.2</v>
      </c>
      <c r="S129" s="371">
        <f>+Metrics!S41</f>
        <v>128.4</v>
      </c>
      <c r="T129" s="371">
        <f>+Metrics!T41</f>
        <v>137.6</v>
      </c>
      <c r="U129" s="371">
        <f>+Metrics!U41</f>
        <v>148.69999999999999</v>
      </c>
      <c r="V129" s="371">
        <f>+Metrics!V41</f>
        <v>164.9</v>
      </c>
      <c r="W129" s="464">
        <f>+Metrics!W41</f>
        <v>164.9</v>
      </c>
      <c r="X129" s="371">
        <f>+Metrics!X41</f>
        <v>177.8</v>
      </c>
      <c r="Y129" s="371">
        <f>+Metrics!Y41</f>
        <v>198.6</v>
      </c>
      <c r="Z129" s="371">
        <f>+Metrics!Z41</f>
        <v>217.4</v>
      </c>
      <c r="AA129" s="371">
        <f>+Metrics!AA41</f>
        <v>251.8</v>
      </c>
      <c r="AB129" s="464">
        <f>+Metrics!AB41</f>
        <v>251.8</v>
      </c>
      <c r="AC129" s="371">
        <f>+Metrics!AC41</f>
        <v>268.19400000000002</v>
      </c>
      <c r="AD129" s="371">
        <f>+Metrics!AD41</f>
        <v>290.01600000000002</v>
      </c>
      <c r="AE129" s="371">
        <f>+Metrics!AE41</f>
        <v>310.18400000000003</v>
      </c>
      <c r="AF129" s="371">
        <f>+Metrics!AF41</f>
        <v>338.714</v>
      </c>
      <c r="AG129" s="610">
        <f>+Metrics!AG41</f>
        <v>338.714</v>
      </c>
      <c r="AH129" s="371">
        <f>+Metrics!AH41</f>
        <v>350.88400000000001</v>
      </c>
      <c r="AI129" s="371">
        <f>+Metrics!AI41</f>
        <v>379.9</v>
      </c>
      <c r="AJ129" s="371">
        <f>+Metrics!AJ41</f>
        <v>398.72500000000002</v>
      </c>
      <c r="AK129" s="371">
        <f>+Metrics!AK41</f>
        <v>432.94600000000003</v>
      </c>
      <c r="AL129" s="610">
        <f>+Metrics!AL41</f>
        <v>432.94600000000003</v>
      </c>
      <c r="AM129" s="371">
        <f>+Metrics!AM41</f>
        <v>455.79700000000003</v>
      </c>
      <c r="AN129" s="371">
        <f>+Metrics!AN41</f>
        <v>488.86</v>
      </c>
      <c r="AO129" s="371">
        <f>+Metrics!AO41</f>
        <v>550.04399999999998</v>
      </c>
      <c r="AP129" s="371">
        <f>+Metrics!AP41</f>
        <v>599.02</v>
      </c>
      <c r="AQ129" s="448">
        <f>+AP129</f>
        <v>599.02</v>
      </c>
      <c r="AR129" s="371">
        <f>+Metrics!AR41</f>
        <v>627.12199999999996</v>
      </c>
      <c r="AS129" s="371">
        <f>+Metrics!AS41</f>
        <v>658.17200000000003</v>
      </c>
      <c r="AT129" s="371">
        <f>+Metrics!AT41</f>
        <v>683.81600000000003</v>
      </c>
      <c r="AU129" s="371">
        <f>+Metrics!AU41</f>
        <v>714.23099999999999</v>
      </c>
      <c r="AV129" s="448">
        <f>+AU129</f>
        <v>714.23099999999999</v>
      </c>
      <c r="AW129" s="371">
        <f>+Metrics!AW41</f>
        <v>727.85299999999995</v>
      </c>
      <c r="AX129" s="371">
        <f>+Metrics!AX41</f>
        <v>750.85</v>
      </c>
      <c r="AY129" s="371">
        <f>+Metrics!AY41</f>
        <v>776.76</v>
      </c>
      <c r="AZ129" s="371">
        <f>+Metrics!AZ41</f>
        <v>805.67</v>
      </c>
      <c r="BA129" s="448">
        <f>+AZ129</f>
        <v>805.67</v>
      </c>
      <c r="BB129" s="371">
        <f>+Metrics!BB41</f>
        <v>807.19600000000003</v>
      </c>
      <c r="BC129" s="371">
        <f>+Metrics!BC41</f>
        <v>815.63</v>
      </c>
      <c r="BD129" s="371">
        <f>+Metrics!BD41</f>
        <v>823.10400000000004</v>
      </c>
      <c r="BE129" s="371">
        <f>+Metrics!BE41</f>
        <v>839.81899999999996</v>
      </c>
      <c r="BF129" s="448">
        <f>+BE129</f>
        <v>839.81899999999996</v>
      </c>
      <c r="BG129" s="371">
        <f>+Metrics!BG41</f>
        <v>837.22</v>
      </c>
      <c r="BH129" s="371">
        <f>+Metrics!BH41</f>
        <v>840.61</v>
      </c>
      <c r="BI129" s="371">
        <f>+Metrics!BI41</f>
        <v>837.73</v>
      </c>
      <c r="BJ129" s="371">
        <f>+Metrics!BJ41</f>
        <v>839.9</v>
      </c>
      <c r="BK129" s="448">
        <f>+BJ129</f>
        <v>839.9</v>
      </c>
      <c r="BL129" s="371">
        <f>+Metrics!BL41</f>
        <v>830.52224000000001</v>
      </c>
      <c r="BM129" s="371">
        <f>+Metrics!BM41</f>
        <v>831.36329000000001</v>
      </c>
      <c r="BN129" s="371">
        <f>+Metrics!BN41</f>
        <v>831.86589000000004</v>
      </c>
      <c r="BO129" s="371">
        <f>+Metrics!BO41</f>
        <v>832.34089999999992</v>
      </c>
      <c r="BP129" s="448">
        <f>+BO129</f>
        <v>832.34089999999992</v>
      </c>
      <c r="BQ129" s="371">
        <f>+Metrics!BQ41</f>
        <v>855.43790720000004</v>
      </c>
      <c r="BR129" s="371">
        <f>+Metrics!BR41</f>
        <v>857.96691528000008</v>
      </c>
      <c r="BS129" s="371">
        <f>+Metrics!BS41</f>
        <v>860.14933026000006</v>
      </c>
      <c r="BT129" s="371">
        <f>+Metrics!BT41</f>
        <v>861.47283149999987</v>
      </c>
      <c r="BU129" s="448">
        <f>+BT129</f>
        <v>861.47283149999987</v>
      </c>
    </row>
    <row r="130" spans="2:73" ht="12.75" hidden="1" outlineLevel="1">
      <c r="B130" s="270" t="s">
        <v>395</v>
      </c>
      <c r="C130" s="270"/>
      <c r="D130" s="302"/>
      <c r="E130" s="302"/>
      <c r="F130" s="302"/>
      <c r="G130" s="302"/>
      <c r="H130" s="448"/>
      <c r="I130" s="237">
        <f>+Metrics!I32</f>
        <v>0.65400000000000003</v>
      </c>
      <c r="J130" s="237">
        <f>+Metrics!J32</f>
        <v>0.64600000000000002</v>
      </c>
      <c r="K130" s="237">
        <f>+Metrics!K32</f>
        <v>0.66600000000000004</v>
      </c>
      <c r="L130" s="237">
        <f>+Metrics!L32</f>
        <v>0.65600000000000003</v>
      </c>
      <c r="M130" s="462">
        <f>+Metrics!M32</f>
        <v>0.65550000000000008</v>
      </c>
      <c r="N130" s="237">
        <f>+Metrics!N32</f>
        <v>0.67200000000000004</v>
      </c>
      <c r="O130" s="237">
        <f>+Metrics!O32</f>
        <v>0.67400000000000004</v>
      </c>
      <c r="P130" s="237">
        <f>+Metrics!P32</f>
        <v>0.67700000000000005</v>
      </c>
      <c r="Q130" s="237">
        <f>+Metrics!Q32</f>
        <v>0.65800000000000003</v>
      </c>
      <c r="R130" s="462">
        <f>+Metrics!R32</f>
        <v>0.67025000000000001</v>
      </c>
      <c r="S130" s="237">
        <f>+Metrics!S32</f>
        <v>0.68600000000000005</v>
      </c>
      <c r="T130" s="237">
        <f>+Metrics!T32</f>
        <v>0.69499999999999995</v>
      </c>
      <c r="U130" s="237">
        <f>+Metrics!U32</f>
        <v>0.70499999999999996</v>
      </c>
      <c r="V130" s="237">
        <f>+Metrics!V32</f>
        <v>0.69599999999999995</v>
      </c>
      <c r="W130" s="462">
        <f>+Metrics!W32</f>
        <v>0.69550000000000001</v>
      </c>
      <c r="X130" s="237">
        <f>+Metrics!X32</f>
        <v>0.77300000000000002</v>
      </c>
      <c r="Y130" s="237">
        <f>+Metrics!Y32</f>
        <v>0.78500000000000003</v>
      </c>
      <c r="Z130" s="237">
        <f>+Metrics!Z32</f>
        <v>0.81899999999999995</v>
      </c>
      <c r="AA130" s="237">
        <f>+Metrics!AA32</f>
        <v>0.83399999999999996</v>
      </c>
      <c r="AB130" s="462">
        <f>+Metrics!AB32</f>
        <v>0.80274999999999996</v>
      </c>
      <c r="AC130" s="237">
        <f>+Metrics!AC32</f>
        <v>0.85299999999999998</v>
      </c>
      <c r="AD130" s="237">
        <f>+Metrics!AD32</f>
        <v>0.872</v>
      </c>
      <c r="AE130" s="237">
        <f>+Metrics!AE32</f>
        <v>0.88200000000000001</v>
      </c>
      <c r="AF130" s="237">
        <f>+Metrics!AF32</f>
        <v>0.873</v>
      </c>
      <c r="AG130" s="611">
        <f>+Metrics!AG32</f>
        <v>0.87000000000000011</v>
      </c>
      <c r="AH130" s="237">
        <f>+Metrics!AH32</f>
        <v>0.89600000000000002</v>
      </c>
      <c r="AI130" s="237">
        <f>+Metrics!AI32</f>
        <v>0.90600000000000003</v>
      </c>
      <c r="AJ130" s="237">
        <f>+Metrics!AJ32</f>
        <v>0.91200000000000003</v>
      </c>
      <c r="AK130" s="237">
        <f>+Metrics!AK32</f>
        <v>0.9</v>
      </c>
      <c r="AL130" s="611">
        <f>+Metrics!AL32</f>
        <v>0.90349999999999997</v>
      </c>
      <c r="AM130" s="237">
        <f>+Metrics!AM32</f>
        <v>0.91</v>
      </c>
      <c r="AN130" s="237">
        <f>+Metrics!AN32</f>
        <v>0.91</v>
      </c>
      <c r="AO130" s="237">
        <f>+Metrics!AO32</f>
        <v>0.92</v>
      </c>
      <c r="AP130" s="237">
        <f>+Metrics!AP32</f>
        <v>0.92</v>
      </c>
      <c r="AQ130" s="468"/>
      <c r="AR130" s="700">
        <v>0.94</v>
      </c>
      <c r="AS130" s="700">
        <v>0.94</v>
      </c>
      <c r="AT130" s="700">
        <v>0.94</v>
      </c>
      <c r="AU130" s="302"/>
      <c r="AV130" s="468"/>
      <c r="AW130" s="302"/>
      <c r="AX130" s="302"/>
      <c r="AY130" s="302"/>
      <c r="AZ130" s="302"/>
      <c r="BA130" s="468"/>
      <c r="BB130" s="302"/>
      <c r="BC130" s="302"/>
      <c r="BD130" s="302"/>
      <c r="BE130" s="302"/>
      <c r="BF130" s="468"/>
      <c r="BG130" s="302"/>
      <c r="BH130" s="302"/>
      <c r="BI130" s="302"/>
      <c r="BJ130" s="302"/>
      <c r="BK130" s="468"/>
      <c r="BL130" s="302"/>
      <c r="BM130" s="302"/>
      <c r="BN130" s="302"/>
      <c r="BO130" s="302"/>
      <c r="BP130" s="468"/>
      <c r="BQ130" s="302"/>
      <c r="BR130" s="302"/>
      <c r="BS130" s="302"/>
      <c r="BT130" s="302"/>
      <c r="BU130" s="468"/>
    </row>
    <row r="131" spans="2:73" ht="12.75" collapsed="1">
      <c r="B131" s="270"/>
      <c r="C131" s="270"/>
      <c r="D131" s="161"/>
      <c r="E131" s="161"/>
      <c r="F131" s="161"/>
      <c r="G131" s="161"/>
      <c r="H131" s="161"/>
      <c r="I131" s="161"/>
      <c r="J131" s="197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</row>
    <row r="132" spans="2:73" s="286" customFormat="1" ht="13.15" thickBot="1">
      <c r="B132" s="178" t="s">
        <v>364</v>
      </c>
      <c r="C132" s="303"/>
      <c r="D132" s="304"/>
      <c r="E132" s="304"/>
      <c r="F132" s="304"/>
      <c r="G132" s="304"/>
      <c r="H132" s="304"/>
      <c r="I132" s="304"/>
      <c r="J132" s="304"/>
      <c r="K132" s="304"/>
      <c r="L132" s="304"/>
      <c r="M132" s="304"/>
      <c r="N132" s="304"/>
      <c r="O132" s="304"/>
      <c r="P132" s="304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  <c r="AA132" s="304"/>
      <c r="AB132" s="304"/>
      <c r="AC132" s="304"/>
      <c r="AD132" s="304"/>
      <c r="AE132" s="304"/>
      <c r="AF132" s="304"/>
      <c r="AG132" s="304"/>
      <c r="AH132" s="304"/>
      <c r="AI132" s="304"/>
      <c r="AJ132" s="304"/>
      <c r="AK132" s="304"/>
      <c r="AL132" s="304"/>
      <c r="AM132" s="304"/>
      <c r="AN132" s="304"/>
      <c r="AO132" s="304"/>
      <c r="AP132" s="304"/>
      <c r="AQ132" s="304"/>
      <c r="AR132" s="304"/>
      <c r="AS132" s="304"/>
      <c r="AT132" s="304"/>
      <c r="AU132" s="304"/>
      <c r="AV132" s="304"/>
      <c r="AW132" s="304"/>
      <c r="AX132" s="304"/>
      <c r="AY132" s="304"/>
      <c r="AZ132" s="304"/>
      <c r="BA132" s="304"/>
      <c r="BB132" s="304"/>
      <c r="BC132" s="304"/>
      <c r="BD132" s="304"/>
      <c r="BE132" s="304"/>
      <c r="BF132" s="304"/>
      <c r="BG132" s="304"/>
      <c r="BH132" s="304"/>
      <c r="BI132" s="304"/>
      <c r="BJ132" s="304"/>
      <c r="BK132" s="304"/>
      <c r="BL132" s="304"/>
      <c r="BM132" s="304"/>
      <c r="BN132" s="304"/>
      <c r="BO132" s="304"/>
      <c r="BP132" s="304"/>
      <c r="BQ132" s="304"/>
      <c r="BR132" s="304"/>
      <c r="BS132" s="304"/>
      <c r="BT132" s="304"/>
      <c r="BU132" s="304"/>
    </row>
    <row r="133" spans="2:73" s="286" customFormat="1" ht="12.75">
      <c r="B133" s="571"/>
      <c r="C133" s="571"/>
      <c r="D133" s="572"/>
      <c r="E133" s="572"/>
      <c r="F133" s="572"/>
      <c r="G133" s="572"/>
      <c r="H133" s="572"/>
      <c r="I133" s="572"/>
      <c r="J133" s="572"/>
      <c r="K133" s="572"/>
      <c r="L133" s="572"/>
      <c r="M133" s="572"/>
      <c r="N133" s="572"/>
      <c r="O133" s="572"/>
      <c r="P133" s="572"/>
      <c r="Q133" s="572"/>
      <c r="R133" s="572"/>
      <c r="S133" s="572"/>
      <c r="T133" s="572"/>
      <c r="U133" s="572"/>
      <c r="V133" s="572"/>
      <c r="W133" s="572"/>
      <c r="X133" s="572"/>
      <c r="Y133" s="572"/>
      <c r="Z133" s="572"/>
      <c r="AA133" s="572"/>
      <c r="AB133" s="572"/>
      <c r="AC133" s="572"/>
      <c r="AD133" s="572"/>
      <c r="AE133" s="572"/>
      <c r="AF133" s="572"/>
      <c r="AG133" s="572"/>
      <c r="AH133" s="572"/>
      <c r="AI133" s="572"/>
      <c r="AJ133" s="572"/>
      <c r="AK133" s="572"/>
      <c r="AL133" s="572"/>
      <c r="AM133" s="572"/>
      <c r="AN133" s="572"/>
      <c r="AO133" s="572"/>
      <c r="AP133" s="572"/>
      <c r="AQ133" s="572"/>
      <c r="AR133" s="572"/>
      <c r="AS133" s="572"/>
      <c r="AT133" s="572"/>
      <c r="AU133" s="572"/>
      <c r="AV133" s="572"/>
      <c r="AW133" s="572"/>
      <c r="AX133" s="572"/>
      <c r="AY133" s="572"/>
      <c r="AZ133" s="572"/>
      <c r="BA133" s="572"/>
      <c r="BB133" s="572"/>
      <c r="BC133" s="572"/>
      <c r="BD133" s="572"/>
      <c r="BE133" s="572"/>
      <c r="BF133" s="572"/>
      <c r="BG133" s="572"/>
      <c r="BH133" s="572"/>
      <c r="BI133" s="572"/>
      <c r="BJ133" s="572"/>
      <c r="BK133" s="572"/>
      <c r="BL133" s="572"/>
      <c r="BM133" s="572"/>
      <c r="BN133" s="572"/>
      <c r="BO133" s="572"/>
      <c r="BP133" s="572"/>
      <c r="BQ133" s="572"/>
      <c r="BR133" s="572"/>
      <c r="BS133" s="572"/>
      <c r="BT133" s="572"/>
      <c r="BU133" s="572"/>
    </row>
    <row r="134" spans="2:73" s="388" customFormat="1" ht="12.75">
      <c r="B134" s="386"/>
      <c r="C134" s="386"/>
      <c r="D134" s="387"/>
      <c r="E134" s="387"/>
      <c r="F134" s="387"/>
      <c r="G134" s="387"/>
      <c r="H134" s="387"/>
      <c r="I134" s="387"/>
      <c r="J134" s="387"/>
      <c r="K134" s="387"/>
      <c r="L134" s="387"/>
      <c r="M134" s="387"/>
      <c r="N134" s="387"/>
      <c r="O134" s="387"/>
      <c r="P134" s="387"/>
      <c r="Q134" s="387"/>
      <c r="R134" s="387"/>
      <c r="S134" s="387"/>
      <c r="T134" s="387"/>
      <c r="U134" s="387"/>
      <c r="V134" s="389"/>
      <c r="W134" s="389"/>
      <c r="X134" s="389"/>
      <c r="Y134" s="389"/>
      <c r="Z134" s="389"/>
      <c r="AA134" s="389"/>
      <c r="AB134" s="389"/>
      <c r="AC134" s="389"/>
      <c r="AD134" s="389"/>
      <c r="AE134" s="389"/>
      <c r="AF134" s="389"/>
      <c r="AG134" s="389"/>
      <c r="AH134" s="389"/>
      <c r="AI134" s="389"/>
      <c r="AJ134" s="389"/>
      <c r="AK134" s="389"/>
      <c r="AL134" s="389"/>
      <c r="AM134" s="389"/>
      <c r="AN134" s="389"/>
      <c r="AO134" s="389"/>
      <c r="AP134" s="389"/>
      <c r="AQ134" s="389"/>
      <c r="AR134" s="389"/>
      <c r="AS134" s="389"/>
      <c r="AT134" s="389"/>
      <c r="AU134" s="389"/>
      <c r="AV134" s="389"/>
      <c r="AW134" s="389"/>
      <c r="AX134" s="389"/>
      <c r="AY134" s="389"/>
      <c r="AZ134" s="389"/>
      <c r="BA134" s="389"/>
      <c r="BB134" s="389"/>
      <c r="BC134" s="389"/>
      <c r="BD134" s="389"/>
      <c r="BE134" s="389"/>
      <c r="BF134" s="848">
        <f>BF119/BA119-1</f>
        <v>3.3422191381520694E-2</v>
      </c>
      <c r="BG134" s="389"/>
      <c r="BH134" s="389"/>
      <c r="BI134" s="389"/>
      <c r="BJ134" s="389"/>
      <c r="BK134" s="848">
        <f>BK119/BF119-1</f>
        <v>1.6183778126448223E-2</v>
      </c>
      <c r="BL134" s="389"/>
      <c r="BM134" s="389"/>
      <c r="BN134" s="389"/>
      <c r="BO134" s="389"/>
      <c r="BP134" s="848">
        <f>BP119/BK119-1</f>
        <v>3.3384130393923517E-2</v>
      </c>
      <c r="BQ134" s="389"/>
      <c r="BR134" s="389"/>
      <c r="BS134" s="389"/>
      <c r="BT134" s="389"/>
      <c r="BU134" s="848">
        <f>BU119/BP119-1</f>
        <v>1.5257477525668195E-2</v>
      </c>
    </row>
    <row r="135" spans="2:73" s="286" customFormat="1">
      <c r="B135" s="306"/>
      <c r="C135" s="306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307"/>
      <c r="AB135" s="307"/>
      <c r="AC135" s="307"/>
      <c r="AD135" s="307"/>
      <c r="AE135" s="307"/>
      <c r="AF135" s="307"/>
      <c r="AG135" s="307"/>
      <c r="AH135" s="307"/>
      <c r="AI135" s="307"/>
      <c r="AJ135" s="307"/>
      <c r="AK135" s="307"/>
      <c r="AL135" s="307"/>
      <c r="AM135" s="307"/>
      <c r="AN135" s="307"/>
      <c r="AO135" s="307"/>
      <c r="AP135" s="307"/>
      <c r="AQ135" s="307"/>
      <c r="AR135" s="307"/>
      <c r="AS135" s="307"/>
      <c r="AT135" s="307"/>
      <c r="AU135" s="307"/>
      <c r="AV135" s="307"/>
      <c r="AW135" s="307"/>
      <c r="AX135" s="307"/>
      <c r="AY135" s="307"/>
      <c r="AZ135" s="307"/>
      <c r="BA135" s="307"/>
      <c r="BB135" s="307"/>
      <c r="BC135" s="307"/>
      <c r="BD135" s="307"/>
      <c r="BE135" s="307"/>
      <c r="BF135" s="307"/>
      <c r="BG135" s="307"/>
      <c r="BH135" s="307"/>
      <c r="BI135" s="307"/>
      <c r="BJ135" s="307"/>
      <c r="BK135" s="307"/>
      <c r="BL135" s="307"/>
      <c r="BM135" s="307"/>
      <c r="BN135" s="307"/>
      <c r="BO135" s="307"/>
      <c r="BP135" s="307"/>
      <c r="BQ135" s="307"/>
      <c r="BR135" s="307"/>
      <c r="BS135" s="307"/>
      <c r="BT135" s="307"/>
      <c r="BU135" s="307"/>
    </row>
  </sheetData>
  <printOptions horizontalCentered="1"/>
  <pageMargins left="0.25" right="0.25" top="0.75" bottom="0.75" header="0.3" footer="0.3"/>
  <pageSetup scale="70" orientation="landscape" r:id="rId1"/>
  <headerFooter alignWithMargins="0"/>
  <rowBreaks count="1" manualBreakCount="1">
    <brk id="134" min="1" max="67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BU117"/>
  <sheetViews>
    <sheetView showGridLines="0" view="pageBreakPreview" zoomScale="80" zoomScaleNormal="85" zoomScaleSheetLayoutView="80" workbookViewId="0">
      <pane xSplit="3" ySplit="5" topLeftCell="BA6" activePane="bottomRight" state="frozen"/>
      <selection activeCell="BC12" sqref="BC12"/>
      <selection pane="topRight" activeCell="BC12" sqref="BC12"/>
      <selection pane="bottomLeft" activeCell="BC12" sqref="BC12"/>
      <selection pane="bottomRight" activeCell="BG23" sqref="BG23"/>
    </sheetView>
  </sheetViews>
  <sheetFormatPr defaultRowHeight="14.25" outlineLevelRow="1" outlineLevelCol="2"/>
  <cols>
    <col min="1" max="1" width="4.265625" customWidth="1"/>
    <col min="2" max="2" width="43.59765625" customWidth="1"/>
    <col min="3" max="3" width="1.73046875" customWidth="1"/>
    <col min="4" max="5" width="11.265625" style="220" hidden="1" customWidth="1" outlineLevel="2"/>
    <col min="6" max="6" width="11.3984375" style="220" hidden="1" customWidth="1" outlineLevel="2"/>
    <col min="7" max="7" width="11.265625" style="220" hidden="1" customWidth="1" outlineLevel="2"/>
    <col min="8" max="8" width="12.3984375" style="220" hidden="1" customWidth="1" collapsed="1"/>
    <col min="9" max="10" width="11.265625" style="220" hidden="1" customWidth="1" outlineLevel="1"/>
    <col min="11" max="11" width="10.265625" style="220" hidden="1" customWidth="1" outlineLevel="1"/>
    <col min="12" max="12" width="12.265625" style="220" hidden="1" customWidth="1" outlineLevel="1"/>
    <col min="13" max="13" width="12.265625" style="220" hidden="1" customWidth="1" collapsed="1"/>
    <col min="14" max="14" width="12.265625" style="220" hidden="1" customWidth="1" outlineLevel="1"/>
    <col min="15" max="17" width="13.3984375" style="220" hidden="1" customWidth="1" outlineLevel="1"/>
    <col min="18" max="18" width="13.3984375" style="220" hidden="1" customWidth="1" collapsed="1"/>
    <col min="19" max="19" width="14" style="220" hidden="1" customWidth="1" outlineLevel="1"/>
    <col min="20" max="20" width="13.73046875" style="220" hidden="1" customWidth="1" outlineLevel="1"/>
    <col min="21" max="21" width="13.265625" style="220" hidden="1" customWidth="1" outlineLevel="1"/>
    <col min="22" max="22" width="14" style="220" hidden="1" customWidth="1" outlineLevel="1"/>
    <col min="23" max="23" width="13.3984375" style="220" hidden="1" customWidth="1" collapsed="1"/>
    <col min="24" max="24" width="13.73046875" style="220" hidden="1" customWidth="1" outlineLevel="1"/>
    <col min="25" max="25" width="13.3984375" style="220" hidden="1" customWidth="1" outlineLevel="1"/>
    <col min="26" max="26" width="13.73046875" style="220" hidden="1" customWidth="1" outlineLevel="1"/>
    <col min="27" max="27" width="13.3984375" style="220" hidden="1" customWidth="1" outlineLevel="1"/>
    <col min="28" max="28" width="13.3984375" style="220" hidden="1" customWidth="1" collapsed="1"/>
    <col min="29" max="29" width="13.59765625" style="220" hidden="1" customWidth="1" outlineLevel="1"/>
    <col min="30" max="31" width="13.3984375" style="220" hidden="1" customWidth="1" outlineLevel="1"/>
    <col min="32" max="32" width="11.265625" style="220" hidden="1" customWidth="1" outlineLevel="1"/>
    <col min="33" max="33" width="12.265625" style="220" hidden="1" customWidth="1" collapsed="1"/>
    <col min="34" max="34" width="11.265625" style="220" hidden="1" customWidth="1" outlineLevel="1"/>
    <col min="35" max="35" width="11" style="220" hidden="1" customWidth="1" outlineLevel="1"/>
    <col min="36" max="37" width="11.265625" style="220" hidden="1" customWidth="1" outlineLevel="1"/>
    <col min="38" max="38" width="12.265625" style="220" hidden="1" customWidth="1" collapsed="1"/>
    <col min="39" max="39" width="11.265625" style="220" hidden="1" customWidth="1" outlineLevel="1"/>
    <col min="40" max="40" width="11" style="220" hidden="1" customWidth="1" outlineLevel="1"/>
    <col min="41" max="42" width="11.265625" style="220" hidden="1" customWidth="1" outlineLevel="1"/>
    <col min="43" max="43" width="12.265625" style="220" hidden="1" customWidth="1" collapsed="1"/>
    <col min="44" max="44" width="11.265625" style="220" hidden="1" customWidth="1" outlineLevel="1"/>
    <col min="45" max="45" width="11" style="220" hidden="1" customWidth="1" outlineLevel="1"/>
    <col min="46" max="47" width="11.265625" style="220" hidden="1" customWidth="1" outlineLevel="1"/>
    <col min="48" max="48" width="12.265625" style="220" hidden="1" customWidth="1" collapsed="1"/>
    <col min="49" max="49" width="11.265625" style="220" hidden="1" customWidth="1" outlineLevel="1"/>
    <col min="50" max="50" width="11" style="220" hidden="1" customWidth="1" outlineLevel="1"/>
    <col min="51" max="52" width="11.265625" style="220" hidden="1" customWidth="1" outlineLevel="1"/>
    <col min="53" max="53" width="12.265625" style="220" bestFit="1" customWidth="1" collapsed="1"/>
    <col min="54" max="54" width="11.265625" hidden="1" customWidth="1" outlineLevel="1"/>
    <col min="55" max="55" width="11" hidden="1" customWidth="1" outlineLevel="1"/>
    <col min="56" max="57" width="11.265625" hidden="1" customWidth="1" outlineLevel="1"/>
    <col min="58" max="58" width="11.59765625" bestFit="1" customWidth="1" collapsed="1"/>
    <col min="59" max="59" width="11.265625" customWidth="1" outlineLevel="1"/>
    <col min="60" max="60" width="11" customWidth="1" outlineLevel="1"/>
    <col min="61" max="62" width="11.265625" customWidth="1" outlineLevel="1"/>
    <col min="63" max="63" width="12.265625" customWidth="1"/>
    <col min="64" max="64" width="11.265625" customWidth="1" outlineLevel="1"/>
    <col min="65" max="65" width="11" customWidth="1" outlineLevel="1"/>
    <col min="66" max="67" width="11.265625" customWidth="1" outlineLevel="1"/>
    <col min="68" max="68" width="12.265625" customWidth="1"/>
    <col min="69" max="69" width="11.265625" hidden="1" customWidth="1" outlineLevel="1"/>
    <col min="70" max="70" width="11" hidden="1" customWidth="1" outlineLevel="1"/>
    <col min="71" max="72" width="11.265625" hidden="1" customWidth="1" outlineLevel="1"/>
    <col min="73" max="73" width="12.265625" customWidth="1" collapsed="1"/>
  </cols>
  <sheetData>
    <row r="2" spans="2:73" s="106" customFormat="1" thickBot="1">
      <c r="B2" s="573"/>
      <c r="C2" s="574"/>
      <c r="D2" s="589"/>
      <c r="E2" s="589"/>
      <c r="F2" s="589"/>
      <c r="G2" s="589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0"/>
      <c r="V2" s="590"/>
      <c r="W2" s="590"/>
      <c r="X2" s="590"/>
      <c r="Y2" s="590"/>
      <c r="Z2" s="590"/>
      <c r="AA2" s="590"/>
      <c r="AB2" s="590"/>
      <c r="AC2" s="590"/>
      <c r="AD2" s="590"/>
      <c r="AE2" s="590"/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0"/>
      <c r="AR2" s="590"/>
      <c r="AS2" s="590"/>
      <c r="AT2" s="590"/>
      <c r="AU2" s="590"/>
      <c r="AV2" s="590"/>
      <c r="AW2" s="590"/>
      <c r="AX2" s="590"/>
      <c r="AY2" s="590"/>
      <c r="AZ2" s="590"/>
      <c r="BA2" s="590"/>
      <c r="BB2" s="590"/>
      <c r="BC2" s="590"/>
      <c r="BD2" s="590"/>
      <c r="BE2" s="590"/>
      <c r="BF2" s="590"/>
      <c r="BG2" s="590"/>
      <c r="BH2" s="590"/>
      <c r="BI2" s="590"/>
      <c r="BJ2" s="590"/>
      <c r="BK2" s="590"/>
      <c r="BL2" s="590"/>
      <c r="BM2" s="590"/>
      <c r="BN2" s="590"/>
      <c r="BO2" s="590"/>
      <c r="BP2" s="590"/>
      <c r="BQ2" s="590"/>
      <c r="BR2" s="590"/>
      <c r="BS2" s="590"/>
      <c r="BT2" s="590"/>
      <c r="BU2" s="590"/>
    </row>
    <row r="3" spans="2:73" s="106" customFormat="1" ht="17.649999999999999">
      <c r="B3" s="223" t="s">
        <v>171</v>
      </c>
      <c r="C3" s="107"/>
      <c r="D3" s="212"/>
      <c r="E3" s="212"/>
      <c r="F3" s="212"/>
      <c r="G3" s="213"/>
      <c r="H3" s="214"/>
      <c r="I3" s="212"/>
      <c r="J3" s="212"/>
      <c r="K3" s="212"/>
      <c r="L3" s="215"/>
      <c r="M3" s="214"/>
      <c r="N3" s="212"/>
      <c r="O3" s="212"/>
      <c r="P3" s="212"/>
      <c r="Q3" s="212"/>
      <c r="R3" s="216"/>
      <c r="S3" s="212"/>
      <c r="T3" s="212"/>
      <c r="U3" s="212"/>
      <c r="V3" s="212"/>
      <c r="W3" s="216"/>
      <c r="X3" s="212"/>
      <c r="Y3" s="212"/>
      <c r="Z3" s="212"/>
      <c r="AA3" s="212"/>
      <c r="AB3" s="216"/>
      <c r="AC3" s="212"/>
      <c r="AD3" s="212"/>
      <c r="AE3" s="212"/>
      <c r="AF3" s="212"/>
      <c r="AG3" s="216"/>
      <c r="AH3" s="212"/>
      <c r="AI3" s="212"/>
      <c r="AJ3" s="212"/>
      <c r="AK3" s="212"/>
      <c r="AL3" s="216"/>
      <c r="AM3" s="212"/>
      <c r="AN3" s="212"/>
      <c r="AO3" s="212"/>
      <c r="AP3" s="212"/>
      <c r="AQ3" s="216"/>
      <c r="AR3" s="212"/>
      <c r="AS3" s="212"/>
      <c r="AT3" s="212"/>
      <c r="AU3" s="212"/>
      <c r="AV3" s="216"/>
      <c r="AW3" s="212"/>
      <c r="AX3" s="212"/>
      <c r="AY3" s="212"/>
      <c r="AZ3" s="212"/>
      <c r="BA3" s="216"/>
      <c r="BB3" s="212"/>
      <c r="BC3" s="212"/>
      <c r="BD3" s="212"/>
      <c r="BE3" s="212"/>
      <c r="BF3" s="216"/>
      <c r="BG3" s="212"/>
      <c r="BH3" s="212"/>
      <c r="BI3" s="212"/>
      <c r="BJ3" s="212"/>
      <c r="BK3" s="216"/>
      <c r="BL3" s="212"/>
      <c r="BM3" s="212"/>
      <c r="BN3" s="212"/>
      <c r="BO3" s="212"/>
      <c r="BP3" s="216"/>
      <c r="BQ3" s="212"/>
      <c r="BR3" s="212"/>
      <c r="BS3" s="212"/>
      <c r="BT3" s="212"/>
      <c r="BU3" s="216"/>
    </row>
    <row r="4" spans="2:73" s="106" customFormat="1" ht="13.15">
      <c r="B4" s="224" t="s">
        <v>317</v>
      </c>
      <c r="C4" s="224"/>
      <c r="D4" s="217" t="str">
        <f>+IS!D22</f>
        <v>2014A</v>
      </c>
      <c r="E4" s="217"/>
      <c r="F4" s="218"/>
      <c r="G4" s="218"/>
      <c r="H4" s="524" t="s">
        <v>206</v>
      </c>
      <c r="I4" s="217" t="str">
        <f>+IS!I22</f>
        <v>2015A</v>
      </c>
      <c r="J4" s="217"/>
      <c r="K4" s="218"/>
      <c r="L4" s="218"/>
      <c r="M4" s="524" t="s">
        <v>206</v>
      </c>
      <c r="N4" s="217" t="str">
        <f>+IS!N22</f>
        <v>2016A</v>
      </c>
      <c r="O4" s="217"/>
      <c r="P4" s="218"/>
      <c r="Q4" s="218"/>
      <c r="R4" s="524" t="s">
        <v>206</v>
      </c>
      <c r="S4" s="217" t="str">
        <f>+IS!S22</f>
        <v>2017A</v>
      </c>
      <c r="T4" s="217"/>
      <c r="U4" s="218"/>
      <c r="V4" s="218"/>
      <c r="W4" s="524" t="s">
        <v>206</v>
      </c>
      <c r="X4" s="217" t="str">
        <f>+IS!X22</f>
        <v xml:space="preserve"> 2018A</v>
      </c>
      <c r="Y4" s="217"/>
      <c r="Z4" s="218"/>
      <c r="AA4" s="218"/>
      <c r="AB4" s="524" t="s">
        <v>206</v>
      </c>
      <c r="AC4" s="217" t="str">
        <f>+IS!AC22</f>
        <v xml:space="preserve"> 2019A</v>
      </c>
      <c r="AD4" s="217"/>
      <c r="AE4" s="218"/>
      <c r="AF4" s="218"/>
      <c r="AG4" s="524" t="s">
        <v>206</v>
      </c>
      <c r="AH4" s="217" t="str">
        <f>+IS!AH22</f>
        <v xml:space="preserve"> 2020A</v>
      </c>
      <c r="AI4" s="217"/>
      <c r="AJ4" s="218"/>
      <c r="AK4" s="218"/>
      <c r="AL4" s="524" t="s">
        <v>206</v>
      </c>
      <c r="AM4" s="217" t="str">
        <f>+IS!AM22</f>
        <v xml:space="preserve"> 2021A</v>
      </c>
      <c r="AN4" s="217"/>
      <c r="AO4" s="218"/>
      <c r="AP4" s="218"/>
      <c r="AQ4" s="524" t="s">
        <v>206</v>
      </c>
      <c r="AR4" s="217" t="str">
        <f>+IS!AR22</f>
        <v xml:space="preserve"> 2022A</v>
      </c>
      <c r="AS4" s="217"/>
      <c r="AT4" s="218"/>
      <c r="AU4" s="218"/>
      <c r="AV4" s="524" t="s">
        <v>206</v>
      </c>
      <c r="AW4" s="217" t="str">
        <f>+IS!AW22</f>
        <v xml:space="preserve"> 2023A</v>
      </c>
      <c r="AX4" s="217"/>
      <c r="AY4" s="218"/>
      <c r="AZ4" s="218"/>
      <c r="BA4" s="524" t="s">
        <v>206</v>
      </c>
      <c r="BB4" s="217" t="str">
        <f>+IS!BB22</f>
        <v xml:space="preserve"> 2024A</v>
      </c>
      <c r="BC4" s="217"/>
      <c r="BD4" s="218"/>
      <c r="BE4" s="218"/>
      <c r="BF4" s="524" t="s">
        <v>206</v>
      </c>
      <c r="BG4" s="217" t="str">
        <f>+IS!BG22</f>
        <v xml:space="preserve"> 2025E</v>
      </c>
      <c r="BH4" s="217"/>
      <c r="BI4" s="218"/>
      <c r="BJ4" s="218"/>
      <c r="BK4" s="524" t="s">
        <v>206</v>
      </c>
      <c r="BL4" s="217" t="str">
        <f>+IS!BL22</f>
        <v xml:space="preserve"> 2026E</v>
      </c>
      <c r="BM4" s="217"/>
      <c r="BN4" s="218"/>
      <c r="BO4" s="218"/>
      <c r="BP4" s="524" t="s">
        <v>206</v>
      </c>
      <c r="BQ4" s="217" t="str">
        <f>+IS!BQ22</f>
        <v xml:space="preserve"> 2027E</v>
      </c>
      <c r="BR4" s="217"/>
      <c r="BS4" s="218"/>
      <c r="BT4" s="218"/>
      <c r="BU4" s="524" t="s">
        <v>206</v>
      </c>
    </row>
    <row r="5" spans="2:73" s="106" customFormat="1" ht="13.15">
      <c r="B5" s="225"/>
      <c r="C5" s="224"/>
      <c r="D5" s="374" t="str">
        <f>+IS!D23</f>
        <v>1Q-Mar 14A</v>
      </c>
      <c r="E5" s="374" t="str">
        <f>+IS!E23</f>
        <v>2Q-Jun 14A</v>
      </c>
      <c r="F5" s="374" t="str">
        <f>+IS!F23</f>
        <v>3Q-Sep 14A</v>
      </c>
      <c r="G5" s="374" t="str">
        <f>+IS!G23</f>
        <v>4Q-Dec 14A</v>
      </c>
      <c r="H5" s="525" t="str">
        <f>+IS!H23</f>
        <v>2014A</v>
      </c>
      <c r="I5" s="374" t="str">
        <f>+IS!I23</f>
        <v>1Q-Mar 15</v>
      </c>
      <c r="J5" s="374" t="str">
        <f>+IS!J23</f>
        <v>2Q-Jun 15</v>
      </c>
      <c r="K5" s="374" t="str">
        <f>+IS!K23</f>
        <v>3Q-Sep 15</v>
      </c>
      <c r="L5" s="374" t="str">
        <f>+IS!L23</f>
        <v>4Q-Dec 15</v>
      </c>
      <c r="M5" s="525" t="str">
        <f>+IS!M23</f>
        <v>2015A</v>
      </c>
      <c r="N5" s="374" t="str">
        <f>+IS!N23</f>
        <v>1Q-Mar 16</v>
      </c>
      <c r="O5" s="374" t="str">
        <f>+IS!O23</f>
        <v>2Q-Jun 16</v>
      </c>
      <c r="P5" s="374" t="str">
        <f>+IS!P23</f>
        <v>3Q-Sep 16</v>
      </c>
      <c r="Q5" s="374" t="str">
        <f>+IS!Q23</f>
        <v>4Q-Dec 16</v>
      </c>
      <c r="R5" s="525" t="str">
        <f>+IS!R23</f>
        <v>2016A</v>
      </c>
      <c r="S5" s="374" t="str">
        <f>+IS!S23</f>
        <v>1Q-Mar 17A</v>
      </c>
      <c r="T5" s="374" t="str">
        <f>+IS!T23</f>
        <v>2Q-Jun 17A</v>
      </c>
      <c r="U5" s="374" t="str">
        <f>+IS!U23</f>
        <v>3Q-Sep 17A</v>
      </c>
      <c r="V5" s="374" t="str">
        <f>+IS!V23</f>
        <v>4Q-Dec 17A</v>
      </c>
      <c r="W5" s="525" t="str">
        <f>+IS!W23</f>
        <v>2017A</v>
      </c>
      <c r="X5" s="374" t="str">
        <f>+IS!X23</f>
        <v>1Q-Mar 18A</v>
      </c>
      <c r="Y5" s="374" t="str">
        <f>+IS!Y23</f>
        <v>2Q-Jun 18A</v>
      </c>
      <c r="Z5" s="374" t="str">
        <f>+IS!Z23</f>
        <v>3Q-Sep 18A</v>
      </c>
      <c r="AA5" s="412" t="str">
        <f>+IS!AA23</f>
        <v>4Q-Dec 18A</v>
      </c>
      <c r="AB5" s="525" t="str">
        <f>+IS!AB23</f>
        <v>2018A</v>
      </c>
      <c r="AC5" s="412" t="str">
        <f>+IS!AC23</f>
        <v>1Q-Mar 19A</v>
      </c>
      <c r="AD5" s="432" t="str">
        <f>+IS!AD23</f>
        <v>2Q-Jun 19A</v>
      </c>
      <c r="AE5" s="374" t="str">
        <f>+IS!AE23</f>
        <v>3Q-Sep 19A</v>
      </c>
      <c r="AF5" s="374" t="str">
        <f>+IS!AF23</f>
        <v>4Q-Dec 19A</v>
      </c>
      <c r="AG5" s="525" t="str">
        <f>+IS!AG23</f>
        <v>2019A</v>
      </c>
      <c r="AH5" s="374" t="str">
        <f>+IS!AH23</f>
        <v>1Q-Mar 20A</v>
      </c>
      <c r="AI5" s="374" t="str">
        <f>+IS!AI23</f>
        <v>2Q-Jun 20A</v>
      </c>
      <c r="AJ5" s="432" t="str">
        <f>+IS!AJ23</f>
        <v>3Q-Sep 20A</v>
      </c>
      <c r="AK5" s="374" t="str">
        <f>+IS!AK23</f>
        <v>4Q-Dec 20A</v>
      </c>
      <c r="AL5" s="525" t="str">
        <f>+IS!AL23</f>
        <v>2020A</v>
      </c>
      <c r="AM5" s="374" t="str">
        <f>+IS!AM23</f>
        <v>1Q-Mar 21A</v>
      </c>
      <c r="AN5" s="374" t="str">
        <f>+IS!AN23</f>
        <v>2Q-Jun 21A</v>
      </c>
      <c r="AO5" s="374" t="str">
        <f>+IS!AO23</f>
        <v>3Q-Sep 21A</v>
      </c>
      <c r="AP5" s="374" t="str">
        <f>+IS!AP23</f>
        <v>4Q-Dec 21A</v>
      </c>
      <c r="AQ5" s="525" t="str">
        <f>+IS!AQ23</f>
        <v>2021A</v>
      </c>
      <c r="AR5" s="374" t="str">
        <f>+IS!AR23</f>
        <v>1Q-Mar 22A</v>
      </c>
      <c r="AS5" s="412" t="str">
        <f>+IS!AS23</f>
        <v>2Q-Jun 22A</v>
      </c>
      <c r="AT5" s="374" t="str">
        <f>+IS!AT23</f>
        <v>3Q-Sep 22A</v>
      </c>
      <c r="AU5" s="374" t="str">
        <f>+IS!AU23</f>
        <v>4Q-Dec 22A</v>
      </c>
      <c r="AV5" s="525" t="str">
        <f>+IS!AV23</f>
        <v>2022A</v>
      </c>
      <c r="AW5" s="374" t="str">
        <f>+IS!AW23</f>
        <v>1Q-Mar 23A</v>
      </c>
      <c r="AX5" s="374" t="str">
        <f>+IS!AX23</f>
        <v>2Q-Jun 23A</v>
      </c>
      <c r="AY5" s="374" t="str">
        <f>+IS!AY23</f>
        <v>3Q-Sep 23A</v>
      </c>
      <c r="AZ5" s="374" t="str">
        <f>+IS!AZ23</f>
        <v>4Q-Dec 23A</v>
      </c>
      <c r="BA5" s="525" t="str">
        <f>+IS!BA23</f>
        <v>2023A</v>
      </c>
      <c r="BB5" s="374" t="str">
        <f>+IS!BB23</f>
        <v>1Q-Mar 24A</v>
      </c>
      <c r="BC5" s="374" t="str">
        <f>+IS!BC23</f>
        <v>2Q-Jun 24A</v>
      </c>
      <c r="BD5" s="374" t="str">
        <f>+IS!BD23</f>
        <v>3Q-Sep 24A</v>
      </c>
      <c r="BE5" s="374" t="str">
        <f>+IS!BE23</f>
        <v>4Q-Dec 24A</v>
      </c>
      <c r="BF5" s="525" t="str">
        <f>+IS!BF23</f>
        <v>2024A</v>
      </c>
      <c r="BG5" s="374" t="str">
        <f>+IS!BG23</f>
        <v>1Q-Mar 25A</v>
      </c>
      <c r="BH5" s="374" t="str">
        <f>+IS!BH23</f>
        <v>2Q-Jun 25A</v>
      </c>
      <c r="BI5" s="374" t="str">
        <f>+IS!BI23</f>
        <v>3Q-Sep 25A</v>
      </c>
      <c r="BJ5" s="374" t="str">
        <f>+IS!BJ23</f>
        <v>4Q-Dec 25A</v>
      </c>
      <c r="BK5" s="525" t="str">
        <f>+IS!BK23</f>
        <v>2025A</v>
      </c>
      <c r="BL5" s="374" t="str">
        <f>+IS!BL23</f>
        <v>1Q-Mar 26E</v>
      </c>
      <c r="BM5" s="374" t="str">
        <f>+IS!BM23</f>
        <v>2Q-Jun 26E</v>
      </c>
      <c r="BN5" s="374" t="str">
        <f>+IS!BN23</f>
        <v>3Q-Sep 26E</v>
      </c>
      <c r="BO5" s="374" t="str">
        <f>+IS!BO23</f>
        <v>4Q-Dec 26E</v>
      </c>
      <c r="BP5" s="525" t="str">
        <f>+IS!BP23</f>
        <v xml:space="preserve"> 2026E</v>
      </c>
      <c r="BQ5" s="374" t="str">
        <f>+IS!BQ23</f>
        <v>1Q-Mar 27E</v>
      </c>
      <c r="BR5" s="374" t="str">
        <f>+IS!BR23</f>
        <v>2Q-Jun 27E</v>
      </c>
      <c r="BS5" s="374" t="str">
        <f>+IS!BS23</f>
        <v>3Q-Sep 27E</v>
      </c>
      <c r="BT5" s="374" t="str">
        <f>+IS!BT23</f>
        <v>4Q-Dec 27E</v>
      </c>
      <c r="BU5" s="525" t="str">
        <f>+IS!BU23</f>
        <v xml:space="preserve"> 2027E</v>
      </c>
    </row>
    <row r="6" spans="2:73" s="106" customFormat="1" ht="13.15">
      <c r="B6" s="226" t="s">
        <v>175</v>
      </c>
      <c r="C6" s="227"/>
      <c r="D6" s="228"/>
      <c r="E6" s="228"/>
      <c r="F6" s="228"/>
      <c r="G6" s="228"/>
      <c r="H6" s="526"/>
      <c r="I6" s="228"/>
      <c r="J6" s="228"/>
      <c r="K6" s="228"/>
      <c r="L6" s="228"/>
      <c r="M6" s="526"/>
      <c r="N6" s="228"/>
      <c r="O6" s="228"/>
      <c r="P6" s="228"/>
      <c r="Q6" s="228"/>
      <c r="R6" s="526"/>
      <c r="S6" s="228"/>
      <c r="T6" s="228"/>
      <c r="U6" s="228"/>
      <c r="V6" s="228"/>
      <c r="W6" s="526"/>
      <c r="X6" s="228"/>
      <c r="Y6" s="228"/>
      <c r="Z6" s="228"/>
      <c r="AA6" s="228"/>
      <c r="AB6" s="526"/>
      <c r="AC6" s="228"/>
      <c r="AD6" s="433"/>
      <c r="AE6" s="228"/>
      <c r="AF6" s="228"/>
      <c r="AG6" s="526"/>
      <c r="AH6" s="228"/>
      <c r="AI6" s="228"/>
      <c r="AJ6" s="433"/>
      <c r="AK6" s="228"/>
      <c r="AL6" s="526"/>
      <c r="AM6" s="228"/>
      <c r="AN6" s="228"/>
      <c r="AO6" s="228"/>
      <c r="AP6" s="228"/>
      <c r="AQ6" s="526"/>
      <c r="AR6" s="228"/>
      <c r="AS6" s="228"/>
      <c r="AT6" s="228"/>
      <c r="AU6" s="228"/>
      <c r="AV6" s="526"/>
      <c r="AW6" s="228"/>
      <c r="AX6" s="228"/>
      <c r="AY6" s="228"/>
      <c r="AZ6" s="228"/>
      <c r="BA6" s="526"/>
      <c r="BB6" s="228"/>
      <c r="BC6" s="228"/>
      <c r="BD6" s="228"/>
      <c r="BE6" s="228"/>
      <c r="BF6" s="526"/>
      <c r="BG6" s="228"/>
      <c r="BH6" s="228"/>
      <c r="BI6" s="228"/>
      <c r="BJ6" s="228"/>
      <c r="BK6" s="526"/>
      <c r="BL6" s="228"/>
      <c r="BM6" s="228"/>
      <c r="BN6" s="228"/>
      <c r="BO6" s="228"/>
      <c r="BP6" s="526"/>
      <c r="BQ6" s="228"/>
      <c r="BR6" s="228"/>
      <c r="BS6" s="228"/>
      <c r="BT6" s="228"/>
      <c r="BU6" s="526"/>
    </row>
    <row r="7" spans="2:73" s="106" customFormat="1" ht="13.15">
      <c r="B7" s="225"/>
      <c r="C7" s="227"/>
      <c r="D7" s="228"/>
      <c r="E7" s="228"/>
      <c r="F7" s="228"/>
      <c r="G7" s="228"/>
      <c r="H7" s="526"/>
      <c r="I7" s="228"/>
      <c r="J7" s="228"/>
      <c r="K7" s="228"/>
      <c r="L7" s="228"/>
      <c r="M7" s="526"/>
      <c r="N7" s="228"/>
      <c r="O7" s="228"/>
      <c r="P7" s="228"/>
      <c r="Q7" s="228"/>
      <c r="R7" s="526"/>
      <c r="S7" s="229"/>
      <c r="T7" s="229"/>
      <c r="U7" s="229"/>
      <c r="V7" s="229"/>
      <c r="W7" s="527"/>
      <c r="X7" s="229"/>
      <c r="Y7" s="229"/>
      <c r="Z7" s="229"/>
      <c r="AA7" s="229"/>
      <c r="AB7" s="527"/>
      <c r="AC7" s="229"/>
      <c r="AD7" s="434"/>
      <c r="AE7" s="229"/>
      <c r="AF7" s="229"/>
      <c r="AG7" s="527"/>
      <c r="AH7" s="229"/>
      <c r="AI7" s="229"/>
      <c r="AJ7" s="434"/>
      <c r="AK7" s="229"/>
      <c r="AL7" s="527"/>
      <c r="AM7" s="229"/>
      <c r="AN7" s="229"/>
      <c r="AO7" s="229"/>
      <c r="AP7" s="229"/>
      <c r="AQ7" s="527"/>
      <c r="AR7" s="229"/>
      <c r="AS7" s="229"/>
      <c r="AT7" s="229"/>
      <c r="AU7" s="229"/>
      <c r="AV7" s="527"/>
      <c r="AW7" s="229"/>
      <c r="AX7" s="229"/>
      <c r="AY7" s="229"/>
      <c r="AZ7" s="229"/>
      <c r="BA7" s="527"/>
      <c r="BB7" s="229"/>
      <c r="BC7" s="229"/>
      <c r="BD7" s="229"/>
      <c r="BE7" s="229"/>
      <c r="BF7" s="527"/>
      <c r="BG7" s="229"/>
      <c r="BH7" s="229"/>
      <c r="BI7" s="229"/>
      <c r="BJ7" s="229"/>
      <c r="BK7" s="527"/>
      <c r="BL7" s="229"/>
      <c r="BM7" s="229"/>
      <c r="BN7" s="229"/>
      <c r="BO7" s="229"/>
      <c r="BP7" s="527"/>
      <c r="BQ7" s="229"/>
      <c r="BR7" s="229"/>
      <c r="BS7" s="229"/>
      <c r="BT7" s="229"/>
      <c r="BU7" s="527"/>
    </row>
    <row r="8" spans="2:73" s="106" customFormat="1" ht="12.75">
      <c r="B8" s="224" t="s">
        <v>172</v>
      </c>
      <c r="C8" s="227"/>
      <c r="D8" s="371" t="s">
        <v>340</v>
      </c>
      <c r="E8" s="371" t="s">
        <v>340</v>
      </c>
      <c r="F8" s="371" t="s">
        <v>340</v>
      </c>
      <c r="G8" s="371" t="s">
        <v>340</v>
      </c>
      <c r="H8" s="528">
        <f>+IS!H52</f>
        <v>76880</v>
      </c>
      <c r="I8" s="372">
        <f>+IS!I52</f>
        <v>23571</v>
      </c>
      <c r="J8" s="372">
        <f>+IS!J52</f>
        <v>25790</v>
      </c>
      <c r="K8" s="372">
        <f>+IS!K52</f>
        <v>28312</v>
      </c>
      <c r="L8" s="372">
        <f>+IS!L52</f>
        <v>32853</v>
      </c>
      <c r="M8" s="528">
        <f>+IS!M52</f>
        <v>110526</v>
      </c>
      <c r="N8" s="372">
        <f>+IS!N52</f>
        <v>34796</v>
      </c>
      <c r="O8" s="372">
        <f>+IS!O52</f>
        <v>37268</v>
      </c>
      <c r="P8" s="372">
        <f>+IS!P52</f>
        <v>40339</v>
      </c>
      <c r="Q8" s="372">
        <f>+IS!Q52</f>
        <v>45034</v>
      </c>
      <c r="R8" s="528">
        <f>+IS!R52</f>
        <v>157437</v>
      </c>
      <c r="S8" s="372">
        <f>+IS!S52</f>
        <v>45245</v>
      </c>
      <c r="T8" s="372">
        <f>+IS!T52</f>
        <v>47443</v>
      </c>
      <c r="U8" s="372">
        <f>+IS!U52</f>
        <v>50521</v>
      </c>
      <c r="V8" s="372">
        <f>+IS!V52</f>
        <v>57731</v>
      </c>
      <c r="W8" s="528">
        <f>+IS!W52</f>
        <v>200940</v>
      </c>
      <c r="X8" s="372">
        <f>+IS!X52</f>
        <v>54515</v>
      </c>
      <c r="Y8" s="372">
        <f>+IS!Y52</f>
        <v>58441</v>
      </c>
      <c r="Z8" s="372">
        <f>+IS!Z52</f>
        <v>62365</v>
      </c>
      <c r="AA8" s="372">
        <f>+IS!AA52</f>
        <v>68770</v>
      </c>
      <c r="AB8" s="528">
        <f>+IS!AB52</f>
        <v>244091</v>
      </c>
      <c r="AC8" s="372">
        <f>+IS!AC52</f>
        <v>73185</v>
      </c>
      <c r="AD8" s="435">
        <f>+IS!AD52</f>
        <v>78959</v>
      </c>
      <c r="AE8" s="372">
        <f>+IS!AE52</f>
        <v>83155</v>
      </c>
      <c r="AF8" s="372">
        <f>+IS!AF52</f>
        <v>91648</v>
      </c>
      <c r="AG8" s="528">
        <f>+IS!AG52</f>
        <v>326947</v>
      </c>
      <c r="AH8" s="372">
        <f>+IS!AH52</f>
        <v>94340</v>
      </c>
      <c r="AI8" s="372">
        <f>+IS!AI52</f>
        <v>98912</v>
      </c>
      <c r="AJ8" s="435">
        <f>+IS!AJ52</f>
        <v>105075</v>
      </c>
      <c r="AK8" s="372">
        <f>+IS!AK52</f>
        <v>113159</v>
      </c>
      <c r="AL8" s="528">
        <f>+IS!AL52</f>
        <v>411486</v>
      </c>
      <c r="AM8" s="372">
        <f>+IS!AM52</f>
        <v>117451</v>
      </c>
      <c r="AN8" s="372">
        <f>+IS!AN52</f>
        <v>126421</v>
      </c>
      <c r="AO8" s="372">
        <f>+IS!AO52</f>
        <v>139894</v>
      </c>
      <c r="AP8" s="372">
        <f>+IS!AP52</f>
        <v>151638</v>
      </c>
      <c r="AQ8" s="528">
        <f>+IS!AQ52</f>
        <v>535404</v>
      </c>
      <c r="AR8" s="372">
        <f>+IS!AR52</f>
        <v>157384</v>
      </c>
      <c r="AS8" s="372">
        <f>+IS!AS52</f>
        <v>167455</v>
      </c>
      <c r="AT8" s="372">
        <f>+IS!AT52</f>
        <v>175765</v>
      </c>
      <c r="AU8" s="372">
        <f>+IS!AU52</f>
        <v>184479</v>
      </c>
      <c r="AV8" s="528">
        <f>+IS!AV52</f>
        <v>685083</v>
      </c>
      <c r="AW8" s="372">
        <f>+IS!AW52</f>
        <v>183174</v>
      </c>
      <c r="AX8" s="372">
        <f>+IS!AX52</f>
        <v>190422</v>
      </c>
      <c r="AY8" s="372">
        <f>+IS!AY52</f>
        <v>198843</v>
      </c>
      <c r="AZ8" s="372">
        <f>+IS!AZ52</f>
        <v>205268</v>
      </c>
      <c r="BA8" s="528">
        <f>+IS!BA52</f>
        <v>777707</v>
      </c>
      <c r="BB8" s="372">
        <f>+IS!BB52</f>
        <v>205101</v>
      </c>
      <c r="BC8" s="372">
        <f>+IS!BC52</f>
        <v>207991</v>
      </c>
      <c r="BD8" s="372">
        <f>+IS!BD52</f>
        <v>214654</v>
      </c>
      <c r="BE8" s="372">
        <f>+IS!BE52</f>
        <v>216261</v>
      </c>
      <c r="BF8" s="528">
        <f>+IS!BF52</f>
        <v>844007</v>
      </c>
      <c r="BG8" s="372">
        <f>+IS!BG52</f>
        <v>210253</v>
      </c>
      <c r="BH8" s="372">
        <f>+IS!BH52</f>
        <v>214193</v>
      </c>
      <c r="BI8" s="372">
        <f>+IS!BI52</f>
        <v>217960</v>
      </c>
      <c r="BJ8" s="372">
        <f>+IS!BJ52</f>
        <v>217388</v>
      </c>
      <c r="BK8" s="528">
        <f>+IS!BK52</f>
        <v>859794</v>
      </c>
      <c r="BL8" s="372">
        <f>+IS!BL52</f>
        <v>207969.72500000001</v>
      </c>
      <c r="BM8" s="372">
        <f>+IS!BM52</f>
        <v>208933.78</v>
      </c>
      <c r="BN8" s="372">
        <f>+IS!BN52</f>
        <v>210249.1</v>
      </c>
      <c r="BO8" s="372">
        <f>+IS!BO52</f>
        <v>211721.68</v>
      </c>
      <c r="BP8" s="528">
        <f>+IS!BP52</f>
        <v>838874.28500000003</v>
      </c>
      <c r="BQ8" s="372">
        <f>+IS!BQ52</f>
        <v>211522.59150000001</v>
      </c>
      <c r="BR8" s="372">
        <f>+IS!BR52</f>
        <v>212512.60920000001</v>
      </c>
      <c r="BS8" s="372">
        <f>+IS!BS52</f>
        <v>213685.1844</v>
      </c>
      <c r="BT8" s="372">
        <f>+IS!BT52</f>
        <v>215145.1992</v>
      </c>
      <c r="BU8" s="528">
        <f>+IS!BU52</f>
        <v>852865.58429999999</v>
      </c>
    </row>
    <row r="9" spans="2:73" s="106" customFormat="1" ht="12.75">
      <c r="B9" s="224" t="s">
        <v>315</v>
      </c>
      <c r="C9" s="227"/>
      <c r="D9" s="371" t="s">
        <v>340</v>
      </c>
      <c r="E9" s="371" t="s">
        <v>340</v>
      </c>
      <c r="F9" s="371" t="s">
        <v>340</v>
      </c>
      <c r="G9" s="371" t="s">
        <v>340</v>
      </c>
      <c r="H9" s="527">
        <f>+BS!H32+BS!H39</f>
        <v>85056</v>
      </c>
      <c r="I9" s="229">
        <f>+BS!I32+BS!I39</f>
        <v>88643</v>
      </c>
      <c r="J9" s="229">
        <f>+BS!J32+BS!J39</f>
        <v>97511</v>
      </c>
      <c r="K9" s="229">
        <f>+BS!K32+BS!K39</f>
        <v>110152</v>
      </c>
      <c r="L9" s="229">
        <f>+BS!L32+BS!L39</f>
        <v>130317</v>
      </c>
      <c r="M9" s="527">
        <f>+BS!M32+BS!M39</f>
        <v>130317</v>
      </c>
      <c r="N9" s="229">
        <f>+BS!N32+BS!N39</f>
        <v>131857</v>
      </c>
      <c r="O9" s="229">
        <f>+BS!O32+BS!O39</f>
        <v>144722</v>
      </c>
      <c r="P9" s="229">
        <f>+BS!P32+BS!P39</f>
        <v>149264</v>
      </c>
      <c r="Q9" s="229">
        <f>+BS!Q32+BS!Q39</f>
        <v>169063</v>
      </c>
      <c r="R9" s="527">
        <f>+BS!R32+BS!R39</f>
        <v>169063</v>
      </c>
      <c r="S9" s="229">
        <f>+BS!S32+BS!S39</f>
        <v>167647</v>
      </c>
      <c r="T9" s="229">
        <f>+BS!T32+BS!T39</f>
        <v>180429</v>
      </c>
      <c r="U9" s="229">
        <f>+BS!U32+BS!U39</f>
        <v>188643</v>
      </c>
      <c r="V9" s="229">
        <f>+BS!V32+BS!V39</f>
        <v>225393</v>
      </c>
      <c r="W9" s="527">
        <f>+BS!W32+BS!W39</f>
        <v>225393</v>
      </c>
      <c r="X9" s="229">
        <f>+BS!X32+BS!X39</f>
        <v>218898</v>
      </c>
      <c r="Y9" s="229">
        <f>+BS!Y32+BS!Y39</f>
        <v>224400</v>
      </c>
      <c r="Z9" s="229">
        <f>+BS!Z32+BS!Z39</f>
        <v>223088</v>
      </c>
      <c r="AA9" s="229">
        <f>+BS!AA32+BS!AA39</f>
        <v>248571</v>
      </c>
      <c r="AB9" s="527">
        <f>+BS!AB32+BS!AB39</f>
        <v>248571</v>
      </c>
      <c r="AC9" s="229">
        <f>+BS!AC32+BS!AC39</f>
        <v>236467</v>
      </c>
      <c r="AD9" s="434">
        <f>+BS!AD32+BS!AD39</f>
        <v>243992</v>
      </c>
      <c r="AE9" s="229">
        <f>+BS!AE32+BS!AE39</f>
        <v>236934</v>
      </c>
      <c r="AF9" s="229">
        <f>+BS!AF32+BS!AF39</f>
        <v>267744</v>
      </c>
      <c r="AG9" s="527">
        <f>+BS!AG32+BS!AG39</f>
        <v>267744</v>
      </c>
      <c r="AH9" s="229">
        <f>+BS!AH32+BS!AH39</f>
        <v>251073</v>
      </c>
      <c r="AI9" s="229">
        <f>+BS!AI32+BS!AI39</f>
        <v>260598</v>
      </c>
      <c r="AJ9" s="434">
        <f>+BS!AJ32+BS!AJ39</f>
        <v>262192</v>
      </c>
      <c r="AK9" s="229">
        <f>+BS!AK32+BS!AK39</f>
        <v>309950</v>
      </c>
      <c r="AL9" s="527">
        <f>+BS!AL32+BS!AL39</f>
        <v>309950</v>
      </c>
      <c r="AM9" s="229">
        <f>+BS!AM32+BS!AM39</f>
        <v>311078</v>
      </c>
      <c r="AN9" s="229">
        <f>+BS!AN32+BS!AN39</f>
        <v>332310</v>
      </c>
      <c r="AO9" s="229">
        <f>+BS!AO32+BS!AO39</f>
        <v>343950</v>
      </c>
      <c r="AP9" s="229">
        <f>+BS!AP32+BS!AP39</f>
        <v>405123</v>
      </c>
      <c r="AQ9" s="527">
        <f>+BS!AQ32+BS!AQ39</f>
        <v>405123</v>
      </c>
      <c r="AR9" s="229">
        <f>+BS!AR32+BS!AR39</f>
        <v>408954</v>
      </c>
      <c r="AS9" s="229">
        <f>+BS!AS32+BS!AS39</f>
        <v>428306</v>
      </c>
      <c r="AT9" s="229">
        <f>+BS!AT32+BS!AT39</f>
        <v>423420</v>
      </c>
      <c r="AU9" s="229">
        <f>+BS!AU32+BS!AU39</f>
        <v>457639</v>
      </c>
      <c r="AV9" s="527">
        <f>+BS!AV32+BS!AV39</f>
        <v>457639</v>
      </c>
      <c r="AW9" s="229">
        <f>+BS!AW32+BS!AW39</f>
        <v>445577</v>
      </c>
      <c r="AX9" s="229">
        <f>+BS!AX32+BS!AX39</f>
        <v>459392</v>
      </c>
      <c r="AY9" s="229">
        <f>+BS!AY32+BS!AY39</f>
        <v>451242</v>
      </c>
      <c r="AZ9" s="229">
        <f>+BS!AZ32+BS!AZ39</f>
        <v>488080</v>
      </c>
      <c r="BA9" s="527">
        <f>+BS!BA32+BS!BA39</f>
        <v>488080</v>
      </c>
      <c r="BB9" s="229">
        <f>+BS!BB32+BS!BB39</f>
        <v>466894</v>
      </c>
      <c r="BC9" s="229">
        <f>+BS!BC32+BS!BC39</f>
        <v>464734</v>
      </c>
      <c r="BD9" s="229">
        <f>+BS!BD32+BS!BD39</f>
        <v>451879</v>
      </c>
      <c r="BE9" s="229">
        <f>+BS!BE32+BS!BE39</f>
        <v>488196</v>
      </c>
      <c r="BF9" s="527">
        <f>+BS!BF32+BS!BF39</f>
        <v>488196</v>
      </c>
      <c r="BG9" s="229">
        <f>+BS!BG32+BS!BG39</f>
        <v>475322</v>
      </c>
      <c r="BH9" s="229">
        <f>+BS!BH32+BS!BH39</f>
        <v>475871</v>
      </c>
      <c r="BI9" s="229">
        <f>+BS!BI32+BS!BI39</f>
        <v>451285</v>
      </c>
      <c r="BJ9" s="229">
        <f>+BS!BJ32+BS!BJ39</f>
        <v>481126</v>
      </c>
      <c r="BK9" s="527">
        <f>+BS!BK32+BS!BK39</f>
        <v>481126</v>
      </c>
      <c r="BL9" s="229">
        <f>+BS!BL32+BS!BL39</f>
        <v>476270.45</v>
      </c>
      <c r="BM9" s="229">
        <f>+BS!BM32+BS!BM39</f>
        <v>479057.88099999999</v>
      </c>
      <c r="BN9" s="229">
        <f>+BS!BN32+BS!BN39</f>
        <v>454517.37098000001</v>
      </c>
      <c r="BO9" s="229">
        <f>+BS!BO32+BS!BO39</f>
        <v>487249.59157020005</v>
      </c>
      <c r="BP9" s="527">
        <f>+BS!BP32+BS!BP39</f>
        <v>487249.59157020005</v>
      </c>
      <c r="BQ9" s="229">
        <f>+BS!BQ32+BS!BQ39</f>
        <v>482471.87699169002</v>
      </c>
      <c r="BR9" s="229">
        <f>+BS!BR32+BS!BR39</f>
        <v>485381.53625185619</v>
      </c>
      <c r="BS9" s="229">
        <f>+BS!BS32+BS!BS39</f>
        <v>460415.36607881909</v>
      </c>
      <c r="BT9" s="229">
        <f>+BS!BT32+BS!BT39</f>
        <v>493834.15460403095</v>
      </c>
      <c r="BU9" s="527">
        <f>+BS!BU32+BS!BU39</f>
        <v>493834.15460403095</v>
      </c>
    </row>
    <row r="10" spans="2:73" s="106" customFormat="1" ht="12.75">
      <c r="B10" s="224" t="s">
        <v>316</v>
      </c>
      <c r="C10" s="227"/>
      <c r="D10" s="371" t="s">
        <v>340</v>
      </c>
      <c r="E10" s="371" t="s">
        <v>340</v>
      </c>
      <c r="F10" s="371" t="s">
        <v>340</v>
      </c>
      <c r="G10" s="371" t="s">
        <v>340</v>
      </c>
      <c r="H10" s="537">
        <f>40761+19094</f>
        <v>59855</v>
      </c>
      <c r="I10" s="229">
        <f>+BS!G32+BS!G39</f>
        <v>85056</v>
      </c>
      <c r="J10" s="229">
        <f>+BS!I32+BS!I39</f>
        <v>88643</v>
      </c>
      <c r="K10" s="229">
        <f>+BS!J32+BS!J39</f>
        <v>97511</v>
      </c>
      <c r="L10" s="229">
        <f>+BS!K32+BS!K39</f>
        <v>110152</v>
      </c>
      <c r="M10" s="527">
        <f>+BS!H32+BS!H39</f>
        <v>85056</v>
      </c>
      <c r="N10" s="229">
        <f>+BS!M32+BS!M39</f>
        <v>130317</v>
      </c>
      <c r="O10" s="229">
        <f>+BS!N32+BS!N39</f>
        <v>131857</v>
      </c>
      <c r="P10" s="229">
        <f>+BS!O32+BS!O39</f>
        <v>144722</v>
      </c>
      <c r="Q10" s="229">
        <f>+BS!P32+BS!P39</f>
        <v>149264</v>
      </c>
      <c r="R10" s="527">
        <f>+BS!M32+BS!M39</f>
        <v>130317</v>
      </c>
      <c r="S10" s="229">
        <f>+BS!R32+BS!R39</f>
        <v>169063</v>
      </c>
      <c r="T10" s="229">
        <f>+BS!S32+BS!S39</f>
        <v>167647</v>
      </c>
      <c r="U10" s="229">
        <f>+BS!T32+BS!T39</f>
        <v>180429</v>
      </c>
      <c r="V10" s="229">
        <f>+BS!U32+BS!U39</f>
        <v>188643</v>
      </c>
      <c r="W10" s="527">
        <f>+BS!R32+BS!R39</f>
        <v>169063</v>
      </c>
      <c r="X10" s="229">
        <f>+BS!W32+BS!W39</f>
        <v>225393</v>
      </c>
      <c r="Y10" s="229">
        <f>+BS!X32+BS!X39</f>
        <v>218898</v>
      </c>
      <c r="Z10" s="229">
        <f>+BS!Y32+BS!Y39</f>
        <v>224400</v>
      </c>
      <c r="AA10" s="229">
        <f>+BS!Z32+BS!Z39</f>
        <v>223088</v>
      </c>
      <c r="AB10" s="527">
        <f>+BS!W32+BS!W39</f>
        <v>225393</v>
      </c>
      <c r="AC10" s="229">
        <f>+BS!AB32+BS!AB39</f>
        <v>248571</v>
      </c>
      <c r="AD10" s="229">
        <f>+BS!AC32+BS!AC39</f>
        <v>236467</v>
      </c>
      <c r="AE10" s="229">
        <f>+BS!AD32+BS!AD39</f>
        <v>243992</v>
      </c>
      <c r="AF10" s="229">
        <f>+BS!AE32+BS!AE39</f>
        <v>236934</v>
      </c>
      <c r="AG10" s="527">
        <f>+BS!AB32+BS!AB39</f>
        <v>248571</v>
      </c>
      <c r="AH10" s="229">
        <f>+BS!AG32+BS!AG39</f>
        <v>267744</v>
      </c>
      <c r="AI10" s="229">
        <f>+BS!AH32+BS!AH39</f>
        <v>251073</v>
      </c>
      <c r="AJ10" s="434">
        <f>+BS!AI32+BS!AI39</f>
        <v>260598</v>
      </c>
      <c r="AK10" s="229">
        <f>+BS!AJ32+BS!AJ39</f>
        <v>262192</v>
      </c>
      <c r="AL10" s="527">
        <f>+BS!AG32+BS!AG39</f>
        <v>267744</v>
      </c>
      <c r="AM10" s="229">
        <f>+BS!AL32+BS!AL39</f>
        <v>309950</v>
      </c>
      <c r="AN10" s="229">
        <f>+BS!AM32+BS!AM39</f>
        <v>311078</v>
      </c>
      <c r="AO10" s="229">
        <f>+BS!AN32+BS!AN39</f>
        <v>332310</v>
      </c>
      <c r="AP10" s="229">
        <f>+BS!AO32+BS!AO39</f>
        <v>343950</v>
      </c>
      <c r="AQ10" s="527">
        <f>+BS!AL32+BS!AL39</f>
        <v>309950</v>
      </c>
      <c r="AR10" s="229">
        <f>+BS!AQ32+BS!AQ39</f>
        <v>405123</v>
      </c>
      <c r="AS10" s="229">
        <f>+BS!AR32+BS!AR39</f>
        <v>408954</v>
      </c>
      <c r="AT10" s="229">
        <f>+BS!AS32+BS!AS39</f>
        <v>428306</v>
      </c>
      <c r="AU10" s="229">
        <f>+BS!AT32+BS!AT39</f>
        <v>423420</v>
      </c>
      <c r="AV10" s="527">
        <f>+BS!AQ32+BS!AQ39</f>
        <v>405123</v>
      </c>
      <c r="AW10" s="229">
        <f>+BS!AV32+BS!AV39</f>
        <v>457639</v>
      </c>
      <c r="AX10" s="229">
        <f>+BS!AW32+BS!AW39</f>
        <v>445577</v>
      </c>
      <c r="AY10" s="229">
        <f>+BS!AX32+BS!AX39</f>
        <v>459392</v>
      </c>
      <c r="AZ10" s="229">
        <f>+BS!AY32+BS!AY39</f>
        <v>451242</v>
      </c>
      <c r="BA10" s="527">
        <f>+BS!AV32+BS!AV39</f>
        <v>457639</v>
      </c>
      <c r="BB10" s="229">
        <f>+BS!BA32+BS!BA39</f>
        <v>488080</v>
      </c>
      <c r="BC10" s="229">
        <f>+BS!BB32+BS!BB39</f>
        <v>466894</v>
      </c>
      <c r="BD10" s="229">
        <f>+BS!BC32+BS!BC39</f>
        <v>464734</v>
      </c>
      <c r="BE10" s="229">
        <f>+BS!BD32+BS!BD39</f>
        <v>451879</v>
      </c>
      <c r="BF10" s="527">
        <f>+BS!BA32+BS!BA39</f>
        <v>488080</v>
      </c>
      <c r="BG10" s="229">
        <f>+BS!BF32+BS!BF39</f>
        <v>488196</v>
      </c>
      <c r="BH10" s="229">
        <f>+BS!BG32+BS!BG39</f>
        <v>475322</v>
      </c>
      <c r="BI10" s="229">
        <f>+BS!BH32+BS!BH39</f>
        <v>475871</v>
      </c>
      <c r="BJ10" s="229">
        <f>+BS!BI32+BS!BI39</f>
        <v>451285</v>
      </c>
      <c r="BK10" s="527">
        <f>+BS!BF32+BS!BF39</f>
        <v>488196</v>
      </c>
      <c r="BL10" s="229">
        <f>+BS!BK32+BS!BK39</f>
        <v>481126</v>
      </c>
      <c r="BM10" s="229">
        <f>+BS!BL32+BS!BL39</f>
        <v>476270.45</v>
      </c>
      <c r="BN10" s="229">
        <f>+BS!BM32+BS!BM39</f>
        <v>479057.88099999999</v>
      </c>
      <c r="BO10" s="229">
        <f>+BS!BN32+BS!BN39</f>
        <v>454517.37098000001</v>
      </c>
      <c r="BP10" s="527">
        <f>+BS!BK32+BS!BK39</f>
        <v>481126</v>
      </c>
      <c r="BQ10" s="229">
        <f>+BS!BP32+BS!BP39</f>
        <v>487249.59157020005</v>
      </c>
      <c r="BR10" s="229">
        <f>+BS!BQ32+BS!BQ39</f>
        <v>482471.87699169002</v>
      </c>
      <c r="BS10" s="229">
        <f>+BS!BR32+BS!BR39</f>
        <v>485381.53625185619</v>
      </c>
      <c r="BT10" s="229">
        <f>+BS!BS32+BS!BS39</f>
        <v>460415.36607881909</v>
      </c>
      <c r="BU10" s="527">
        <f>+BS!BP32+BS!BP39</f>
        <v>487249.59157020005</v>
      </c>
    </row>
    <row r="11" spans="2:73" s="106" customFormat="1" ht="8.25" customHeight="1">
      <c r="B11" s="224"/>
      <c r="C11" s="227"/>
      <c r="D11" s="230" t="s">
        <v>1</v>
      </c>
      <c r="E11" s="230" t="s">
        <v>1</v>
      </c>
      <c r="F11" s="230" t="s">
        <v>1</v>
      </c>
      <c r="G11" s="230" t="s">
        <v>1</v>
      </c>
      <c r="H11" s="529" t="s">
        <v>1</v>
      </c>
      <c r="I11" s="230" t="s">
        <v>1</v>
      </c>
      <c r="J11" s="230" t="s">
        <v>1</v>
      </c>
      <c r="K11" s="230" t="s">
        <v>1</v>
      </c>
      <c r="L11" s="230" t="s">
        <v>1</v>
      </c>
      <c r="M11" s="529" t="s">
        <v>1</v>
      </c>
      <c r="N11" s="230" t="s">
        <v>1</v>
      </c>
      <c r="O11" s="230" t="s">
        <v>1</v>
      </c>
      <c r="P11" s="230" t="s">
        <v>1</v>
      </c>
      <c r="Q11" s="230" t="s">
        <v>1</v>
      </c>
      <c r="R11" s="529" t="s">
        <v>1</v>
      </c>
      <c r="S11" s="230" t="s">
        <v>1</v>
      </c>
      <c r="T11" s="230" t="s">
        <v>1</v>
      </c>
      <c r="U11" s="230" t="s">
        <v>1</v>
      </c>
      <c r="V11" s="230" t="s">
        <v>1</v>
      </c>
      <c r="W11" s="529" t="s">
        <v>1</v>
      </c>
      <c r="X11" s="230" t="s">
        <v>1</v>
      </c>
      <c r="Y11" s="230" t="s">
        <v>1</v>
      </c>
      <c r="Z11" s="230" t="s">
        <v>1</v>
      </c>
      <c r="AA11" s="230" t="s">
        <v>1</v>
      </c>
      <c r="AB11" s="529" t="s">
        <v>1</v>
      </c>
      <c r="AC11" s="230" t="s">
        <v>1</v>
      </c>
      <c r="AD11" s="230" t="s">
        <v>1</v>
      </c>
      <c r="AE11" s="230" t="s">
        <v>1</v>
      </c>
      <c r="AF11" s="230" t="s">
        <v>1</v>
      </c>
      <c r="AG11" s="529" t="s">
        <v>1</v>
      </c>
      <c r="AH11" s="230" t="s">
        <v>1</v>
      </c>
      <c r="AI11" s="230" t="s">
        <v>1</v>
      </c>
      <c r="AJ11" s="673" t="s">
        <v>1</v>
      </c>
      <c r="AK11" s="230" t="s">
        <v>1</v>
      </c>
      <c r="AL11" s="529" t="s">
        <v>1</v>
      </c>
      <c r="AM11" s="230" t="s">
        <v>1</v>
      </c>
      <c r="AN11" s="230" t="s">
        <v>1</v>
      </c>
      <c r="AO11" s="230" t="s">
        <v>1</v>
      </c>
      <c r="AP11" s="230" t="s">
        <v>1</v>
      </c>
      <c r="AQ11" s="529" t="s">
        <v>1</v>
      </c>
      <c r="AR11" s="230" t="s">
        <v>1</v>
      </c>
      <c r="AS11" s="230" t="s">
        <v>1</v>
      </c>
      <c r="AT11" s="230" t="s">
        <v>1</v>
      </c>
      <c r="AU11" s="230" t="s">
        <v>1</v>
      </c>
      <c r="AV11" s="529" t="s">
        <v>1</v>
      </c>
      <c r="AW11" s="230" t="s">
        <v>1</v>
      </c>
      <c r="AX11" s="230" t="s">
        <v>1</v>
      </c>
      <c r="AY11" s="230" t="s">
        <v>1</v>
      </c>
      <c r="AZ11" s="230" t="s">
        <v>1</v>
      </c>
      <c r="BA11" s="529" t="s">
        <v>1</v>
      </c>
      <c r="BB11" s="230" t="s">
        <v>1</v>
      </c>
      <c r="BC11" s="230" t="s">
        <v>1</v>
      </c>
      <c r="BD11" s="230" t="s">
        <v>1</v>
      </c>
      <c r="BE11" s="230" t="s">
        <v>1</v>
      </c>
      <c r="BF11" s="529" t="s">
        <v>1</v>
      </c>
      <c r="BG11" s="230" t="s">
        <v>1</v>
      </c>
      <c r="BH11" s="230" t="s">
        <v>1</v>
      </c>
      <c r="BI11" s="230" t="s">
        <v>1</v>
      </c>
      <c r="BJ11" s="230" t="s">
        <v>1</v>
      </c>
      <c r="BK11" s="529" t="s">
        <v>1</v>
      </c>
      <c r="BL11" s="230" t="s">
        <v>1</v>
      </c>
      <c r="BM11" s="230" t="s">
        <v>1</v>
      </c>
      <c r="BN11" s="230" t="s">
        <v>1</v>
      </c>
      <c r="BO11" s="230" t="s">
        <v>1</v>
      </c>
      <c r="BP11" s="529" t="s">
        <v>1</v>
      </c>
      <c r="BQ11" s="230" t="s">
        <v>1</v>
      </c>
      <c r="BR11" s="230" t="s">
        <v>1</v>
      </c>
      <c r="BS11" s="230" t="s">
        <v>1</v>
      </c>
      <c r="BT11" s="230" t="s">
        <v>1</v>
      </c>
      <c r="BU11" s="529" t="s">
        <v>1</v>
      </c>
    </row>
    <row r="12" spans="2:73" s="112" customFormat="1" ht="13.15">
      <c r="B12" s="225" t="s">
        <v>466</v>
      </c>
      <c r="C12" s="231"/>
      <c r="D12" s="371" t="s">
        <v>340</v>
      </c>
      <c r="E12" s="371" t="s">
        <v>340</v>
      </c>
      <c r="F12" s="371" t="s">
        <v>340</v>
      </c>
      <c r="G12" s="371" t="s">
        <v>340</v>
      </c>
      <c r="H12" s="530">
        <f t="shared" ref="H12:AQ12" si="0">+H8+H9-H10</f>
        <v>102081</v>
      </c>
      <c r="I12" s="373">
        <f t="shared" si="0"/>
        <v>27158</v>
      </c>
      <c r="J12" s="373">
        <f t="shared" si="0"/>
        <v>34658</v>
      </c>
      <c r="K12" s="373">
        <f t="shared" si="0"/>
        <v>40953</v>
      </c>
      <c r="L12" s="373">
        <f t="shared" si="0"/>
        <v>53018</v>
      </c>
      <c r="M12" s="530">
        <f t="shared" si="0"/>
        <v>155787</v>
      </c>
      <c r="N12" s="373">
        <f t="shared" si="0"/>
        <v>36336</v>
      </c>
      <c r="O12" s="373">
        <f t="shared" si="0"/>
        <v>50133</v>
      </c>
      <c r="P12" s="373">
        <f t="shared" si="0"/>
        <v>44881</v>
      </c>
      <c r="Q12" s="373">
        <f t="shared" si="0"/>
        <v>64833</v>
      </c>
      <c r="R12" s="530">
        <f t="shared" si="0"/>
        <v>196183</v>
      </c>
      <c r="S12" s="373">
        <f t="shared" si="0"/>
        <v>43829</v>
      </c>
      <c r="T12" s="373">
        <f t="shared" si="0"/>
        <v>60225</v>
      </c>
      <c r="U12" s="373">
        <f t="shared" si="0"/>
        <v>58735</v>
      </c>
      <c r="V12" s="373">
        <f t="shared" si="0"/>
        <v>94481</v>
      </c>
      <c r="W12" s="530">
        <f t="shared" si="0"/>
        <v>257270</v>
      </c>
      <c r="X12" s="373">
        <f t="shared" si="0"/>
        <v>48020</v>
      </c>
      <c r="Y12" s="373">
        <f t="shared" si="0"/>
        <v>63943</v>
      </c>
      <c r="Z12" s="373">
        <f t="shared" si="0"/>
        <v>61053</v>
      </c>
      <c r="AA12" s="373">
        <f t="shared" si="0"/>
        <v>94253</v>
      </c>
      <c r="AB12" s="530">
        <f t="shared" si="0"/>
        <v>267269</v>
      </c>
      <c r="AC12" s="373">
        <f t="shared" si="0"/>
        <v>61081</v>
      </c>
      <c r="AD12" s="373">
        <f t="shared" si="0"/>
        <v>86484</v>
      </c>
      <c r="AE12" s="373">
        <f t="shared" si="0"/>
        <v>76097</v>
      </c>
      <c r="AF12" s="373">
        <f t="shared" si="0"/>
        <v>122458</v>
      </c>
      <c r="AG12" s="530">
        <f t="shared" si="0"/>
        <v>346120</v>
      </c>
      <c r="AH12" s="373">
        <f t="shared" si="0"/>
        <v>77669</v>
      </c>
      <c r="AI12" s="373">
        <f t="shared" si="0"/>
        <v>108437</v>
      </c>
      <c r="AJ12" s="674">
        <f t="shared" si="0"/>
        <v>106669</v>
      </c>
      <c r="AK12" s="373">
        <f t="shared" si="0"/>
        <v>160917</v>
      </c>
      <c r="AL12" s="530">
        <f t="shared" si="0"/>
        <v>453692</v>
      </c>
      <c r="AM12" s="373">
        <f t="shared" si="0"/>
        <v>118579</v>
      </c>
      <c r="AN12" s="373">
        <f t="shared" si="0"/>
        <v>147653</v>
      </c>
      <c r="AO12" s="373">
        <f t="shared" si="0"/>
        <v>151534</v>
      </c>
      <c r="AP12" s="373">
        <f t="shared" si="0"/>
        <v>212811</v>
      </c>
      <c r="AQ12" s="530">
        <f t="shared" si="0"/>
        <v>630577</v>
      </c>
      <c r="AR12" s="373">
        <f t="shared" ref="AR12:BP12" si="1">+AR8+AR9-AR10</f>
        <v>161215</v>
      </c>
      <c r="AS12" s="373">
        <f t="shared" si="1"/>
        <v>186807</v>
      </c>
      <c r="AT12" s="373">
        <f t="shared" si="1"/>
        <v>170879</v>
      </c>
      <c r="AU12" s="373">
        <f t="shared" si="1"/>
        <v>218698</v>
      </c>
      <c r="AV12" s="530">
        <f t="shared" si="1"/>
        <v>737599</v>
      </c>
      <c r="AW12" s="373">
        <f t="shared" si="1"/>
        <v>171112</v>
      </c>
      <c r="AX12" s="373">
        <f t="shared" si="1"/>
        <v>204237</v>
      </c>
      <c r="AY12" s="373">
        <f t="shared" si="1"/>
        <v>190693</v>
      </c>
      <c r="AZ12" s="373">
        <f t="shared" si="1"/>
        <v>242106</v>
      </c>
      <c r="BA12" s="530">
        <f t="shared" si="1"/>
        <v>808148</v>
      </c>
      <c r="BB12" s="373">
        <f t="shared" si="1"/>
        <v>183915</v>
      </c>
      <c r="BC12" s="373">
        <f t="shared" si="1"/>
        <v>205831</v>
      </c>
      <c r="BD12" s="373">
        <f t="shared" si="1"/>
        <v>201799</v>
      </c>
      <c r="BE12" s="373">
        <f t="shared" si="1"/>
        <v>252578</v>
      </c>
      <c r="BF12" s="530">
        <f t="shared" si="1"/>
        <v>844123</v>
      </c>
      <c r="BG12" s="373">
        <f t="shared" si="1"/>
        <v>197379</v>
      </c>
      <c r="BH12" s="373">
        <f t="shared" si="1"/>
        <v>214742</v>
      </c>
      <c r="BI12" s="373">
        <f t="shared" si="1"/>
        <v>193374</v>
      </c>
      <c r="BJ12" s="373">
        <f t="shared" si="1"/>
        <v>247229</v>
      </c>
      <c r="BK12" s="530">
        <f t="shared" si="1"/>
        <v>852724</v>
      </c>
      <c r="BL12" s="373">
        <f t="shared" si="1"/>
        <v>203114.17500000005</v>
      </c>
      <c r="BM12" s="373">
        <f t="shared" si="1"/>
        <v>211721.21099999995</v>
      </c>
      <c r="BN12" s="373">
        <f t="shared" si="1"/>
        <v>185708.58997999999</v>
      </c>
      <c r="BO12" s="373">
        <f t="shared" si="1"/>
        <v>244453.90059020009</v>
      </c>
      <c r="BP12" s="530">
        <f t="shared" si="1"/>
        <v>844997.87657020008</v>
      </c>
      <c r="BQ12" s="373">
        <f t="shared" ref="BQ12:BU12" si="2">+BQ8+BQ9-BQ10</f>
        <v>206744.87692148995</v>
      </c>
      <c r="BR12" s="373">
        <f t="shared" si="2"/>
        <v>215422.26846016617</v>
      </c>
      <c r="BS12" s="373">
        <f t="shared" si="2"/>
        <v>188719.01422696287</v>
      </c>
      <c r="BT12" s="373">
        <f t="shared" si="2"/>
        <v>248563.98772521183</v>
      </c>
      <c r="BU12" s="530">
        <f t="shared" si="2"/>
        <v>859450.14733383094</v>
      </c>
    </row>
    <row r="13" spans="2:73" s="106" customFormat="1" ht="12.75">
      <c r="B13" s="224" t="s">
        <v>126</v>
      </c>
      <c r="C13" s="227"/>
      <c r="D13" s="233"/>
      <c r="E13" s="233"/>
      <c r="F13" s="233"/>
      <c r="G13" s="233"/>
      <c r="H13" s="502"/>
      <c r="I13" s="233"/>
      <c r="J13" s="233"/>
      <c r="K13" s="233"/>
      <c r="L13" s="233"/>
      <c r="M13" s="502">
        <f t="shared" ref="M13:AQ13" si="3">+M12/H12-1</f>
        <v>0.52611161724512878</v>
      </c>
      <c r="N13" s="233">
        <f t="shared" si="3"/>
        <v>0.33794830252595931</v>
      </c>
      <c r="O13" s="233">
        <f t="shared" si="3"/>
        <v>0.44650585723353919</v>
      </c>
      <c r="P13" s="233">
        <f t="shared" si="3"/>
        <v>9.5914829194442497E-2</v>
      </c>
      <c r="Q13" s="233">
        <f t="shared" si="3"/>
        <v>0.2228488437889018</v>
      </c>
      <c r="R13" s="502">
        <f t="shared" si="3"/>
        <v>0.25930276595608115</v>
      </c>
      <c r="S13" s="233">
        <f t="shared" si="3"/>
        <v>0.2062142228093351</v>
      </c>
      <c r="T13" s="233">
        <f t="shared" si="3"/>
        <v>0.20130452995033221</v>
      </c>
      <c r="U13" s="233">
        <f t="shared" si="3"/>
        <v>0.30868296160958986</v>
      </c>
      <c r="V13" s="233">
        <f t="shared" si="3"/>
        <v>0.45729798096648322</v>
      </c>
      <c r="W13" s="502">
        <f t="shared" si="3"/>
        <v>0.31137764230335963</v>
      </c>
      <c r="X13" s="233">
        <f t="shared" si="3"/>
        <v>9.5621620388327333E-2</v>
      </c>
      <c r="Y13" s="233">
        <f t="shared" si="3"/>
        <v>6.173515981735167E-2</v>
      </c>
      <c r="Z13" s="233">
        <f t="shared" si="3"/>
        <v>3.9465395420107185E-2</v>
      </c>
      <c r="AA13" s="233">
        <f t="shared" si="3"/>
        <v>-2.4131836030524267E-3</v>
      </c>
      <c r="AB13" s="502">
        <f t="shared" si="3"/>
        <v>3.8865783029502055E-2</v>
      </c>
      <c r="AC13" s="233">
        <f t="shared" si="3"/>
        <v>0.27199083715118699</v>
      </c>
      <c r="AD13" s="233">
        <f t="shared" si="3"/>
        <v>0.35251708552929961</v>
      </c>
      <c r="AE13" s="233">
        <f t="shared" si="3"/>
        <v>0.24640885787758182</v>
      </c>
      <c r="AF13" s="233">
        <f t="shared" si="3"/>
        <v>0.29924776930177299</v>
      </c>
      <c r="AG13" s="502">
        <f t="shared" si="3"/>
        <v>0.2950248625916212</v>
      </c>
      <c r="AH13" s="233">
        <f t="shared" si="3"/>
        <v>0.27157381182364393</v>
      </c>
      <c r="AI13" s="233">
        <f t="shared" si="3"/>
        <v>0.25383886036723546</v>
      </c>
      <c r="AJ13" s="433">
        <f t="shared" si="3"/>
        <v>0.40175039751895603</v>
      </c>
      <c r="AK13" s="233">
        <f t="shared" si="3"/>
        <v>0.31405869767593786</v>
      </c>
      <c r="AL13" s="502">
        <f t="shared" si="3"/>
        <v>0.31079394429677576</v>
      </c>
      <c r="AM13" s="233">
        <f t="shared" si="3"/>
        <v>0.52672237314758785</v>
      </c>
      <c r="AN13" s="233">
        <f t="shared" si="3"/>
        <v>0.36164777705026885</v>
      </c>
      <c r="AO13" s="233">
        <f t="shared" si="3"/>
        <v>0.42060017437118558</v>
      </c>
      <c r="AP13" s="233">
        <f t="shared" si="3"/>
        <v>0.32248923358004444</v>
      </c>
      <c r="AQ13" s="502">
        <f t="shared" si="3"/>
        <v>0.3898790368796452</v>
      </c>
      <c r="AR13" s="233">
        <f t="shared" ref="AR13:BP13" si="4">+AR12/AM12-1</f>
        <v>0.3595577631789777</v>
      </c>
      <c r="AS13" s="233">
        <f t="shared" si="4"/>
        <v>0.26517578376328288</v>
      </c>
      <c r="AT13" s="233">
        <f t="shared" si="4"/>
        <v>0.12766111895680177</v>
      </c>
      <c r="AU13" s="233">
        <f t="shared" si="4"/>
        <v>2.766304373364159E-2</v>
      </c>
      <c r="AV13" s="502">
        <f t="shared" si="4"/>
        <v>0.1697207478230256</v>
      </c>
      <c r="AW13" s="233">
        <f t="shared" si="4"/>
        <v>6.1390069162298833E-2</v>
      </c>
      <c r="AX13" s="233">
        <f t="shared" si="4"/>
        <v>9.330485474313055E-2</v>
      </c>
      <c r="AY13" s="233">
        <f t="shared" si="4"/>
        <v>0.11595339392201498</v>
      </c>
      <c r="AZ13" s="233">
        <f t="shared" si="4"/>
        <v>0.10703344337854026</v>
      </c>
      <c r="BA13" s="502">
        <f t="shared" si="4"/>
        <v>9.5646821646992564E-2</v>
      </c>
      <c r="BB13" s="233">
        <f t="shared" si="4"/>
        <v>7.4822338585254E-2</v>
      </c>
      <c r="BC13" s="233">
        <f t="shared" si="4"/>
        <v>7.8046583136257563E-3</v>
      </c>
      <c r="BD13" s="233">
        <f t="shared" si="4"/>
        <v>5.8240208083149447E-2</v>
      </c>
      <c r="BE13" s="233">
        <f t="shared" si="4"/>
        <v>4.3253781401534797E-2</v>
      </c>
      <c r="BF13" s="502">
        <f t="shared" si="4"/>
        <v>4.4515361047728907E-2</v>
      </c>
      <c r="BG13" s="233">
        <f t="shared" si="4"/>
        <v>7.3207731832640066E-2</v>
      </c>
      <c r="BH13" s="233">
        <f t="shared" si="4"/>
        <v>4.3292798460873305E-2</v>
      </c>
      <c r="BI13" s="233">
        <f t="shared" si="4"/>
        <v>-4.1749463575141643E-2</v>
      </c>
      <c r="BJ13" s="233">
        <f t="shared" si="4"/>
        <v>-2.1177616419482348E-2</v>
      </c>
      <c r="BK13" s="502">
        <f t="shared" si="4"/>
        <v>1.0189273364189733E-2</v>
      </c>
      <c r="BL13" s="233">
        <f t="shared" si="4"/>
        <v>2.905666256288697E-2</v>
      </c>
      <c r="BM13" s="233">
        <f t="shared" si="4"/>
        <v>-1.4067061869592612E-2</v>
      </c>
      <c r="BN13" s="233">
        <f t="shared" si="4"/>
        <v>-3.9640334377941233E-2</v>
      </c>
      <c r="BO13" s="233">
        <f t="shared" si="4"/>
        <v>-1.1224813471720219E-2</v>
      </c>
      <c r="BP13" s="502">
        <f t="shared" si="4"/>
        <v>-9.0605206723394227E-3</v>
      </c>
      <c r="BQ13" s="233">
        <f t="shared" ref="BQ13" si="5">+BQ12/BL12-1</f>
        <v>1.7875177453714919E-2</v>
      </c>
      <c r="BR13" s="233">
        <f t="shared" ref="BR13" si="6">+BR12/BM12-1</f>
        <v>1.7480806210607991E-2</v>
      </c>
      <c r="BS13" s="233">
        <f t="shared" ref="BS13" si="7">+BS12/BN12-1</f>
        <v>1.6210473878925491E-2</v>
      </c>
      <c r="BT13" s="233">
        <f t="shared" ref="BT13" si="8">+BT12/BO12-1</f>
        <v>1.6813342413798615E-2</v>
      </c>
      <c r="BU13" s="502">
        <f t="shared" ref="BU13" si="9">+BU12/BP12-1</f>
        <v>1.7103321989744957E-2</v>
      </c>
    </row>
    <row r="14" spans="2:73" s="106" customFormat="1" ht="12.75">
      <c r="B14" s="224" t="s">
        <v>127</v>
      </c>
      <c r="C14" s="227"/>
      <c r="D14" s="228"/>
      <c r="E14" s="228"/>
      <c r="F14" s="228"/>
      <c r="G14" s="228"/>
      <c r="H14" s="526"/>
      <c r="I14" s="228"/>
      <c r="J14" s="228">
        <f>+J12/I12-1</f>
        <v>0.27616172030340969</v>
      </c>
      <c r="K14" s="228">
        <f>+K12/J12-1</f>
        <v>0.18163194644815039</v>
      </c>
      <c r="L14" s="228">
        <f>+L12/K12-1</f>
        <v>0.29460601176958945</v>
      </c>
      <c r="M14" s="526"/>
      <c r="N14" s="228">
        <f>+N12/L12-1</f>
        <v>-0.31464785544532048</v>
      </c>
      <c r="O14" s="228">
        <f>+O12/N12-1</f>
        <v>0.37970607661822986</v>
      </c>
      <c r="P14" s="228">
        <f>+P12/O12-1</f>
        <v>-0.10476133484930084</v>
      </c>
      <c r="Q14" s="228">
        <f>+Q12/P12-1</f>
        <v>0.44455337447917831</v>
      </c>
      <c r="R14" s="526"/>
      <c r="S14" s="228">
        <f>+S12/Q12-1</f>
        <v>-0.32397081733068034</v>
      </c>
      <c r="T14" s="228">
        <f>+T12/S12-1</f>
        <v>0.37409021424171218</v>
      </c>
      <c r="U14" s="228">
        <f>+U12/T12-1</f>
        <v>-2.4740556247405565E-2</v>
      </c>
      <c r="V14" s="228">
        <f>+V12/U12-1</f>
        <v>0.60859793989954891</v>
      </c>
      <c r="W14" s="526"/>
      <c r="X14" s="228">
        <f>+X12/V12-1</f>
        <v>-0.49174966395359909</v>
      </c>
      <c r="Y14" s="228">
        <f>+Y12/X12-1</f>
        <v>0.3315910037484382</v>
      </c>
      <c r="Z14" s="228">
        <f>+Z12/Y12-1</f>
        <v>-4.5196503135605193E-2</v>
      </c>
      <c r="AA14" s="228">
        <f>+AA12/Z12-1</f>
        <v>0.54378982195797088</v>
      </c>
      <c r="AB14" s="526"/>
      <c r="AC14" s="228">
        <f>+AC12/AA12-1</f>
        <v>-0.35194635714513067</v>
      </c>
      <c r="AD14" s="228">
        <f>+AD12/AC12-1</f>
        <v>0.41589037507571902</v>
      </c>
      <c r="AE14" s="228">
        <f>+AE12/AD12-1</f>
        <v>-0.12010314046528836</v>
      </c>
      <c r="AF14" s="228">
        <f>+AF12/AE12-1</f>
        <v>0.60923558090332075</v>
      </c>
      <c r="AG14" s="526"/>
      <c r="AH14" s="228">
        <f>+AH12/AF12-1</f>
        <v>-0.36574988975812117</v>
      </c>
      <c r="AI14" s="228">
        <f>+AI12/AH12-1</f>
        <v>0.39614260515778499</v>
      </c>
      <c r="AJ14" s="228">
        <f>+AJ12/AI12-1</f>
        <v>-1.6304397945350768E-2</v>
      </c>
      <c r="AK14" s="228">
        <f>+AK12/AJ12-1</f>
        <v>0.50856387516523083</v>
      </c>
      <c r="AL14" s="526"/>
      <c r="AM14" s="228">
        <f>+AM12/AK12-1</f>
        <v>-0.26310458186518515</v>
      </c>
      <c r="AN14" s="228">
        <f>+AN12/AM12-1</f>
        <v>0.24518675313504068</v>
      </c>
      <c r="AO14" s="228">
        <f>+AO12/AN12-1</f>
        <v>2.6284599703358502E-2</v>
      </c>
      <c r="AP14" s="228">
        <f>+AP12/AO12-1</f>
        <v>0.40437789538981361</v>
      </c>
      <c r="AQ14" s="526"/>
      <c r="AR14" s="228">
        <f>+AR12/AP12-1</f>
        <v>-0.24244987336180934</v>
      </c>
      <c r="AS14" s="228">
        <f>+AS12/AR12-1</f>
        <v>0.15874453369723662</v>
      </c>
      <c r="AT14" s="228">
        <f>+AT12/AS12-1</f>
        <v>-8.526447081747468E-2</v>
      </c>
      <c r="AU14" s="228">
        <f>+AU12/AT12-1</f>
        <v>0.27984129120605816</v>
      </c>
      <c r="AV14" s="526"/>
      <c r="AW14" s="228">
        <f>+AW12/AU12-1</f>
        <v>-0.21758772371032198</v>
      </c>
      <c r="AX14" s="228">
        <f>+AX12/AW12-1</f>
        <v>0.19358665669269248</v>
      </c>
      <c r="AY14" s="228">
        <f>+AY12/AX12-1</f>
        <v>-6.6315114303480804E-2</v>
      </c>
      <c r="AZ14" s="228">
        <f>+AZ12/AY12-1</f>
        <v>0.26961136486394355</v>
      </c>
      <c r="BA14" s="526"/>
      <c r="BB14" s="228">
        <f>+BB12/AZ12-1</f>
        <v>-0.24035339892443808</v>
      </c>
      <c r="BC14" s="228">
        <f>+BC12/BB12-1</f>
        <v>0.11916374412092545</v>
      </c>
      <c r="BD14" s="228">
        <f>+BD12/BC12-1</f>
        <v>-1.9588886027857799E-2</v>
      </c>
      <c r="BE14" s="228">
        <f>+BE12/BD12-1</f>
        <v>0.25163157399194258</v>
      </c>
      <c r="BF14" s="526"/>
      <c r="BG14" s="228">
        <f>+BG12/BE12-1</f>
        <v>-0.21854239086539606</v>
      </c>
      <c r="BH14" s="228">
        <f>+BH12/BG12-1</f>
        <v>8.7967818258274599E-2</v>
      </c>
      <c r="BI14" s="228">
        <f>+BI12/BH12-1</f>
        <v>-9.9505453055294235E-2</v>
      </c>
      <c r="BJ14" s="228">
        <f>+BJ12/BI12-1</f>
        <v>0.2785017634221767</v>
      </c>
      <c r="BK14" s="526"/>
      <c r="BL14" s="228">
        <f>+BL12/BJ12-1</f>
        <v>-0.17843709678071729</v>
      </c>
      <c r="BM14" s="228">
        <f>+BM12/BL12-1</f>
        <v>4.2375358588340184E-2</v>
      </c>
      <c r="BN14" s="228">
        <f>+BN12/BM12-1</f>
        <v>-0.12286261209794402</v>
      </c>
      <c r="BO14" s="228">
        <f>+BO12/BN12-1</f>
        <v>0.31633060493608145</v>
      </c>
      <c r="BP14" s="526"/>
      <c r="BQ14" s="228">
        <f>+BQ12/BO12-1</f>
        <v>-0.15425822037474934</v>
      </c>
      <c r="BR14" s="228">
        <f>+BR12/BQ12-1</f>
        <v>4.1971494858232594E-2</v>
      </c>
      <c r="BS14" s="228">
        <f>+BS12/BR12-1</f>
        <v>-0.12395772463115162</v>
      </c>
      <c r="BT14" s="228">
        <f>+BT12/BS12-1</f>
        <v>0.31711152023227718</v>
      </c>
      <c r="BU14" s="526"/>
    </row>
    <row r="15" spans="2:73" s="106" customFormat="1" ht="12.75">
      <c r="B15" s="224"/>
      <c r="C15" s="227"/>
      <c r="D15" s="228"/>
      <c r="E15" s="228"/>
      <c r="F15" s="228"/>
      <c r="G15" s="228"/>
      <c r="H15" s="526"/>
      <c r="I15" s="228"/>
      <c r="J15" s="228"/>
      <c r="K15" s="228"/>
      <c r="L15" s="228"/>
      <c r="M15" s="526"/>
      <c r="N15" s="228"/>
      <c r="O15" s="228"/>
      <c r="P15" s="228"/>
      <c r="Q15" s="228"/>
      <c r="R15" s="526"/>
      <c r="S15" s="228"/>
      <c r="T15" s="228"/>
      <c r="U15" s="228"/>
      <c r="V15" s="228"/>
      <c r="W15" s="526"/>
      <c r="X15" s="228"/>
      <c r="Y15" s="228"/>
      <c r="Z15" s="228"/>
      <c r="AA15" s="228"/>
      <c r="AB15" s="526"/>
      <c r="AC15" s="228"/>
      <c r="AD15" s="228"/>
      <c r="AE15" s="228"/>
      <c r="AF15" s="228"/>
      <c r="AG15" s="526"/>
      <c r="AH15" s="228"/>
      <c r="AI15" s="228"/>
      <c r="AJ15" s="228"/>
      <c r="AK15" s="228"/>
      <c r="AL15" s="526"/>
      <c r="AM15" s="228"/>
      <c r="AN15" s="228"/>
      <c r="AO15" s="228"/>
      <c r="AP15" s="228"/>
      <c r="AQ15" s="526"/>
      <c r="AR15" s="228"/>
      <c r="AS15" s="228"/>
      <c r="AT15" s="228"/>
      <c r="AU15" s="228"/>
      <c r="AV15" s="526"/>
      <c r="AW15" s="228"/>
      <c r="AX15" s="228"/>
      <c r="AY15" s="228"/>
      <c r="AZ15" s="228"/>
      <c r="BA15" s="526"/>
      <c r="BB15" s="228"/>
      <c r="BC15" s="228"/>
      <c r="BD15" s="228"/>
      <c r="BE15" s="228"/>
      <c r="BF15" s="526"/>
      <c r="BG15" s="228"/>
      <c r="BH15" s="228"/>
      <c r="BI15" s="228"/>
      <c r="BJ15" s="228"/>
      <c r="BK15" s="526"/>
      <c r="BL15" s="228"/>
      <c r="BM15" s="228"/>
      <c r="BN15" s="228"/>
      <c r="BO15" s="228"/>
      <c r="BP15" s="526"/>
      <c r="BQ15" s="228"/>
      <c r="BR15" s="228"/>
      <c r="BS15" s="228"/>
      <c r="BT15" s="228"/>
      <c r="BU15" s="526"/>
    </row>
    <row r="16" spans="2:73" s="106" customFormat="1" ht="12.75">
      <c r="B16" s="224" t="s">
        <v>172</v>
      </c>
      <c r="C16" s="227"/>
      <c r="D16" s="372">
        <f>+IS!D52</f>
        <v>16736</v>
      </c>
      <c r="E16" s="372">
        <f>+IS!E52</f>
        <v>17880</v>
      </c>
      <c r="F16" s="372">
        <f>+IS!F52</f>
        <v>20329</v>
      </c>
      <c r="G16" s="372">
        <f>+IS!G52</f>
        <v>21935</v>
      </c>
      <c r="H16" s="528">
        <f>+IS!H52</f>
        <v>76880</v>
      </c>
      <c r="I16" s="372">
        <f>+IS!I52</f>
        <v>23571</v>
      </c>
      <c r="J16" s="372">
        <f>+IS!J52</f>
        <v>25790</v>
      </c>
      <c r="K16" s="372">
        <f>+IS!K52</f>
        <v>28312</v>
      </c>
      <c r="L16" s="372">
        <f>+IS!L52</f>
        <v>32853</v>
      </c>
      <c r="M16" s="528">
        <f>+IS!M52</f>
        <v>110526</v>
      </c>
      <c r="N16" s="372">
        <f>+IS!N52</f>
        <v>34796</v>
      </c>
      <c r="O16" s="372">
        <f>+IS!O52</f>
        <v>37268</v>
      </c>
      <c r="P16" s="372">
        <f>+IS!P52</f>
        <v>40339</v>
      </c>
      <c r="Q16" s="372">
        <f>+IS!Q52</f>
        <v>45034</v>
      </c>
      <c r="R16" s="528">
        <f>+IS!R52</f>
        <v>157437</v>
      </c>
      <c r="S16" s="372">
        <f>+IS!S52</f>
        <v>45245</v>
      </c>
      <c r="T16" s="372">
        <f>+IS!T52</f>
        <v>47443</v>
      </c>
      <c r="U16" s="372">
        <f>+IS!U52</f>
        <v>50521</v>
      </c>
      <c r="V16" s="372">
        <f>+IS!V52</f>
        <v>57731</v>
      </c>
      <c r="W16" s="528">
        <f>+IS!W52</f>
        <v>200940</v>
      </c>
      <c r="X16" s="372">
        <f>+IS!X52</f>
        <v>54515</v>
      </c>
      <c r="Y16" s="372">
        <f>+IS!Y52</f>
        <v>58441</v>
      </c>
      <c r="Z16" s="372">
        <f>+IS!Z52</f>
        <v>62365</v>
      </c>
      <c r="AA16" s="372">
        <f>+IS!AA52</f>
        <v>68770</v>
      </c>
      <c r="AB16" s="528">
        <f>+IS!AB52</f>
        <v>244091</v>
      </c>
      <c r="AC16" s="372">
        <f>+IS!AC52</f>
        <v>73185</v>
      </c>
      <c r="AD16" s="372">
        <f>+IS!AD52</f>
        <v>78959</v>
      </c>
      <c r="AE16" s="372">
        <f>+IS!AE52</f>
        <v>83155</v>
      </c>
      <c r="AF16" s="372">
        <f>+IS!AF52</f>
        <v>91648</v>
      </c>
      <c r="AG16" s="528">
        <f>+IS!AG52</f>
        <v>326947</v>
      </c>
      <c r="AH16" s="372">
        <f>+IS!AH52</f>
        <v>94340</v>
      </c>
      <c r="AI16" s="372">
        <f>+IS!AI52</f>
        <v>98912</v>
      </c>
      <c r="AJ16" s="372">
        <f>+IS!AJ52</f>
        <v>105075</v>
      </c>
      <c r="AK16" s="372">
        <f>+IS!AK52</f>
        <v>113159</v>
      </c>
      <c r="AL16" s="528">
        <f>+IS!AL52</f>
        <v>411486</v>
      </c>
      <c r="AM16" s="372">
        <f>+IS!AM52</f>
        <v>117451</v>
      </c>
      <c r="AN16" s="372">
        <f>+IS!AN52</f>
        <v>126421</v>
      </c>
      <c r="AO16" s="372">
        <f>+IS!AO52</f>
        <v>139894</v>
      </c>
      <c r="AP16" s="372">
        <f>+IS!AP52</f>
        <v>151638</v>
      </c>
      <c r="AQ16" s="528">
        <f>+IS!AQ52</f>
        <v>535404</v>
      </c>
      <c r="AR16" s="372">
        <f>+IS!AR52</f>
        <v>157384</v>
      </c>
      <c r="AS16" s="372">
        <f>+IS!AS52</f>
        <v>167455</v>
      </c>
      <c r="AT16" s="372">
        <f>+IS!AT52</f>
        <v>175765</v>
      </c>
      <c r="AU16" s="372">
        <f>+IS!AU52</f>
        <v>184479</v>
      </c>
      <c r="AV16" s="528">
        <f>+IS!AV52</f>
        <v>685083</v>
      </c>
      <c r="AW16" s="372">
        <f>+IS!AW52</f>
        <v>183174</v>
      </c>
      <c r="AX16" s="372">
        <f>+IS!AX52</f>
        <v>190422</v>
      </c>
      <c r="AY16" s="372">
        <f>+IS!AY52</f>
        <v>198843</v>
      </c>
      <c r="AZ16" s="372">
        <f>+IS!AZ52</f>
        <v>205268</v>
      </c>
      <c r="BA16" s="528">
        <f>+IS!BA52</f>
        <v>777707</v>
      </c>
      <c r="BB16" s="372">
        <f>+IS!BB52</f>
        <v>205101</v>
      </c>
      <c r="BC16" s="372">
        <f>+IS!BC52</f>
        <v>207991</v>
      </c>
      <c r="BD16" s="372">
        <f>+IS!BD52</f>
        <v>214654</v>
      </c>
      <c r="BE16" s="372">
        <f>+IS!BE52</f>
        <v>216261</v>
      </c>
      <c r="BF16" s="528">
        <f>+IS!BF52</f>
        <v>844007</v>
      </c>
      <c r="BG16" s="372">
        <f>+IS!BG52</f>
        <v>210253</v>
      </c>
      <c r="BH16" s="372">
        <f>+IS!BH52</f>
        <v>214193</v>
      </c>
      <c r="BI16" s="372">
        <f>+IS!BI52</f>
        <v>217960</v>
      </c>
      <c r="BJ16" s="372">
        <f>+IS!BJ52</f>
        <v>217388</v>
      </c>
      <c r="BK16" s="528">
        <f>+IS!BK52</f>
        <v>859794</v>
      </c>
      <c r="BL16" s="372">
        <f>+IS!BL52</f>
        <v>207969.72500000001</v>
      </c>
      <c r="BM16" s="372">
        <f>+IS!BM52</f>
        <v>208933.78</v>
      </c>
      <c r="BN16" s="372">
        <f>+IS!BN52</f>
        <v>210249.1</v>
      </c>
      <c r="BO16" s="372">
        <f>+IS!BO52</f>
        <v>211721.68</v>
      </c>
      <c r="BP16" s="528">
        <f>+IS!BP52</f>
        <v>838874.28500000003</v>
      </c>
      <c r="BQ16" s="372">
        <f>+IS!BQ52</f>
        <v>211522.59150000001</v>
      </c>
      <c r="BR16" s="372">
        <f>+IS!BR52</f>
        <v>212512.60920000001</v>
      </c>
      <c r="BS16" s="372">
        <f>+IS!BS52</f>
        <v>213685.1844</v>
      </c>
      <c r="BT16" s="372">
        <f>+IS!BT52</f>
        <v>215145.1992</v>
      </c>
      <c r="BU16" s="528">
        <f>+IS!BU52</f>
        <v>852865.58429999999</v>
      </c>
    </row>
    <row r="17" spans="2:73" s="106" customFormat="1" ht="12.75">
      <c r="B17" s="224" t="s">
        <v>463</v>
      </c>
      <c r="C17" s="227"/>
      <c r="D17" s="228"/>
      <c r="E17" s="228"/>
      <c r="F17" s="228"/>
      <c r="G17" s="228"/>
      <c r="H17" s="526"/>
      <c r="I17" s="229">
        <f>+BS!I32</f>
        <v>60539</v>
      </c>
      <c r="J17" s="229">
        <f>+BS!J32</f>
        <v>66040</v>
      </c>
      <c r="K17" s="229">
        <f>+BS!K32</f>
        <v>74347</v>
      </c>
      <c r="L17" s="229">
        <f>+BS!L32</f>
        <v>87917</v>
      </c>
      <c r="M17" s="527">
        <f>+BS!M32</f>
        <v>87917</v>
      </c>
      <c r="N17" s="229">
        <f>+BS!N32</f>
        <v>90081</v>
      </c>
      <c r="O17" s="229">
        <f>+BS!O32</f>
        <v>99360</v>
      </c>
      <c r="P17" s="229">
        <f>+BS!P32</f>
        <v>104663</v>
      </c>
      <c r="Q17" s="229">
        <f>+BS!Q32</f>
        <v>116903</v>
      </c>
      <c r="R17" s="527">
        <f>+BS!R32</f>
        <v>116903</v>
      </c>
      <c r="S17" s="229">
        <f>+BS!S32</f>
        <v>116564</v>
      </c>
      <c r="T17" s="229">
        <f>+BS!T32</f>
        <v>126085</v>
      </c>
      <c r="U17" s="229">
        <f>+BS!U32</f>
        <v>133117</v>
      </c>
      <c r="V17" s="229">
        <f>+BS!V32</f>
        <v>142020</v>
      </c>
      <c r="W17" s="527">
        <f>+BS!W32</f>
        <v>142020</v>
      </c>
      <c r="X17" s="229">
        <f>+BS!X32</f>
        <v>140448</v>
      </c>
      <c r="Y17" s="229">
        <f>+BS!Y32</f>
        <v>153634</v>
      </c>
      <c r="Z17" s="229">
        <f>+BS!Z32</f>
        <v>159408</v>
      </c>
      <c r="AA17" s="229">
        <f>+BS!AA32</f>
        <v>189855</v>
      </c>
      <c r="AB17" s="527">
        <f>+BS!AB32</f>
        <v>189855</v>
      </c>
      <c r="AC17" s="229">
        <f>+BS!AC32</f>
        <v>184453</v>
      </c>
      <c r="AD17" s="229">
        <f>+BS!AD32</f>
        <v>199048</v>
      </c>
      <c r="AE17" s="229">
        <f>+BS!AE32</f>
        <v>200314</v>
      </c>
      <c r="AF17" s="229">
        <f>+BS!AF32</f>
        <v>231518</v>
      </c>
      <c r="AG17" s="527">
        <f>+BS!AG32</f>
        <v>231518</v>
      </c>
      <c r="AH17" s="229">
        <f>+BS!AH32</f>
        <v>219432</v>
      </c>
      <c r="AI17" s="229">
        <f>+BS!AI32</f>
        <v>227318</v>
      </c>
      <c r="AJ17" s="229">
        <f>+BS!AJ32</f>
        <v>231560</v>
      </c>
      <c r="AK17" s="229">
        <f>+BS!AK32</f>
        <v>278585</v>
      </c>
      <c r="AL17" s="527">
        <f>+BS!AL32</f>
        <v>278585</v>
      </c>
      <c r="AM17" s="229">
        <f>+BS!AM32</f>
        <v>282245</v>
      </c>
      <c r="AN17" s="229">
        <f>+BS!AN32</f>
        <v>302186</v>
      </c>
      <c r="AO17" s="229">
        <f>+BS!AO32</f>
        <v>316045</v>
      </c>
      <c r="AP17" s="229">
        <f>+BS!AP32</f>
        <v>372067</v>
      </c>
      <c r="AQ17" s="527">
        <f>+BS!AQ32</f>
        <v>372067</v>
      </c>
      <c r="AR17" s="229">
        <f>+BS!AR32</f>
        <v>378338</v>
      </c>
      <c r="AS17" s="229">
        <f>+BS!AS32</f>
        <v>395208</v>
      </c>
      <c r="AT17" s="229">
        <f>+BS!AT32</f>
        <v>391761</v>
      </c>
      <c r="AU17" s="229">
        <f>+BS!AU32</f>
        <v>426599</v>
      </c>
      <c r="AV17" s="527">
        <f>+BS!AV32</f>
        <v>426599</v>
      </c>
      <c r="AW17" s="229">
        <f>+BS!AW32</f>
        <v>413992</v>
      </c>
      <c r="AX17" s="229">
        <f>+BS!AX32</f>
        <v>429328</v>
      </c>
      <c r="AY17" s="229">
        <f>+BS!AY32</f>
        <v>421898</v>
      </c>
      <c r="AZ17" s="229">
        <f>+BS!AZ32</f>
        <v>455503</v>
      </c>
      <c r="BA17" s="527">
        <f>+BS!BA32</f>
        <v>455503</v>
      </c>
      <c r="BB17" s="229">
        <f>+BS!BB32</f>
        <v>437687</v>
      </c>
      <c r="BC17" s="229">
        <f>+BS!BC32</f>
        <v>437222</v>
      </c>
      <c r="BD17" s="229">
        <f>+BS!BD32</f>
        <v>423640</v>
      </c>
      <c r="BE17" s="229">
        <f>+BS!BE32</f>
        <v>461118</v>
      </c>
      <c r="BF17" s="527">
        <f>+BS!BF32</f>
        <v>461118</v>
      </c>
      <c r="BG17" s="229">
        <f>+BS!BG32</f>
        <v>447798</v>
      </c>
      <c r="BH17" s="229">
        <f>+BS!BH32</f>
        <v>446688</v>
      </c>
      <c r="BI17" s="229">
        <f>+BS!BI32</f>
        <v>422943</v>
      </c>
      <c r="BJ17" s="229">
        <f>+BS!BJ32</f>
        <v>451155</v>
      </c>
      <c r="BK17" s="527">
        <f>+BS!BK32</f>
        <v>451155</v>
      </c>
      <c r="BL17" s="229">
        <f>+BS!BL32</f>
        <v>447798</v>
      </c>
      <c r="BM17" s="229">
        <f>+BS!BM32</f>
        <v>451154.88</v>
      </c>
      <c r="BN17" s="229">
        <f>+BS!BN32</f>
        <v>427172.43</v>
      </c>
      <c r="BO17" s="229">
        <f>+BS!BO32</f>
        <v>460178.10000000003</v>
      </c>
      <c r="BP17" s="527">
        <f>+BS!BP32</f>
        <v>460178.10000000003</v>
      </c>
      <c r="BQ17" s="229">
        <f>+BS!BQ32</f>
        <v>456753.96</v>
      </c>
      <c r="BR17" s="229">
        <f>+BS!BR32</f>
        <v>460177.97759999998</v>
      </c>
      <c r="BS17" s="229">
        <f>+BS!BS32</f>
        <v>435715.8786</v>
      </c>
      <c r="BT17" s="229">
        <f>+BS!BT32</f>
        <v>469381.66200000007</v>
      </c>
      <c r="BU17" s="527">
        <f>+BS!BU32</f>
        <v>469381.66200000007</v>
      </c>
    </row>
    <row r="18" spans="2:73" s="106" customFormat="1" ht="12.75">
      <c r="B18" s="224" t="s">
        <v>464</v>
      </c>
      <c r="C18" s="227"/>
      <c r="D18" s="228"/>
      <c r="E18" s="228"/>
      <c r="F18" s="228"/>
      <c r="G18" s="228"/>
      <c r="H18" s="526"/>
      <c r="I18" s="229">
        <f>+BS!G32</f>
        <v>58164</v>
      </c>
      <c r="J18" s="229">
        <f>+BS!H32</f>
        <v>58164</v>
      </c>
      <c r="K18" s="229">
        <f>+BS!I32</f>
        <v>60539</v>
      </c>
      <c r="L18" s="229">
        <f>+BS!J32</f>
        <v>66040</v>
      </c>
      <c r="M18" s="527">
        <f>+BS!G32</f>
        <v>58164</v>
      </c>
      <c r="N18" s="229">
        <f>+BS!L32</f>
        <v>87917</v>
      </c>
      <c r="O18" s="229">
        <f>+BS!M32</f>
        <v>87917</v>
      </c>
      <c r="P18" s="229">
        <f>+BS!N32</f>
        <v>90081</v>
      </c>
      <c r="Q18" s="229">
        <f>+BS!O32</f>
        <v>99360</v>
      </c>
      <c r="R18" s="527">
        <f>+BS!L32</f>
        <v>87917</v>
      </c>
      <c r="S18" s="229">
        <f>+BS!Q32</f>
        <v>116903</v>
      </c>
      <c r="T18" s="229">
        <f>+BS!R32</f>
        <v>116903</v>
      </c>
      <c r="U18" s="229">
        <f>+BS!S32</f>
        <v>116564</v>
      </c>
      <c r="V18" s="229">
        <f>+BS!T32</f>
        <v>126085</v>
      </c>
      <c r="W18" s="527">
        <f>+BS!Q32</f>
        <v>116903</v>
      </c>
      <c r="X18" s="229">
        <f>+BS!V32</f>
        <v>142020</v>
      </c>
      <c r="Y18" s="229">
        <f>+BS!W32</f>
        <v>142020</v>
      </c>
      <c r="Z18" s="229">
        <f>+BS!X32</f>
        <v>140448</v>
      </c>
      <c r="AA18" s="229">
        <f>+BS!Y32</f>
        <v>153634</v>
      </c>
      <c r="AB18" s="527">
        <f>+BS!V32</f>
        <v>142020</v>
      </c>
      <c r="AC18" s="229">
        <f>+BS!AA32</f>
        <v>189855</v>
      </c>
      <c r="AD18" s="229">
        <f>+BS!AB32</f>
        <v>189855</v>
      </c>
      <c r="AE18" s="229">
        <f>+BS!AC32</f>
        <v>184453</v>
      </c>
      <c r="AF18" s="229">
        <f>+BS!AD32</f>
        <v>199048</v>
      </c>
      <c r="AG18" s="527">
        <f>+BS!AA32</f>
        <v>189855</v>
      </c>
      <c r="AH18" s="229">
        <f>+BS!AF32</f>
        <v>231518</v>
      </c>
      <c r="AI18" s="229">
        <f>+BS!AG32</f>
        <v>231518</v>
      </c>
      <c r="AJ18" s="229">
        <f>+BS!AH32</f>
        <v>219432</v>
      </c>
      <c r="AK18" s="229">
        <f>+BS!AI32</f>
        <v>227318</v>
      </c>
      <c r="AL18" s="527">
        <f>+BS!AF32</f>
        <v>231518</v>
      </c>
      <c r="AM18" s="229">
        <f>+BS!AK32</f>
        <v>278585</v>
      </c>
      <c r="AN18" s="229">
        <f>+BS!AL32</f>
        <v>278585</v>
      </c>
      <c r="AO18" s="229">
        <f>+BS!AM32</f>
        <v>282245</v>
      </c>
      <c r="AP18" s="229">
        <f>+BS!AN32</f>
        <v>302186</v>
      </c>
      <c r="AQ18" s="527">
        <f>+BS!AK32</f>
        <v>278585</v>
      </c>
      <c r="AR18" s="229">
        <f>+BS!AP32</f>
        <v>372067</v>
      </c>
      <c r="AS18" s="229">
        <f>+BS!AQ32</f>
        <v>372067</v>
      </c>
      <c r="AT18" s="229">
        <f>+BS!AR32</f>
        <v>378338</v>
      </c>
      <c r="AU18" s="229">
        <f>+BS!AS32</f>
        <v>395208</v>
      </c>
      <c r="AV18" s="527">
        <f>+BS!AP32</f>
        <v>372067</v>
      </c>
      <c r="AW18" s="229">
        <f>+BS!AU32</f>
        <v>426599</v>
      </c>
      <c r="AX18" s="229">
        <f>+BS!AV32</f>
        <v>426599</v>
      </c>
      <c r="AY18" s="229">
        <f>+BS!AW32</f>
        <v>413992</v>
      </c>
      <c r="AZ18" s="229">
        <f>+BS!AX32</f>
        <v>429328</v>
      </c>
      <c r="BA18" s="527">
        <f>+BS!AU32</f>
        <v>426599</v>
      </c>
      <c r="BB18" s="229">
        <f>+BS!AZ32</f>
        <v>455503</v>
      </c>
      <c r="BC18" s="229">
        <f>+BS!BA32</f>
        <v>455503</v>
      </c>
      <c r="BD18" s="229">
        <f>+BS!BB32</f>
        <v>437687</v>
      </c>
      <c r="BE18" s="229">
        <f>+BS!BC32</f>
        <v>437222</v>
      </c>
      <c r="BF18" s="527">
        <f>+BS!AZ32</f>
        <v>455503</v>
      </c>
      <c r="BG18" s="229">
        <f>+BS!BE32</f>
        <v>461118</v>
      </c>
      <c r="BH18" s="229">
        <f>+BS!BF32</f>
        <v>461118</v>
      </c>
      <c r="BI18" s="229">
        <f>+BS!BG32</f>
        <v>447798</v>
      </c>
      <c r="BJ18" s="229">
        <f>+BS!BH32</f>
        <v>446688</v>
      </c>
      <c r="BK18" s="527">
        <f>+BS!BE32</f>
        <v>461118</v>
      </c>
      <c r="BL18" s="229">
        <f>+BS!BJ32</f>
        <v>451155</v>
      </c>
      <c r="BM18" s="229">
        <f>+BS!BK32</f>
        <v>451155</v>
      </c>
      <c r="BN18" s="229">
        <f>+BS!BL32</f>
        <v>447798</v>
      </c>
      <c r="BO18" s="229">
        <f>+BS!BM32</f>
        <v>451154.88</v>
      </c>
      <c r="BP18" s="527">
        <f>+BS!BJ32</f>
        <v>451155</v>
      </c>
      <c r="BQ18" s="229">
        <f>+BS!BO32</f>
        <v>460178.10000000003</v>
      </c>
      <c r="BR18" s="229">
        <f>+BS!BP32</f>
        <v>460178.10000000003</v>
      </c>
      <c r="BS18" s="229">
        <f>+BS!BQ32</f>
        <v>456753.96</v>
      </c>
      <c r="BT18" s="229">
        <f>+BS!BR32</f>
        <v>460177.97759999998</v>
      </c>
      <c r="BU18" s="527">
        <f>+BS!BO32</f>
        <v>460178.10000000003</v>
      </c>
    </row>
    <row r="19" spans="2:73" s="106" customFormat="1" ht="5.45" customHeight="1">
      <c r="B19" s="224"/>
      <c r="C19" s="227"/>
      <c r="D19" s="228"/>
      <c r="E19" s="228"/>
      <c r="F19" s="228"/>
      <c r="G19" s="228"/>
      <c r="H19" s="526"/>
      <c r="I19" s="230" t="s">
        <v>1</v>
      </c>
      <c r="J19" s="230" t="s">
        <v>1</v>
      </c>
      <c r="K19" s="230" t="s">
        <v>1</v>
      </c>
      <c r="L19" s="230" t="s">
        <v>1</v>
      </c>
      <c r="M19" s="529" t="s">
        <v>1</v>
      </c>
      <c r="N19" s="230" t="s">
        <v>1</v>
      </c>
      <c r="O19" s="230" t="s">
        <v>1</v>
      </c>
      <c r="P19" s="230" t="s">
        <v>1</v>
      </c>
      <c r="Q19" s="230" t="s">
        <v>1</v>
      </c>
      <c r="R19" s="529" t="s">
        <v>1</v>
      </c>
      <c r="S19" s="230" t="s">
        <v>1</v>
      </c>
      <c r="T19" s="230" t="s">
        <v>1</v>
      </c>
      <c r="U19" s="230" t="s">
        <v>1</v>
      </c>
      <c r="V19" s="230" t="s">
        <v>1</v>
      </c>
      <c r="W19" s="529" t="s">
        <v>1</v>
      </c>
      <c r="X19" s="230" t="s">
        <v>1</v>
      </c>
      <c r="Y19" s="230" t="s">
        <v>1</v>
      </c>
      <c r="Z19" s="230" t="s">
        <v>1</v>
      </c>
      <c r="AA19" s="230" t="s">
        <v>1</v>
      </c>
      <c r="AB19" s="529" t="s">
        <v>1</v>
      </c>
      <c r="AC19" s="230" t="s">
        <v>1</v>
      </c>
      <c r="AD19" s="230" t="s">
        <v>1</v>
      </c>
      <c r="AE19" s="230" t="s">
        <v>1</v>
      </c>
      <c r="AF19" s="230" t="s">
        <v>1</v>
      </c>
      <c r="AG19" s="529" t="s">
        <v>1</v>
      </c>
      <c r="AH19" s="230" t="s">
        <v>1</v>
      </c>
      <c r="AI19" s="230" t="s">
        <v>1</v>
      </c>
      <c r="AJ19" s="230" t="s">
        <v>1</v>
      </c>
      <c r="AK19" s="230" t="s">
        <v>1</v>
      </c>
      <c r="AL19" s="529" t="s">
        <v>1</v>
      </c>
      <c r="AM19" s="230" t="s">
        <v>1</v>
      </c>
      <c r="AN19" s="230" t="s">
        <v>1</v>
      </c>
      <c r="AO19" s="230" t="s">
        <v>1</v>
      </c>
      <c r="AP19" s="230" t="s">
        <v>1</v>
      </c>
      <c r="AQ19" s="529" t="s">
        <v>1</v>
      </c>
      <c r="AR19" s="230" t="s">
        <v>1</v>
      </c>
      <c r="AS19" s="230" t="s">
        <v>1</v>
      </c>
      <c r="AT19" s="230" t="s">
        <v>1</v>
      </c>
      <c r="AU19" s="230" t="s">
        <v>1</v>
      </c>
      <c r="AV19" s="529" t="s">
        <v>1</v>
      </c>
      <c r="AW19" s="230" t="s">
        <v>1</v>
      </c>
      <c r="AX19" s="230" t="s">
        <v>1</v>
      </c>
      <c r="AY19" s="230" t="s">
        <v>1</v>
      </c>
      <c r="AZ19" s="230" t="s">
        <v>1</v>
      </c>
      <c r="BA19" s="529" t="s">
        <v>1</v>
      </c>
      <c r="BB19" s="230" t="s">
        <v>1</v>
      </c>
      <c r="BC19" s="230" t="s">
        <v>1</v>
      </c>
      <c r="BD19" s="230" t="s">
        <v>1</v>
      </c>
      <c r="BE19" s="230" t="s">
        <v>1</v>
      </c>
      <c r="BF19" s="529" t="s">
        <v>1</v>
      </c>
      <c r="BG19" s="230" t="s">
        <v>1</v>
      </c>
      <c r="BH19" s="230" t="s">
        <v>1</v>
      </c>
      <c r="BI19" s="230" t="s">
        <v>1</v>
      </c>
      <c r="BJ19" s="230" t="s">
        <v>1</v>
      </c>
      <c r="BK19" s="529" t="s">
        <v>1</v>
      </c>
      <c r="BL19" s="230" t="s">
        <v>1</v>
      </c>
      <c r="BM19" s="230" t="s">
        <v>1</v>
      </c>
      <c r="BN19" s="230" t="s">
        <v>1</v>
      </c>
      <c r="BO19" s="230" t="s">
        <v>1</v>
      </c>
      <c r="BP19" s="529" t="s">
        <v>1</v>
      </c>
      <c r="BQ19" s="230" t="s">
        <v>1</v>
      </c>
      <c r="BR19" s="230" t="s">
        <v>1</v>
      </c>
      <c r="BS19" s="230" t="s">
        <v>1</v>
      </c>
      <c r="BT19" s="230" t="s">
        <v>1</v>
      </c>
      <c r="BU19" s="529" t="s">
        <v>1</v>
      </c>
    </row>
    <row r="20" spans="2:73" s="106" customFormat="1" ht="13.15">
      <c r="B20" s="225" t="s">
        <v>465</v>
      </c>
      <c r="C20" s="227"/>
      <c r="D20" s="228"/>
      <c r="E20" s="228"/>
      <c r="F20" s="228"/>
      <c r="G20" s="228"/>
      <c r="H20" s="526"/>
      <c r="I20" s="373">
        <f>+I16+I17-I18</f>
        <v>25946</v>
      </c>
      <c r="J20" s="373">
        <f>+J16+J17-J18</f>
        <v>33666</v>
      </c>
      <c r="K20" s="373">
        <f>+K16+K17-K18</f>
        <v>42120</v>
      </c>
      <c r="L20" s="373">
        <f>+L16+L17-L18</f>
        <v>54730</v>
      </c>
      <c r="M20" s="530">
        <f>+M16+M17-M18</f>
        <v>140279</v>
      </c>
      <c r="N20" s="373">
        <f t="shared" ref="N20:BP20" si="10">+N16+N17-N18</f>
        <v>36960</v>
      </c>
      <c r="O20" s="373">
        <f t="shared" si="10"/>
        <v>48711</v>
      </c>
      <c r="P20" s="373">
        <f t="shared" si="10"/>
        <v>54921</v>
      </c>
      <c r="Q20" s="373">
        <f t="shared" si="10"/>
        <v>62577</v>
      </c>
      <c r="R20" s="530">
        <f t="shared" si="10"/>
        <v>186423</v>
      </c>
      <c r="S20" s="373">
        <f t="shared" si="10"/>
        <v>44906</v>
      </c>
      <c r="T20" s="373">
        <f t="shared" si="10"/>
        <v>56625</v>
      </c>
      <c r="U20" s="373">
        <f t="shared" si="10"/>
        <v>67074</v>
      </c>
      <c r="V20" s="373">
        <f t="shared" si="10"/>
        <v>73666</v>
      </c>
      <c r="W20" s="530">
        <f t="shared" si="10"/>
        <v>226057</v>
      </c>
      <c r="X20" s="373">
        <f t="shared" si="10"/>
        <v>52943</v>
      </c>
      <c r="Y20" s="373">
        <f t="shared" si="10"/>
        <v>70055</v>
      </c>
      <c r="Z20" s="373">
        <f t="shared" si="10"/>
        <v>81325</v>
      </c>
      <c r="AA20" s="373">
        <f t="shared" si="10"/>
        <v>104991</v>
      </c>
      <c r="AB20" s="530">
        <f t="shared" si="10"/>
        <v>291926</v>
      </c>
      <c r="AC20" s="373">
        <f t="shared" si="10"/>
        <v>67783</v>
      </c>
      <c r="AD20" s="373">
        <f t="shared" si="10"/>
        <v>88152</v>
      </c>
      <c r="AE20" s="373">
        <f t="shared" si="10"/>
        <v>99016</v>
      </c>
      <c r="AF20" s="373">
        <f t="shared" si="10"/>
        <v>124118</v>
      </c>
      <c r="AG20" s="530">
        <f t="shared" si="10"/>
        <v>368610</v>
      </c>
      <c r="AH20" s="373">
        <f t="shared" si="10"/>
        <v>82254</v>
      </c>
      <c r="AI20" s="373">
        <f t="shared" si="10"/>
        <v>94712</v>
      </c>
      <c r="AJ20" s="373">
        <f t="shared" si="10"/>
        <v>117203</v>
      </c>
      <c r="AK20" s="373">
        <f t="shared" si="10"/>
        <v>164426</v>
      </c>
      <c r="AL20" s="530">
        <f t="shared" si="10"/>
        <v>458553</v>
      </c>
      <c r="AM20" s="373">
        <f t="shared" si="10"/>
        <v>121111</v>
      </c>
      <c r="AN20" s="373">
        <f t="shared" si="10"/>
        <v>150022</v>
      </c>
      <c r="AO20" s="373">
        <f t="shared" si="10"/>
        <v>173694</v>
      </c>
      <c r="AP20" s="373">
        <f t="shared" si="10"/>
        <v>221519</v>
      </c>
      <c r="AQ20" s="530">
        <f t="shared" si="10"/>
        <v>628886</v>
      </c>
      <c r="AR20" s="373">
        <f t="shared" si="10"/>
        <v>163655</v>
      </c>
      <c r="AS20" s="373">
        <f t="shared" si="10"/>
        <v>190596</v>
      </c>
      <c r="AT20" s="373">
        <f t="shared" si="10"/>
        <v>189188</v>
      </c>
      <c r="AU20" s="373">
        <f t="shared" si="10"/>
        <v>215870</v>
      </c>
      <c r="AV20" s="530">
        <f t="shared" si="10"/>
        <v>739615</v>
      </c>
      <c r="AW20" s="373">
        <f t="shared" si="10"/>
        <v>170567</v>
      </c>
      <c r="AX20" s="373">
        <f t="shared" si="10"/>
        <v>193151</v>
      </c>
      <c r="AY20" s="373">
        <f t="shared" si="10"/>
        <v>206749</v>
      </c>
      <c r="AZ20" s="373">
        <f t="shared" si="10"/>
        <v>231443</v>
      </c>
      <c r="BA20" s="530">
        <f t="shared" si="10"/>
        <v>806611</v>
      </c>
      <c r="BB20" s="373">
        <f t="shared" si="10"/>
        <v>187285</v>
      </c>
      <c r="BC20" s="373">
        <f t="shared" si="10"/>
        <v>189710</v>
      </c>
      <c r="BD20" s="373">
        <f t="shared" si="10"/>
        <v>200607</v>
      </c>
      <c r="BE20" s="373">
        <f t="shared" si="10"/>
        <v>240157</v>
      </c>
      <c r="BF20" s="530">
        <f t="shared" si="10"/>
        <v>849622</v>
      </c>
      <c r="BG20" s="373">
        <f t="shared" si="10"/>
        <v>196933</v>
      </c>
      <c r="BH20" s="373">
        <f t="shared" si="10"/>
        <v>199763</v>
      </c>
      <c r="BI20" s="373">
        <f t="shared" si="10"/>
        <v>193105</v>
      </c>
      <c r="BJ20" s="373">
        <f t="shared" si="10"/>
        <v>221855</v>
      </c>
      <c r="BK20" s="530">
        <f t="shared" si="10"/>
        <v>849831</v>
      </c>
      <c r="BL20" s="373">
        <f t="shared" si="10"/>
        <v>204612.72499999998</v>
      </c>
      <c r="BM20" s="373">
        <f t="shared" si="10"/>
        <v>208933.66000000003</v>
      </c>
      <c r="BN20" s="373">
        <f t="shared" si="10"/>
        <v>189623.53000000003</v>
      </c>
      <c r="BO20" s="373">
        <f t="shared" si="10"/>
        <v>220744.90000000002</v>
      </c>
      <c r="BP20" s="530">
        <f t="shared" si="10"/>
        <v>847897.38500000001</v>
      </c>
      <c r="BQ20" s="373">
        <f t="shared" ref="BQ20:BU20" si="11">+BQ16+BQ17-BQ18</f>
        <v>208098.45150000002</v>
      </c>
      <c r="BR20" s="373">
        <f t="shared" si="11"/>
        <v>212512.4867999999</v>
      </c>
      <c r="BS20" s="373">
        <f t="shared" si="11"/>
        <v>192647.10299999994</v>
      </c>
      <c r="BT20" s="373">
        <f t="shared" si="11"/>
        <v>224348.88360000006</v>
      </c>
      <c r="BU20" s="530">
        <f t="shared" si="11"/>
        <v>862069.14629999991</v>
      </c>
    </row>
    <row r="21" spans="2:73" s="106" customFormat="1" ht="13.15">
      <c r="B21" s="746"/>
      <c r="C21" s="227"/>
      <c r="D21" s="228"/>
      <c r="E21" s="228"/>
      <c r="F21" s="228"/>
      <c r="G21" s="228"/>
      <c r="H21" s="526"/>
      <c r="I21" s="228"/>
      <c r="J21" s="228"/>
      <c r="K21" s="228"/>
      <c r="L21" s="228"/>
      <c r="M21" s="526"/>
      <c r="N21" s="228"/>
      <c r="O21" s="228"/>
      <c r="P21" s="228"/>
      <c r="Q21" s="228"/>
      <c r="R21" s="526"/>
      <c r="S21" s="228"/>
      <c r="T21" s="228"/>
      <c r="U21" s="228"/>
      <c r="V21" s="228"/>
      <c r="W21" s="526"/>
      <c r="X21" s="228"/>
      <c r="Y21" s="228"/>
      <c r="Z21" s="228"/>
      <c r="AA21" s="228"/>
      <c r="AB21" s="526"/>
      <c r="AC21" s="228"/>
      <c r="AD21" s="228"/>
      <c r="AE21" s="228"/>
      <c r="AF21" s="228"/>
      <c r="AG21" s="526"/>
      <c r="AH21" s="228"/>
      <c r="AI21" s="228"/>
      <c r="AJ21" s="228"/>
      <c r="AK21" s="228"/>
      <c r="AL21" s="526"/>
      <c r="AM21" s="228"/>
      <c r="AN21" s="228"/>
      <c r="AO21" s="228"/>
      <c r="AP21" s="228"/>
      <c r="AQ21" s="526"/>
      <c r="AR21" s="228"/>
      <c r="AS21" s="228"/>
      <c r="AT21" s="228"/>
      <c r="AU21" s="228"/>
      <c r="AV21" s="526"/>
      <c r="AW21" s="228"/>
      <c r="AX21" s="228"/>
      <c r="AY21" s="228"/>
      <c r="AZ21" s="228"/>
      <c r="BA21" s="526"/>
      <c r="BB21" s="228"/>
      <c r="BC21" s="228"/>
      <c r="BD21" s="228"/>
      <c r="BE21" s="228"/>
      <c r="BF21" s="526"/>
      <c r="BG21" s="228"/>
      <c r="BH21" s="228"/>
      <c r="BI21" s="228"/>
      <c r="BJ21" s="228"/>
      <c r="BK21" s="526"/>
      <c r="BL21" s="228"/>
      <c r="BM21" s="228"/>
      <c r="BN21" s="228"/>
      <c r="BO21" s="228"/>
      <c r="BP21" s="526"/>
      <c r="BQ21" s="228"/>
      <c r="BR21" s="228"/>
      <c r="BS21" s="228"/>
      <c r="BT21" s="228"/>
      <c r="BU21" s="526"/>
    </row>
    <row r="22" spans="2:73" s="106" customFormat="1" ht="12.75">
      <c r="B22" s="224" t="s">
        <v>126</v>
      </c>
      <c r="C22" s="227"/>
      <c r="D22" s="228"/>
      <c r="E22" s="228"/>
      <c r="F22" s="228"/>
      <c r="G22" s="228"/>
      <c r="H22" s="526"/>
      <c r="I22" s="233"/>
      <c r="J22" s="233"/>
      <c r="K22" s="233"/>
      <c r="L22" s="233"/>
      <c r="M22" s="502"/>
      <c r="N22" s="233">
        <f t="shared" ref="N22:AS22" si="12">+N20/I20-1</f>
        <v>0.42449703229784941</v>
      </c>
      <c r="O22" s="233">
        <f t="shared" si="12"/>
        <v>0.4468900374264837</v>
      </c>
      <c r="P22" s="233">
        <f t="shared" si="12"/>
        <v>0.30391737891737902</v>
      </c>
      <c r="Q22" s="233">
        <f t="shared" si="12"/>
        <v>0.14337657591814357</v>
      </c>
      <c r="R22" s="502">
        <f t="shared" si="12"/>
        <v>0.32894446068192673</v>
      </c>
      <c r="S22" s="233">
        <f t="shared" si="12"/>
        <v>0.21498917748917745</v>
      </c>
      <c r="T22" s="233">
        <f t="shared" si="12"/>
        <v>0.16246843628749152</v>
      </c>
      <c r="U22" s="233">
        <f t="shared" si="12"/>
        <v>0.22128147703064394</v>
      </c>
      <c r="V22" s="233">
        <f t="shared" si="12"/>
        <v>0.17720568259903802</v>
      </c>
      <c r="W22" s="502">
        <f t="shared" si="12"/>
        <v>0.21260252222097065</v>
      </c>
      <c r="X22" s="233">
        <f t="shared" si="12"/>
        <v>0.178973856500245</v>
      </c>
      <c r="Y22" s="233">
        <f t="shared" si="12"/>
        <v>0.23717439293598241</v>
      </c>
      <c r="Z22" s="233">
        <f t="shared" si="12"/>
        <v>0.21246682768285763</v>
      </c>
      <c r="AA22" s="233">
        <f t="shared" si="12"/>
        <v>0.42523009258002342</v>
      </c>
      <c r="AB22" s="502">
        <f t="shared" si="12"/>
        <v>0.29138226199586836</v>
      </c>
      <c r="AC22" s="233">
        <f t="shared" si="12"/>
        <v>0.28030145628317249</v>
      </c>
      <c r="AD22" s="233">
        <f t="shared" si="12"/>
        <v>0.25832560131325377</v>
      </c>
      <c r="AE22" s="233">
        <f t="shared" si="12"/>
        <v>0.21753458346142018</v>
      </c>
      <c r="AF22" s="233">
        <f t="shared" si="12"/>
        <v>0.18217751997790277</v>
      </c>
      <c r="AG22" s="502">
        <f t="shared" si="12"/>
        <v>0.26268300870768613</v>
      </c>
      <c r="AH22" s="233">
        <f t="shared" si="12"/>
        <v>0.21349010813920888</v>
      </c>
      <c r="AI22" s="233">
        <f t="shared" si="12"/>
        <v>7.4416916235592989E-2</v>
      </c>
      <c r="AJ22" s="233">
        <f t="shared" si="12"/>
        <v>0.1836773854730549</v>
      </c>
      <c r="AK22" s="233">
        <f t="shared" si="12"/>
        <v>0.32475547462898202</v>
      </c>
      <c r="AL22" s="502">
        <f t="shared" si="12"/>
        <v>0.24400585985187595</v>
      </c>
      <c r="AM22" s="233">
        <f t="shared" si="12"/>
        <v>0.47240255793031349</v>
      </c>
      <c r="AN22" s="233">
        <f t="shared" si="12"/>
        <v>0.58398091054987744</v>
      </c>
      <c r="AO22" s="233">
        <f t="shared" si="12"/>
        <v>0.48199278175473315</v>
      </c>
      <c r="AP22" s="233">
        <f t="shared" si="12"/>
        <v>0.34722610779317131</v>
      </c>
      <c r="AQ22" s="502">
        <f t="shared" si="12"/>
        <v>0.37145760686332885</v>
      </c>
      <c r="AR22" s="233">
        <f t="shared" si="12"/>
        <v>0.35128105622115258</v>
      </c>
      <c r="AS22" s="233">
        <f t="shared" si="12"/>
        <v>0.27045366679553662</v>
      </c>
      <c r="AT22" s="233">
        <f t="shared" ref="AT22:BP22" si="13">+AT20/AO20-1</f>
        <v>8.9202850990822924E-2</v>
      </c>
      <c r="AU22" s="233">
        <f t="shared" si="13"/>
        <v>-2.550119854278865E-2</v>
      </c>
      <c r="AV22" s="502">
        <f t="shared" si="13"/>
        <v>0.17607165686626836</v>
      </c>
      <c r="AW22" s="233">
        <f t="shared" si="13"/>
        <v>4.223518988115238E-2</v>
      </c>
      <c r="AX22" s="233">
        <f t="shared" si="13"/>
        <v>1.3405318054943383E-2</v>
      </c>
      <c r="AY22" s="233">
        <f t="shared" si="13"/>
        <v>9.2823012030361252E-2</v>
      </c>
      <c r="AZ22" s="233">
        <f t="shared" si="13"/>
        <v>7.2140640200120343E-2</v>
      </c>
      <c r="BA22" s="502">
        <f t="shared" si="13"/>
        <v>9.0582262393272162E-2</v>
      </c>
      <c r="BB22" s="233">
        <f t="shared" si="13"/>
        <v>9.8014270052237507E-2</v>
      </c>
      <c r="BC22" s="233">
        <f t="shared" si="13"/>
        <v>-1.7815077322923534E-2</v>
      </c>
      <c r="BD22" s="233">
        <f t="shared" si="13"/>
        <v>-2.9707519746165589E-2</v>
      </c>
      <c r="BE22" s="233">
        <f t="shared" si="13"/>
        <v>3.7650739058861182E-2</v>
      </c>
      <c r="BF22" s="502">
        <f t="shared" si="13"/>
        <v>5.3323101222274349E-2</v>
      </c>
      <c r="BG22" s="233">
        <f t="shared" si="13"/>
        <v>5.1515070614304381E-2</v>
      </c>
      <c r="BH22" s="233">
        <f t="shared" si="13"/>
        <v>5.2991407938432378E-2</v>
      </c>
      <c r="BI22" s="233">
        <f t="shared" si="13"/>
        <v>-3.7396501617590561E-2</v>
      </c>
      <c r="BJ22" s="233">
        <f t="shared" si="13"/>
        <v>-7.6208480285813063E-2</v>
      </c>
      <c r="BK22" s="502">
        <f t="shared" si="13"/>
        <v>2.4599174691797288E-4</v>
      </c>
      <c r="BL22" s="233">
        <f t="shared" si="13"/>
        <v>3.8996638450640386E-2</v>
      </c>
      <c r="BM22" s="233">
        <f t="shared" si="13"/>
        <v>4.5907700625241077E-2</v>
      </c>
      <c r="BN22" s="233">
        <f t="shared" si="13"/>
        <v>-1.8028896196369715E-2</v>
      </c>
      <c r="BO22" s="233">
        <f t="shared" si="13"/>
        <v>-5.0037186450608839E-3</v>
      </c>
      <c r="BP22" s="502">
        <f t="shared" si="13"/>
        <v>-2.2752935583663092E-3</v>
      </c>
      <c r="BQ22" s="233">
        <f t="shared" ref="BQ22" si="14">+BQ20/BL20-1</f>
        <v>1.703572688355548E-2</v>
      </c>
      <c r="BR22" s="233">
        <f t="shared" ref="BR22" si="15">+BR20/BM20-1</f>
        <v>1.7129010232242337E-2</v>
      </c>
      <c r="BS22" s="233">
        <f t="shared" ref="BS22" si="16">+BS20/BN20-1</f>
        <v>1.5945136133685089E-2</v>
      </c>
      <c r="BT22" s="233">
        <f t="shared" ref="BT22" si="17">+BT20/BO20-1</f>
        <v>1.6326463714450679E-2</v>
      </c>
      <c r="BU22" s="502">
        <f t="shared" ref="BU22" si="18">+BU20/BP20-1</f>
        <v>1.6714005197692616E-2</v>
      </c>
    </row>
    <row r="23" spans="2:73" s="106" customFormat="1" ht="12.75">
      <c r="B23" s="224" t="s">
        <v>127</v>
      </c>
      <c r="C23" s="227"/>
      <c r="D23" s="228"/>
      <c r="E23" s="228"/>
      <c r="F23" s="228"/>
      <c r="G23" s="228"/>
      <c r="H23" s="526"/>
      <c r="I23" s="228"/>
      <c r="J23" s="228">
        <f>+J20/I20-1</f>
        <v>0.2975410467894859</v>
      </c>
      <c r="K23" s="228">
        <f>+K20/J20-1</f>
        <v>0.25111388344323649</v>
      </c>
      <c r="L23" s="228">
        <f>+L20/K20-1</f>
        <v>0.29938271604938271</v>
      </c>
      <c r="M23" s="526"/>
      <c r="N23" s="228">
        <f>+N20/L20-1</f>
        <v>-0.32468481637127722</v>
      </c>
      <c r="O23" s="228">
        <f>+O20/N20-1</f>
        <v>0.31793831168831166</v>
      </c>
      <c r="P23" s="228">
        <f>+P20/O20-1</f>
        <v>0.12748660466835005</v>
      </c>
      <c r="Q23" s="228">
        <f>+Q20/P20-1</f>
        <v>0.13940022942044017</v>
      </c>
      <c r="R23" s="526"/>
      <c r="S23" s="228">
        <f>+S20/Q20-1</f>
        <v>-0.28238809786343222</v>
      </c>
      <c r="T23" s="228">
        <f>+T20/S20-1</f>
        <v>0.26096735402841498</v>
      </c>
      <c r="U23" s="228">
        <f>+U20/T20-1</f>
        <v>0.18452980132450336</v>
      </c>
      <c r="V23" s="228">
        <f>+V20/U20-1</f>
        <v>9.8279512180576623E-2</v>
      </c>
      <c r="W23" s="526"/>
      <c r="X23" s="228">
        <f>+X20/V20-1</f>
        <v>-0.2813102381017023</v>
      </c>
      <c r="Y23" s="228">
        <f>+Y20/X20-1</f>
        <v>0.32321553368717293</v>
      </c>
      <c r="Z23" s="228">
        <f>+Z20/Y20-1</f>
        <v>0.16087359931482403</v>
      </c>
      <c r="AA23" s="228">
        <f>+AA20/Z20-1</f>
        <v>0.29100522594528133</v>
      </c>
      <c r="AB23" s="526"/>
      <c r="AC23" s="228">
        <f>+AC20/AA20-1</f>
        <v>-0.35439228124315414</v>
      </c>
      <c r="AD23" s="228">
        <f>+AD20/AC20-1</f>
        <v>0.30050307599250559</v>
      </c>
      <c r="AE23" s="228">
        <f>+AE20/AD20-1</f>
        <v>0.1232416734730919</v>
      </c>
      <c r="AF23" s="228">
        <f>+AF20/AE20-1</f>
        <v>0.25351458350165634</v>
      </c>
      <c r="AG23" s="526"/>
      <c r="AH23" s="228">
        <f>+AH20/AF20-1</f>
        <v>-0.33729193187128381</v>
      </c>
      <c r="AI23" s="228">
        <f>+AI20/AH20-1</f>
        <v>0.15145767986967207</v>
      </c>
      <c r="AJ23" s="228">
        <f>+AJ20/AI20-1</f>
        <v>0.23746726919503347</v>
      </c>
      <c r="AK23" s="228">
        <f>+AK20/AJ20-1</f>
        <v>0.40291630760304775</v>
      </c>
      <c r="AL23" s="526"/>
      <c r="AM23" s="228">
        <f>+AM20/AK20-1</f>
        <v>-0.26343157408195783</v>
      </c>
      <c r="AN23" s="228">
        <f>+AN20/AM20-1</f>
        <v>0.23871489790357603</v>
      </c>
      <c r="AO23" s="228">
        <f>+AO20/AN20-1</f>
        <v>0.15779019077202006</v>
      </c>
      <c r="AP23" s="228">
        <f>+AP20/AO20-1</f>
        <v>0.27534054141190833</v>
      </c>
      <c r="AQ23" s="526"/>
      <c r="AR23" s="228">
        <f>+AR20/AP20-1</f>
        <v>-0.26121461364487919</v>
      </c>
      <c r="AS23" s="228">
        <f>+AS20/AR20-1</f>
        <v>0.1646206959762917</v>
      </c>
      <c r="AT23" s="228">
        <f>+AT20/AS20-1</f>
        <v>-7.387353354739834E-3</v>
      </c>
      <c r="AU23" s="228">
        <f>+AU20/AT20-1</f>
        <v>0.1410343150728377</v>
      </c>
      <c r="AV23" s="526"/>
      <c r="AW23" s="228">
        <f>+AW20/AU20-1</f>
        <v>-0.20986241719553433</v>
      </c>
      <c r="AX23" s="228">
        <f>+AX20/AW20-1</f>
        <v>0.13240544771262908</v>
      </c>
      <c r="AY23" s="228">
        <f>+AY20/AX20-1</f>
        <v>7.0400878069489581E-2</v>
      </c>
      <c r="AZ23" s="228">
        <f>+AZ20/AY20-1</f>
        <v>0.11943951361312499</v>
      </c>
      <c r="BA23" s="526"/>
      <c r="BB23" s="228">
        <f>+BB20/AZ20-1</f>
        <v>-0.19079427764071499</v>
      </c>
      <c r="BC23" s="228">
        <f>+BC20/BB20-1</f>
        <v>1.2948180580398816E-2</v>
      </c>
      <c r="BD23" s="228">
        <f>+BD20/BC20-1</f>
        <v>5.7440303621316691E-2</v>
      </c>
      <c r="BE23" s="228">
        <f>+BE20/BD20-1</f>
        <v>0.19715164475815894</v>
      </c>
      <c r="BF23" s="526"/>
      <c r="BG23" s="228">
        <f>+BG20/BE20-1</f>
        <v>-0.17998226160386743</v>
      </c>
      <c r="BH23" s="228">
        <f>+BH20/BG20-1</f>
        <v>1.4370369618093459E-2</v>
      </c>
      <c r="BI23" s="228">
        <f>+BI20/BH20-1</f>
        <v>-3.3329495452110725E-2</v>
      </c>
      <c r="BJ23" s="228">
        <f>+BJ20/BI20-1</f>
        <v>0.1488827321923305</v>
      </c>
      <c r="BK23" s="526"/>
      <c r="BL23" s="228">
        <f>+BL20/BJ20-1</f>
        <v>-7.7718667598206115E-2</v>
      </c>
      <c r="BM23" s="228">
        <f>+BM20/BL20-1</f>
        <v>2.1117625993202882E-2</v>
      </c>
      <c r="BN23" s="228">
        <f>+BN20/BM20-1</f>
        <v>-9.2422302849622273E-2</v>
      </c>
      <c r="BO23" s="228">
        <f>+BO20/BN20-1</f>
        <v>0.16412187875629147</v>
      </c>
      <c r="BP23" s="526"/>
      <c r="BQ23" s="228">
        <f>+BQ20/BO20-1</f>
        <v>-5.7289878497759128E-2</v>
      </c>
      <c r="BR23" s="228">
        <f>+BR20/BQ20-1</f>
        <v>2.1211283737014641E-2</v>
      </c>
      <c r="BS23" s="228">
        <f>+BS20/BR20-1</f>
        <v>-9.3478666120432208E-2</v>
      </c>
      <c r="BT23" s="228">
        <f>+BT20/BS20-1</f>
        <v>0.16455882339429784</v>
      </c>
      <c r="BU23" s="526"/>
    </row>
    <row r="24" spans="2:73" s="106" customFormat="1" ht="12.75" outlineLevel="1">
      <c r="B24" s="224"/>
      <c r="C24" s="227"/>
      <c r="D24" s="228"/>
      <c r="E24" s="228"/>
      <c r="F24" s="228"/>
      <c r="G24" s="228"/>
      <c r="H24" s="526"/>
      <c r="I24" s="228"/>
      <c r="J24" s="228"/>
      <c r="K24" s="228"/>
      <c r="L24" s="228"/>
      <c r="M24" s="526"/>
      <c r="N24" s="228"/>
      <c r="O24" s="228"/>
      <c r="P24" s="228"/>
      <c r="Q24" s="228"/>
      <c r="R24" s="526"/>
      <c r="S24" s="228"/>
      <c r="T24" s="228"/>
      <c r="U24" s="228"/>
      <c r="V24" s="228"/>
      <c r="W24" s="526"/>
      <c r="X24" s="228"/>
      <c r="Y24" s="228"/>
      <c r="Z24" s="228"/>
      <c r="AA24" s="228"/>
      <c r="AB24" s="526"/>
      <c r="AC24" s="228"/>
      <c r="AD24" s="228"/>
      <c r="AE24" s="228"/>
      <c r="AF24" s="228"/>
      <c r="AG24" s="526"/>
      <c r="AH24" s="228"/>
      <c r="AI24" s="228"/>
      <c r="AJ24" s="228"/>
      <c r="AK24" s="228"/>
      <c r="AL24" s="526"/>
      <c r="AM24" s="228"/>
      <c r="AN24" s="228"/>
      <c r="AO24" s="228"/>
      <c r="AP24" s="228"/>
      <c r="AQ24" s="526"/>
      <c r="AR24" s="228"/>
      <c r="AS24" s="228"/>
      <c r="AT24" s="228"/>
      <c r="AU24" s="228"/>
      <c r="AV24" s="526"/>
      <c r="AW24" s="228"/>
      <c r="AX24" s="228"/>
      <c r="AY24" s="228"/>
      <c r="AZ24" s="228"/>
      <c r="BA24" s="526"/>
      <c r="BB24" s="228"/>
      <c r="BC24" s="228"/>
      <c r="BD24" s="228"/>
      <c r="BE24" s="228"/>
      <c r="BF24" s="526"/>
      <c r="BG24" s="228"/>
      <c r="BH24" s="228"/>
      <c r="BI24" s="228"/>
      <c r="BJ24" s="228"/>
      <c r="BK24" s="526"/>
      <c r="BL24" s="228"/>
      <c r="BM24" s="228"/>
      <c r="BN24" s="228"/>
      <c r="BO24" s="228"/>
      <c r="BP24" s="526"/>
      <c r="BQ24" s="228"/>
      <c r="BR24" s="228"/>
      <c r="BS24" s="228"/>
      <c r="BT24" s="228"/>
      <c r="BU24" s="526"/>
    </row>
    <row r="25" spans="2:73" s="106" customFormat="1" ht="12.75" outlineLevel="1">
      <c r="B25" s="224"/>
      <c r="C25" s="227"/>
      <c r="D25" s="228"/>
      <c r="E25" s="228"/>
      <c r="F25" s="228"/>
      <c r="G25" s="228"/>
      <c r="H25" s="526"/>
      <c r="I25" s="228"/>
      <c r="J25" s="228"/>
      <c r="K25" s="228"/>
      <c r="L25" s="228"/>
      <c r="M25" s="526"/>
      <c r="N25" s="228"/>
      <c r="O25" s="228"/>
      <c r="P25" s="228"/>
      <c r="Q25" s="228"/>
      <c r="R25" s="526"/>
      <c r="S25" s="228"/>
      <c r="T25" s="228"/>
      <c r="U25" s="228"/>
      <c r="V25" s="228"/>
      <c r="W25" s="526"/>
      <c r="X25" s="228"/>
      <c r="Y25" s="228"/>
      <c r="Z25" s="228"/>
      <c r="AA25" s="228"/>
      <c r="AB25" s="526"/>
      <c r="AC25" s="228"/>
      <c r="AD25" s="228"/>
      <c r="AE25" s="228"/>
      <c r="AF25" s="228"/>
      <c r="AG25" s="526"/>
      <c r="AH25" s="228"/>
      <c r="AI25" s="228"/>
      <c r="AJ25" s="228"/>
      <c r="AK25" s="228"/>
      <c r="AL25" s="526"/>
      <c r="AM25" s="228"/>
      <c r="AN25" s="228"/>
      <c r="AO25" s="228"/>
      <c r="AP25" s="228"/>
      <c r="AQ25" s="526"/>
      <c r="AR25" s="228"/>
      <c r="AS25" s="228"/>
      <c r="AT25" s="228"/>
      <c r="AU25" s="228"/>
      <c r="AV25" s="526"/>
      <c r="AW25" s="228"/>
      <c r="AX25" s="228"/>
      <c r="AY25" s="228"/>
      <c r="AZ25" s="228"/>
      <c r="BA25" s="526"/>
      <c r="BB25" s="228"/>
      <c r="BC25" s="228"/>
      <c r="BD25" s="228"/>
      <c r="BE25" s="228"/>
      <c r="BF25" s="526"/>
      <c r="BG25" s="228"/>
      <c r="BH25" s="228"/>
      <c r="BI25" s="228"/>
      <c r="BJ25" s="228"/>
      <c r="BK25" s="526"/>
      <c r="BL25" s="228"/>
      <c r="BM25" s="228"/>
      <c r="BN25" s="228"/>
      <c r="BO25" s="228"/>
      <c r="BP25" s="526"/>
      <c r="BQ25" s="228"/>
      <c r="BR25" s="228"/>
      <c r="BS25" s="228"/>
      <c r="BT25" s="228"/>
      <c r="BU25" s="526"/>
    </row>
    <row r="26" spans="2:73" s="106" customFormat="1" ht="13.15" outlineLevel="1">
      <c r="B26" s="226" t="s">
        <v>182</v>
      </c>
      <c r="C26" s="227"/>
      <c r="D26" s="228"/>
      <c r="E26" s="228"/>
      <c r="F26" s="228"/>
      <c r="G26" s="228"/>
      <c r="H26" s="526"/>
      <c r="I26" s="228"/>
      <c r="J26" s="228"/>
      <c r="K26" s="228"/>
      <c r="L26" s="228"/>
      <c r="M26" s="526"/>
      <c r="N26" s="228"/>
      <c r="O26" s="228"/>
      <c r="P26" s="228"/>
      <c r="Q26" s="228"/>
      <c r="R26" s="526"/>
      <c r="S26" s="228"/>
      <c r="T26" s="228"/>
      <c r="U26" s="228"/>
      <c r="V26" s="228"/>
      <c r="W26" s="526"/>
      <c r="X26" s="228"/>
      <c r="Y26" s="228"/>
      <c r="Z26" s="228"/>
      <c r="AA26" s="228"/>
      <c r="AB26" s="526"/>
      <c r="AC26" s="228"/>
      <c r="AD26" s="228"/>
      <c r="AE26" s="228"/>
      <c r="AF26" s="228"/>
      <c r="AG26" s="526"/>
      <c r="AH26" s="228"/>
      <c r="AI26" s="228"/>
      <c r="AJ26" s="228"/>
      <c r="AK26" s="228"/>
      <c r="AL26" s="526"/>
      <c r="AM26" s="228"/>
      <c r="AN26" s="228"/>
      <c r="AO26" s="228"/>
      <c r="AP26" s="228"/>
      <c r="AQ26" s="526"/>
      <c r="AR26" s="228"/>
      <c r="AS26" s="228"/>
      <c r="AT26" s="228"/>
      <c r="AU26" s="228"/>
      <c r="AV26" s="526"/>
      <c r="AW26" s="228"/>
      <c r="AX26" s="228"/>
      <c r="AY26" s="228"/>
      <c r="AZ26" s="228"/>
      <c r="BA26" s="526"/>
      <c r="BB26" s="228"/>
      <c r="BC26" s="228"/>
      <c r="BD26" s="228"/>
      <c r="BE26" s="228"/>
      <c r="BF26" s="526"/>
      <c r="BG26" s="228"/>
      <c r="BH26" s="228"/>
      <c r="BI26" s="228"/>
      <c r="BJ26" s="228"/>
      <c r="BK26" s="526"/>
      <c r="BL26" s="228"/>
      <c r="BM26" s="228"/>
      <c r="BN26" s="228"/>
      <c r="BO26" s="228"/>
      <c r="BP26" s="526"/>
      <c r="BQ26" s="228"/>
      <c r="BR26" s="228"/>
      <c r="BS26" s="228"/>
      <c r="BT26" s="228"/>
      <c r="BU26" s="526"/>
    </row>
    <row r="27" spans="2:73" s="106" customFormat="1" ht="12.75" outlineLevel="1">
      <c r="B27" s="227" t="s">
        <v>180</v>
      </c>
      <c r="C27" s="227"/>
      <c r="D27" s="371" t="s">
        <v>340</v>
      </c>
      <c r="E27" s="371" t="s">
        <v>340</v>
      </c>
      <c r="F27" s="371" t="s">
        <v>340</v>
      </c>
      <c r="G27" s="371" t="s">
        <v>340</v>
      </c>
      <c r="H27" s="480">
        <f t="shared" ref="H27:AH27" si="19">+H28/H12</f>
        <v>0.64603011334136606</v>
      </c>
      <c r="I27" s="237">
        <f t="shared" si="19"/>
        <v>0.86113263126887107</v>
      </c>
      <c r="J27" s="237">
        <f t="shared" si="19"/>
        <v>0.85117433204454962</v>
      </c>
      <c r="K27" s="237">
        <f t="shared" si="19"/>
        <v>0.88247405562474057</v>
      </c>
      <c r="L27" s="237">
        <f t="shared" si="19"/>
        <v>0.88226507978422419</v>
      </c>
      <c r="M27" s="480">
        <f t="shared" si="19"/>
        <v>0.87229563442392499</v>
      </c>
      <c r="N27" s="237">
        <f t="shared" si="19"/>
        <v>0.85635733157199467</v>
      </c>
      <c r="O27" s="237">
        <f t="shared" si="19"/>
        <v>0.88105878363552936</v>
      </c>
      <c r="P27" s="237">
        <f t="shared" si="19"/>
        <v>0.86518014304494106</v>
      </c>
      <c r="Q27" s="237">
        <f t="shared" si="19"/>
        <v>0.89580769052797193</v>
      </c>
      <c r="R27" s="480">
        <f t="shared" si="19"/>
        <v>0.87761863922969885</v>
      </c>
      <c r="S27" s="237">
        <f t="shared" si="19"/>
        <v>0.85547696730475253</v>
      </c>
      <c r="T27" s="237">
        <f t="shared" si="19"/>
        <v>0.87395799086757986</v>
      </c>
      <c r="U27" s="237">
        <f t="shared" si="19"/>
        <v>0.87957878607303985</v>
      </c>
      <c r="V27" s="237">
        <f t="shared" si="19"/>
        <v>0.90223473502608997</v>
      </c>
      <c r="W27" s="480">
        <f t="shared" si="19"/>
        <v>0.88284292766354411</v>
      </c>
      <c r="X27" s="237">
        <f t="shared" si="19"/>
        <v>0.82971157850895461</v>
      </c>
      <c r="Y27" s="237">
        <f t="shared" si="19"/>
        <v>0.84462771530894698</v>
      </c>
      <c r="Z27" s="339">
        <f t="shared" si="19"/>
        <v>0.84677657117586358</v>
      </c>
      <c r="AA27" s="339">
        <f t="shared" si="19"/>
        <v>0.86866624935015324</v>
      </c>
      <c r="AB27" s="484">
        <f t="shared" si="19"/>
        <v>0.85159226285128453</v>
      </c>
      <c r="AC27" s="339">
        <f t="shared" si="19"/>
        <v>0.85944892847202892</v>
      </c>
      <c r="AD27" s="339">
        <f t="shared" si="19"/>
        <v>0.85709495397992697</v>
      </c>
      <c r="AE27" s="339">
        <f t="shared" si="19"/>
        <v>0.86260956410896616</v>
      </c>
      <c r="AF27" s="339">
        <f t="shared" si="19"/>
        <v>0.90270754054451319</v>
      </c>
      <c r="AG27" s="484">
        <f t="shared" si="19"/>
        <v>0.87494390814106815</v>
      </c>
      <c r="AH27" s="339">
        <f t="shared" si="19"/>
        <v>0.8591458625706524</v>
      </c>
      <c r="AI27" s="339">
        <f t="shared" ref="AI27:BP27" si="20">+AI28/AI12</f>
        <v>0.86985991866244916</v>
      </c>
      <c r="AJ27" s="339">
        <f t="shared" si="20"/>
        <v>0.86242488445565257</v>
      </c>
      <c r="AK27" s="339">
        <f t="shared" si="20"/>
        <v>0.85856683880509832</v>
      </c>
      <c r="AL27" s="484">
        <f t="shared" si="20"/>
        <v>0.86408522908499596</v>
      </c>
      <c r="AM27" s="339">
        <f t="shared" si="20"/>
        <v>0.81180740265983031</v>
      </c>
      <c r="AN27" s="339">
        <f t="shared" si="20"/>
        <v>0.8373213547980739</v>
      </c>
      <c r="AO27" s="339">
        <f t="shared" si="20"/>
        <v>0.82459474441379499</v>
      </c>
      <c r="AP27" s="339">
        <f t="shared" si="20"/>
        <v>0.8646159268082948</v>
      </c>
      <c r="AQ27" s="484">
        <f t="shared" si="20"/>
        <v>0.83867670403455885</v>
      </c>
      <c r="AR27" s="339">
        <f t="shared" si="20"/>
        <v>0.81451502651738372</v>
      </c>
      <c r="AS27" s="339">
        <f t="shared" si="20"/>
        <v>0.82968277420011038</v>
      </c>
      <c r="AT27" s="339">
        <f t="shared" si="20"/>
        <v>0.80456726689645908</v>
      </c>
      <c r="AU27" s="339">
        <f t="shared" si="20"/>
        <v>0.83972871265397953</v>
      </c>
      <c r="AV27" s="484">
        <f t="shared" si="20"/>
        <v>0.82352772983694389</v>
      </c>
      <c r="AW27" s="339">
        <f t="shared" si="20"/>
        <v>0.80731146851185187</v>
      </c>
      <c r="AX27" s="339">
        <f t="shared" si="20"/>
        <v>0.84149914070418186</v>
      </c>
      <c r="AY27" s="339">
        <f t="shared" si="20"/>
        <v>0.83316178359981752</v>
      </c>
      <c r="AZ27" s="339">
        <f t="shared" si="20"/>
        <v>0.84738816881861656</v>
      </c>
      <c r="BA27" s="484">
        <f t="shared" si="20"/>
        <v>0.83399766193815983</v>
      </c>
      <c r="BB27" s="339">
        <f t="shared" si="20"/>
        <v>0.79926498654269629</v>
      </c>
      <c r="BC27" s="339">
        <f t="shared" si="20"/>
        <v>0.82821601216532004</v>
      </c>
      <c r="BD27" s="339">
        <f t="shared" si="20"/>
        <v>0.82980767991912741</v>
      </c>
      <c r="BE27" s="339">
        <f t="shared" si="20"/>
        <v>0.84588135150329791</v>
      </c>
      <c r="BF27" s="484">
        <f t="shared" si="20"/>
        <v>0.8275237050761558</v>
      </c>
      <c r="BG27" s="339">
        <f t="shared" si="20"/>
        <v>0.8082595412885869</v>
      </c>
      <c r="BH27" s="339">
        <f t="shared" si="20"/>
        <v>0.83043461456072865</v>
      </c>
      <c r="BI27" s="339">
        <f t="shared" si="20"/>
        <v>0.81965724451063737</v>
      </c>
      <c r="BJ27" s="339">
        <f t="shared" si="20"/>
        <v>0.84172633469374547</v>
      </c>
      <c r="BK27" s="484">
        <f t="shared" si="20"/>
        <v>0.82606978928703767</v>
      </c>
      <c r="BL27" s="339">
        <f t="shared" si="20"/>
        <v>0.81569700637584741</v>
      </c>
      <c r="BM27" s="339">
        <f t="shared" si="20"/>
        <v>0.83223814736257107</v>
      </c>
      <c r="BN27" s="339">
        <f t="shared" si="20"/>
        <v>0.81885675830276416</v>
      </c>
      <c r="BO27" s="339">
        <f t="shared" si="20"/>
        <v>0.84410188461714486</v>
      </c>
      <c r="BP27" s="484">
        <f t="shared" si="20"/>
        <v>0.82875008544417528</v>
      </c>
      <c r="BQ27" s="339">
        <f t="shared" ref="BQ27:BU27" si="21">+BQ28/BQ12</f>
        <v>0.81584033889043639</v>
      </c>
      <c r="BR27" s="339">
        <f t="shared" si="21"/>
        <v>0.83229615107929156</v>
      </c>
      <c r="BS27" s="339">
        <f t="shared" si="21"/>
        <v>0.81883314914478167</v>
      </c>
      <c r="BT27" s="339">
        <f t="shared" si="21"/>
        <v>0.84420053680981388</v>
      </c>
      <c r="BU27" s="484">
        <f t="shared" si="21"/>
        <v>0.82882158581490661</v>
      </c>
    </row>
    <row r="28" spans="2:73" s="106" customFormat="1" ht="12.75" outlineLevel="1">
      <c r="B28" s="227" t="s">
        <v>177</v>
      </c>
      <c r="C28" s="235"/>
      <c r="D28" s="371" t="s">
        <v>340</v>
      </c>
      <c r="E28" s="371" t="s">
        <v>340</v>
      </c>
      <c r="F28" s="371" t="s">
        <v>340</v>
      </c>
      <c r="G28" s="371" t="s">
        <v>340</v>
      </c>
      <c r="H28" s="531">
        <f t="shared" ref="H28:AH28" si="22">+H12-H30</f>
        <v>65947.399999999994</v>
      </c>
      <c r="I28" s="353">
        <f t="shared" si="22"/>
        <v>23386.639999999999</v>
      </c>
      <c r="J28" s="353">
        <f t="shared" si="22"/>
        <v>29500</v>
      </c>
      <c r="K28" s="353">
        <f t="shared" si="22"/>
        <v>36139.96</v>
      </c>
      <c r="L28" s="353">
        <f t="shared" si="22"/>
        <v>46775.93</v>
      </c>
      <c r="M28" s="531">
        <f t="shared" si="22"/>
        <v>135892.32</v>
      </c>
      <c r="N28" s="353">
        <f t="shared" si="22"/>
        <v>31116.6</v>
      </c>
      <c r="O28" s="353">
        <f t="shared" si="22"/>
        <v>44170.119999999995</v>
      </c>
      <c r="P28" s="353">
        <f t="shared" si="22"/>
        <v>38830.15</v>
      </c>
      <c r="Q28" s="353">
        <f t="shared" si="22"/>
        <v>58077.9</v>
      </c>
      <c r="R28" s="531">
        <f t="shared" si="22"/>
        <v>172173.85750000001</v>
      </c>
      <c r="S28" s="353">
        <f t="shared" si="22"/>
        <v>37494.699999999997</v>
      </c>
      <c r="T28" s="353">
        <f t="shared" si="22"/>
        <v>52634.119999999995</v>
      </c>
      <c r="U28" s="353">
        <f t="shared" si="22"/>
        <v>51662.06</v>
      </c>
      <c r="V28" s="353">
        <f t="shared" si="22"/>
        <v>85244.040000000008</v>
      </c>
      <c r="W28" s="531">
        <f t="shared" si="22"/>
        <v>227129</v>
      </c>
      <c r="X28" s="353">
        <f t="shared" si="22"/>
        <v>39842.75</v>
      </c>
      <c r="Y28" s="353">
        <f t="shared" si="22"/>
        <v>54008.03</v>
      </c>
      <c r="Z28" s="353">
        <f t="shared" si="22"/>
        <v>51698.25</v>
      </c>
      <c r="AA28" s="353">
        <f t="shared" si="22"/>
        <v>81874.399999999994</v>
      </c>
      <c r="AB28" s="531">
        <f t="shared" si="22"/>
        <v>227604.21249999997</v>
      </c>
      <c r="AC28" s="353">
        <f t="shared" si="22"/>
        <v>52496</v>
      </c>
      <c r="AD28" s="353">
        <f t="shared" si="22"/>
        <v>74125</v>
      </c>
      <c r="AE28" s="353">
        <f t="shared" si="22"/>
        <v>65642</v>
      </c>
      <c r="AF28" s="353">
        <f t="shared" si="22"/>
        <v>110543.76</v>
      </c>
      <c r="AG28" s="531">
        <f t="shared" si="22"/>
        <v>302835.58548578649</v>
      </c>
      <c r="AH28" s="353">
        <f t="shared" si="22"/>
        <v>66729</v>
      </c>
      <c r="AI28" s="353">
        <f t="shared" ref="AI28:BP28" si="23">+AI12-AI30</f>
        <v>94325</v>
      </c>
      <c r="AJ28" s="353">
        <f t="shared" si="23"/>
        <v>91994</v>
      </c>
      <c r="AK28" s="353">
        <f t="shared" si="23"/>
        <v>138158</v>
      </c>
      <c r="AL28" s="531">
        <f t="shared" si="23"/>
        <v>392028.55575403001</v>
      </c>
      <c r="AM28" s="353">
        <f t="shared" si="23"/>
        <v>96263.310000000012</v>
      </c>
      <c r="AN28" s="353">
        <f t="shared" si="23"/>
        <v>123633.01000000001</v>
      </c>
      <c r="AO28" s="353">
        <f t="shared" si="23"/>
        <v>124954.14000000001</v>
      </c>
      <c r="AP28" s="353">
        <f t="shared" si="23"/>
        <v>183999.78000000003</v>
      </c>
      <c r="AQ28" s="531">
        <f t="shared" si="23"/>
        <v>528850.24</v>
      </c>
      <c r="AR28" s="353">
        <f t="shared" si="23"/>
        <v>131312.04</v>
      </c>
      <c r="AS28" s="353">
        <f t="shared" si="23"/>
        <v>154990.55000000002</v>
      </c>
      <c r="AT28" s="353">
        <f t="shared" si="23"/>
        <v>137483.65000000002</v>
      </c>
      <c r="AU28" s="353">
        <f t="shared" si="23"/>
        <v>183646.99000000002</v>
      </c>
      <c r="AV28" s="531">
        <f t="shared" si="23"/>
        <v>607433.23</v>
      </c>
      <c r="AW28" s="353">
        <f t="shared" si="23"/>
        <v>138140.68</v>
      </c>
      <c r="AX28" s="353">
        <f t="shared" si="23"/>
        <v>171865.25999999998</v>
      </c>
      <c r="AY28" s="353">
        <f t="shared" si="23"/>
        <v>158878.12</v>
      </c>
      <c r="AZ28" s="353">
        <f t="shared" si="23"/>
        <v>205157.75999999998</v>
      </c>
      <c r="BA28" s="531">
        <f t="shared" si="23"/>
        <v>673993.54249999998</v>
      </c>
      <c r="BB28" s="353">
        <f t="shared" si="23"/>
        <v>146996.81999999998</v>
      </c>
      <c r="BC28" s="353">
        <f t="shared" si="23"/>
        <v>170472.53</v>
      </c>
      <c r="BD28" s="353">
        <f t="shared" si="23"/>
        <v>167454.35999999999</v>
      </c>
      <c r="BE28" s="353">
        <f t="shared" si="23"/>
        <v>213651.02</v>
      </c>
      <c r="BF28" s="531">
        <f t="shared" si="23"/>
        <v>698531.79249999986</v>
      </c>
      <c r="BG28" s="353">
        <f t="shared" si="23"/>
        <v>159533.46</v>
      </c>
      <c r="BH28" s="353">
        <f t="shared" si="23"/>
        <v>178329.19</v>
      </c>
      <c r="BI28" s="353">
        <f t="shared" si="23"/>
        <v>158500.4</v>
      </c>
      <c r="BJ28" s="353">
        <f t="shared" si="23"/>
        <v>208099.16</v>
      </c>
      <c r="BK28" s="531">
        <f t="shared" si="23"/>
        <v>704409.53499999992</v>
      </c>
      <c r="BL28" s="353">
        <f t="shared" si="23"/>
        <v>165679.62450000003</v>
      </c>
      <c r="BM28" s="353">
        <f t="shared" si="23"/>
        <v>176202.46839999995</v>
      </c>
      <c r="BN28" s="353">
        <f t="shared" si="23"/>
        <v>152068.73397999999</v>
      </c>
      <c r="BO28" s="353">
        <f t="shared" si="23"/>
        <v>206343.99819020007</v>
      </c>
      <c r="BP28" s="531">
        <f t="shared" si="23"/>
        <v>700292.0624077</v>
      </c>
      <c r="BQ28" s="353">
        <f t="shared" ref="BQ28:BU28" si="24">+BQ12-BQ30</f>
        <v>168670.81045148993</v>
      </c>
      <c r="BR28" s="353">
        <f t="shared" si="24"/>
        <v>179295.12489616618</v>
      </c>
      <c r="BS28" s="353">
        <f t="shared" si="24"/>
        <v>154529.38472296286</v>
      </c>
      <c r="BT28" s="353">
        <f t="shared" si="24"/>
        <v>209837.85186921182</v>
      </c>
      <c r="BU28" s="531">
        <f t="shared" si="24"/>
        <v>712330.83404208091</v>
      </c>
    </row>
    <row r="29" spans="2:73" s="106" customFormat="1" ht="4.5" customHeight="1" outlineLevel="1">
      <c r="B29" s="224"/>
      <c r="C29" s="230"/>
      <c r="D29" s="230" t="s">
        <v>1</v>
      </c>
      <c r="E29" s="230" t="s">
        <v>1</v>
      </c>
      <c r="F29" s="230" t="s">
        <v>1</v>
      </c>
      <c r="G29" s="230" t="s">
        <v>1</v>
      </c>
      <c r="H29" s="529" t="s">
        <v>1</v>
      </c>
      <c r="I29" s="230" t="s">
        <v>1</v>
      </c>
      <c r="J29" s="230" t="s">
        <v>1</v>
      </c>
      <c r="K29" s="230" t="s">
        <v>1</v>
      </c>
      <c r="L29" s="230" t="s">
        <v>1</v>
      </c>
      <c r="M29" s="529" t="s">
        <v>1</v>
      </c>
      <c r="N29" s="230" t="s">
        <v>1</v>
      </c>
      <c r="O29" s="230" t="s">
        <v>1</v>
      </c>
      <c r="P29" s="230" t="s">
        <v>1</v>
      </c>
      <c r="Q29" s="230" t="s">
        <v>1</v>
      </c>
      <c r="R29" s="529" t="s">
        <v>1</v>
      </c>
      <c r="S29" s="230" t="s">
        <v>1</v>
      </c>
      <c r="T29" s="230" t="s">
        <v>1</v>
      </c>
      <c r="U29" s="230" t="s">
        <v>1</v>
      </c>
      <c r="V29" s="230" t="s">
        <v>1</v>
      </c>
      <c r="W29" s="529" t="s">
        <v>1</v>
      </c>
      <c r="X29" s="230" t="s">
        <v>1</v>
      </c>
      <c r="Y29" s="230" t="s">
        <v>1</v>
      </c>
      <c r="Z29" s="230" t="s">
        <v>1</v>
      </c>
      <c r="AA29" s="230" t="s">
        <v>1</v>
      </c>
      <c r="AB29" s="529" t="s">
        <v>1</v>
      </c>
      <c r="AC29" s="230" t="s">
        <v>1</v>
      </c>
      <c r="AD29" s="230" t="s">
        <v>1</v>
      </c>
      <c r="AE29" s="230" t="s">
        <v>1</v>
      </c>
      <c r="AF29" s="230" t="s">
        <v>1</v>
      </c>
      <c r="AG29" s="529" t="s">
        <v>1</v>
      </c>
      <c r="AH29" s="230" t="s">
        <v>1</v>
      </c>
      <c r="AI29" s="230" t="s">
        <v>1</v>
      </c>
      <c r="AJ29" s="230" t="s">
        <v>1</v>
      </c>
      <c r="AK29" s="230" t="s">
        <v>1</v>
      </c>
      <c r="AL29" s="529" t="s">
        <v>1</v>
      </c>
      <c r="AM29" s="230" t="s">
        <v>1</v>
      </c>
      <c r="AN29" s="230" t="s">
        <v>1</v>
      </c>
      <c r="AO29" s="230" t="s">
        <v>1</v>
      </c>
      <c r="AP29" s="230" t="s">
        <v>1</v>
      </c>
      <c r="AQ29" s="529" t="s">
        <v>1</v>
      </c>
      <c r="AR29" s="230" t="s">
        <v>1</v>
      </c>
      <c r="AS29" s="230" t="s">
        <v>1</v>
      </c>
      <c r="AT29" s="230" t="s">
        <v>1</v>
      </c>
      <c r="AU29" s="230" t="s">
        <v>1</v>
      </c>
      <c r="AV29" s="529" t="s">
        <v>1</v>
      </c>
      <c r="AW29" s="230" t="s">
        <v>1</v>
      </c>
      <c r="AX29" s="230" t="s">
        <v>1</v>
      </c>
      <c r="AY29" s="230" t="s">
        <v>1</v>
      </c>
      <c r="AZ29" s="230" t="s">
        <v>1</v>
      </c>
      <c r="BA29" s="529" t="s">
        <v>1</v>
      </c>
      <c r="BB29" s="230" t="s">
        <v>1</v>
      </c>
      <c r="BC29" s="230" t="s">
        <v>1</v>
      </c>
      <c r="BD29" s="230" t="s">
        <v>1</v>
      </c>
      <c r="BE29" s="230" t="s">
        <v>1</v>
      </c>
      <c r="BF29" s="529" t="s">
        <v>1</v>
      </c>
      <c r="BG29" s="230" t="s">
        <v>1</v>
      </c>
      <c r="BH29" s="230" t="s">
        <v>1</v>
      </c>
      <c r="BI29" s="230" t="s">
        <v>1</v>
      </c>
      <c r="BJ29" s="230" t="s">
        <v>1</v>
      </c>
      <c r="BK29" s="529" t="s">
        <v>1</v>
      </c>
      <c r="BL29" s="230" t="s">
        <v>1</v>
      </c>
      <c r="BM29" s="230" t="s">
        <v>1</v>
      </c>
      <c r="BN29" s="230" t="s">
        <v>1</v>
      </c>
      <c r="BO29" s="230" t="s">
        <v>1</v>
      </c>
      <c r="BP29" s="529" t="s">
        <v>1</v>
      </c>
      <c r="BQ29" s="230" t="s">
        <v>1</v>
      </c>
      <c r="BR29" s="230" t="s">
        <v>1</v>
      </c>
      <c r="BS29" s="230" t="s">
        <v>1</v>
      </c>
      <c r="BT29" s="230" t="s">
        <v>1</v>
      </c>
      <c r="BU29" s="529" t="s">
        <v>1</v>
      </c>
    </row>
    <row r="30" spans="2:73" s="106" customFormat="1" ht="12.75" outlineLevel="1">
      <c r="B30" s="227" t="s">
        <v>187</v>
      </c>
      <c r="C30" s="236"/>
      <c r="D30" s="371" t="s">
        <v>340</v>
      </c>
      <c r="E30" s="371" t="s">
        <v>340</v>
      </c>
      <c r="F30" s="371" t="s">
        <v>340</v>
      </c>
      <c r="G30" s="371" t="s">
        <v>340</v>
      </c>
      <c r="H30" s="534">
        <f t="shared" ref="H30:AG30" si="25">+H40-H35</f>
        <v>36133.599999999999</v>
      </c>
      <c r="I30" s="236">
        <f t="shared" si="25"/>
        <v>3771.3600000000006</v>
      </c>
      <c r="J30" s="236">
        <f t="shared" si="25"/>
        <v>5158</v>
      </c>
      <c r="K30" s="236">
        <f t="shared" si="25"/>
        <v>4813.0400000000009</v>
      </c>
      <c r="L30" s="236">
        <f t="shared" si="25"/>
        <v>6242.07</v>
      </c>
      <c r="M30" s="534">
        <f t="shared" si="25"/>
        <v>19894.679999999993</v>
      </c>
      <c r="N30" s="236">
        <f t="shared" si="25"/>
        <v>5219.4000000000015</v>
      </c>
      <c r="O30" s="236">
        <f t="shared" si="25"/>
        <v>5962.880000000001</v>
      </c>
      <c r="P30" s="236">
        <f t="shared" si="25"/>
        <v>6050.8499999999985</v>
      </c>
      <c r="Q30" s="236">
        <f t="shared" si="25"/>
        <v>6755.0999999999985</v>
      </c>
      <c r="R30" s="534">
        <f t="shared" si="25"/>
        <v>24009.142499999987</v>
      </c>
      <c r="S30" s="236">
        <f t="shared" si="25"/>
        <v>6334.3000000000029</v>
      </c>
      <c r="T30" s="236">
        <f t="shared" si="25"/>
        <v>7590.8800000000047</v>
      </c>
      <c r="U30" s="236">
        <f t="shared" si="25"/>
        <v>7072.9400000000023</v>
      </c>
      <c r="V30" s="236">
        <f t="shared" si="25"/>
        <v>9236.9599999999991</v>
      </c>
      <c r="W30" s="534">
        <f t="shared" si="25"/>
        <v>30141</v>
      </c>
      <c r="X30" s="236">
        <f t="shared" si="25"/>
        <v>8177.25</v>
      </c>
      <c r="Y30" s="236">
        <f t="shared" si="25"/>
        <v>9934.9700000000012</v>
      </c>
      <c r="Z30" s="236">
        <f t="shared" si="25"/>
        <v>9354.75</v>
      </c>
      <c r="AA30" s="236">
        <f t="shared" si="25"/>
        <v>12378.600000000006</v>
      </c>
      <c r="AB30" s="534">
        <f t="shared" si="25"/>
        <v>39664.787500000035</v>
      </c>
      <c r="AC30" s="227">
        <f t="shared" si="25"/>
        <v>8585</v>
      </c>
      <c r="AD30" s="227">
        <f t="shared" si="25"/>
        <v>12359</v>
      </c>
      <c r="AE30" s="227">
        <f t="shared" si="25"/>
        <v>10455</v>
      </c>
      <c r="AF30" s="227">
        <f t="shared" si="25"/>
        <v>11914.240000000005</v>
      </c>
      <c r="AG30" s="534">
        <f t="shared" si="25"/>
        <v>43284.414514213509</v>
      </c>
      <c r="AH30" s="671">
        <f t="shared" ref="AH30:BP30" si="26">+AH40-AH35</f>
        <v>10940</v>
      </c>
      <c r="AI30" s="227">
        <f t="shared" si="26"/>
        <v>14112</v>
      </c>
      <c r="AJ30" s="227">
        <f t="shared" si="26"/>
        <v>14675</v>
      </c>
      <c r="AK30" s="227">
        <f t="shared" si="26"/>
        <v>22759</v>
      </c>
      <c r="AL30" s="534">
        <f t="shared" si="26"/>
        <v>61663.444245969993</v>
      </c>
      <c r="AM30" s="671">
        <f t="shared" si="26"/>
        <v>22315.689999999988</v>
      </c>
      <c r="AN30" s="671">
        <f t="shared" si="26"/>
        <v>24019.989999999991</v>
      </c>
      <c r="AO30" s="671">
        <f t="shared" si="26"/>
        <v>26579.859999999986</v>
      </c>
      <c r="AP30" s="671">
        <f t="shared" si="26"/>
        <v>28811.219999999987</v>
      </c>
      <c r="AQ30" s="534">
        <f t="shared" si="26"/>
        <v>101726.75999999995</v>
      </c>
      <c r="AR30" s="671">
        <f t="shared" si="26"/>
        <v>29902.959999999992</v>
      </c>
      <c r="AS30" s="671">
        <f t="shared" si="26"/>
        <v>31816.449999999983</v>
      </c>
      <c r="AT30" s="671">
        <f t="shared" si="26"/>
        <v>33395.349999999977</v>
      </c>
      <c r="AU30" s="671">
        <f t="shared" si="26"/>
        <v>35051.00999999998</v>
      </c>
      <c r="AV30" s="534">
        <f t="shared" si="26"/>
        <v>130165.77000000002</v>
      </c>
      <c r="AW30" s="671">
        <f t="shared" si="26"/>
        <v>32971.320000000007</v>
      </c>
      <c r="AX30" s="671">
        <f t="shared" si="26"/>
        <v>32371.74000000002</v>
      </c>
      <c r="AY30" s="671">
        <f t="shared" si="26"/>
        <v>31814.880000000005</v>
      </c>
      <c r="AZ30" s="671">
        <f t="shared" si="26"/>
        <v>36948.24000000002</v>
      </c>
      <c r="BA30" s="534">
        <f t="shared" si="26"/>
        <v>134154.45750000002</v>
      </c>
      <c r="BB30" s="671">
        <f t="shared" si="26"/>
        <v>36918.180000000022</v>
      </c>
      <c r="BC30" s="671">
        <f t="shared" si="26"/>
        <v>35358.47</v>
      </c>
      <c r="BD30" s="671">
        <f t="shared" si="26"/>
        <v>34344.640000000014</v>
      </c>
      <c r="BE30" s="671">
        <f t="shared" si="26"/>
        <v>38926.98000000001</v>
      </c>
      <c r="BF30" s="534">
        <f t="shared" si="26"/>
        <v>145591.20750000014</v>
      </c>
      <c r="BG30" s="671">
        <f t="shared" si="26"/>
        <v>37845.540000000008</v>
      </c>
      <c r="BH30" s="671">
        <f t="shared" si="26"/>
        <v>36412.81</v>
      </c>
      <c r="BI30" s="671">
        <f t="shared" si="26"/>
        <v>34873.600000000006</v>
      </c>
      <c r="BJ30" s="671">
        <f t="shared" si="26"/>
        <v>39129.839999999997</v>
      </c>
      <c r="BK30" s="534">
        <f t="shared" si="26"/>
        <v>148314.46500000008</v>
      </c>
      <c r="BL30" s="671">
        <f t="shared" si="26"/>
        <v>37434.550500000012</v>
      </c>
      <c r="BM30" s="671">
        <f t="shared" si="26"/>
        <v>35518.742599999998</v>
      </c>
      <c r="BN30" s="671">
        <f t="shared" si="26"/>
        <v>33639.856</v>
      </c>
      <c r="BO30" s="671">
        <f t="shared" si="26"/>
        <v>38109.902400000021</v>
      </c>
      <c r="BP30" s="534">
        <f t="shared" si="26"/>
        <v>144705.81416250009</v>
      </c>
      <c r="BQ30" s="671">
        <f t="shared" ref="BQ30:BU30" si="27">+BQ40-BQ35</f>
        <v>38074.06647000002</v>
      </c>
      <c r="BR30" s="671">
        <f t="shared" si="27"/>
        <v>36127.143563999998</v>
      </c>
      <c r="BS30" s="671">
        <f t="shared" si="27"/>
        <v>34189.629504000011</v>
      </c>
      <c r="BT30" s="671">
        <f t="shared" si="27"/>
        <v>38726.135856000008</v>
      </c>
      <c r="BU30" s="534">
        <f t="shared" si="27"/>
        <v>147119.31329175003</v>
      </c>
    </row>
    <row r="31" spans="2:73" s="106" customFormat="1" ht="12.75" outlineLevel="1">
      <c r="B31" s="227" t="s">
        <v>185</v>
      </c>
      <c r="C31" s="237"/>
      <c r="D31" s="371" t="s">
        <v>340</v>
      </c>
      <c r="E31" s="371" t="s">
        <v>340</v>
      </c>
      <c r="F31" s="371" t="s">
        <v>340</v>
      </c>
      <c r="G31" s="371" t="s">
        <v>340</v>
      </c>
      <c r="H31" s="480">
        <f t="shared" ref="H31:AG31" si="28">+H30/H12</f>
        <v>0.35396988665863383</v>
      </c>
      <c r="I31" s="237">
        <f t="shared" si="28"/>
        <v>0.13886736873112898</v>
      </c>
      <c r="J31" s="237">
        <f t="shared" si="28"/>
        <v>0.14882566795545041</v>
      </c>
      <c r="K31" s="237">
        <f t="shared" si="28"/>
        <v>0.11752594437525947</v>
      </c>
      <c r="L31" s="237">
        <f t="shared" si="28"/>
        <v>0.11773492021577577</v>
      </c>
      <c r="M31" s="480">
        <f t="shared" si="28"/>
        <v>0.12770436557607498</v>
      </c>
      <c r="N31" s="237">
        <f t="shared" si="28"/>
        <v>0.14364266842800533</v>
      </c>
      <c r="O31" s="237">
        <f t="shared" si="28"/>
        <v>0.11894121636447053</v>
      </c>
      <c r="P31" s="237">
        <f t="shared" si="28"/>
        <v>0.13481985695505891</v>
      </c>
      <c r="Q31" s="237">
        <f t="shared" si="28"/>
        <v>0.10419230947202811</v>
      </c>
      <c r="R31" s="480">
        <f t="shared" si="28"/>
        <v>0.12238136077030114</v>
      </c>
      <c r="S31" s="237">
        <f t="shared" si="28"/>
        <v>0.14452303269524749</v>
      </c>
      <c r="T31" s="237">
        <f t="shared" si="28"/>
        <v>0.12604200913242017</v>
      </c>
      <c r="U31" s="237">
        <f t="shared" si="28"/>
        <v>0.12042121392696012</v>
      </c>
      <c r="V31" s="237">
        <f t="shared" si="28"/>
        <v>9.7765264973910096E-2</v>
      </c>
      <c r="W31" s="480">
        <f t="shared" si="28"/>
        <v>0.11715707233645586</v>
      </c>
      <c r="X31" s="237">
        <f t="shared" si="28"/>
        <v>0.17028842149104539</v>
      </c>
      <c r="Y31" s="237">
        <f t="shared" si="28"/>
        <v>0.15537228469105299</v>
      </c>
      <c r="Z31" s="237">
        <f t="shared" si="28"/>
        <v>0.15322342882413639</v>
      </c>
      <c r="AA31" s="237">
        <f t="shared" si="28"/>
        <v>0.13133375064984676</v>
      </c>
      <c r="AB31" s="480">
        <f t="shared" si="28"/>
        <v>0.14840773714871547</v>
      </c>
      <c r="AC31" s="237">
        <f t="shared" si="28"/>
        <v>0.14055107152797106</v>
      </c>
      <c r="AD31" s="237">
        <f t="shared" si="28"/>
        <v>0.14290504602007309</v>
      </c>
      <c r="AE31" s="237">
        <f t="shared" si="28"/>
        <v>0.13739043589103381</v>
      </c>
      <c r="AF31" s="237">
        <f t="shared" si="28"/>
        <v>9.7292459455486827E-2</v>
      </c>
      <c r="AG31" s="480">
        <f t="shared" si="28"/>
        <v>0.12505609185893191</v>
      </c>
      <c r="AH31" s="237">
        <f t="shared" ref="AH31:BP31" si="29">+AH30/AH12</f>
        <v>0.1408541374293476</v>
      </c>
      <c r="AI31" s="237">
        <f t="shared" si="29"/>
        <v>0.13014008133755084</v>
      </c>
      <c r="AJ31" s="237">
        <f t="shared" si="29"/>
        <v>0.13757511554434745</v>
      </c>
      <c r="AK31" s="237">
        <f t="shared" si="29"/>
        <v>0.14143316119490171</v>
      </c>
      <c r="AL31" s="480">
        <f t="shared" si="29"/>
        <v>0.13591477091500401</v>
      </c>
      <c r="AM31" s="237">
        <f t="shared" si="29"/>
        <v>0.18819259734016974</v>
      </c>
      <c r="AN31" s="237">
        <f t="shared" si="29"/>
        <v>0.16267864520192607</v>
      </c>
      <c r="AO31" s="237">
        <f t="shared" si="29"/>
        <v>0.17540525558620498</v>
      </c>
      <c r="AP31" s="237">
        <f t="shared" si="29"/>
        <v>0.13538407319170526</v>
      </c>
      <c r="AQ31" s="480">
        <f t="shared" si="29"/>
        <v>0.16132329596544109</v>
      </c>
      <c r="AR31" s="237">
        <f t="shared" si="29"/>
        <v>0.18548497348261633</v>
      </c>
      <c r="AS31" s="237">
        <f t="shared" si="29"/>
        <v>0.17031722579988964</v>
      </c>
      <c r="AT31" s="237">
        <f t="shared" si="29"/>
        <v>0.19543273310354098</v>
      </c>
      <c r="AU31" s="237">
        <f t="shared" si="29"/>
        <v>0.16027128734602045</v>
      </c>
      <c r="AV31" s="480">
        <f t="shared" si="29"/>
        <v>0.17647227016305611</v>
      </c>
      <c r="AW31" s="237">
        <f t="shared" si="29"/>
        <v>0.19268853148814816</v>
      </c>
      <c r="AX31" s="237">
        <f t="shared" si="29"/>
        <v>0.1585008592958182</v>
      </c>
      <c r="AY31" s="237">
        <f t="shared" si="29"/>
        <v>0.16683821640018251</v>
      </c>
      <c r="AZ31" s="237">
        <f t="shared" si="29"/>
        <v>0.15261183118138344</v>
      </c>
      <c r="BA31" s="480">
        <f t="shared" si="29"/>
        <v>0.16600233806184017</v>
      </c>
      <c r="BB31" s="237">
        <f t="shared" si="29"/>
        <v>0.20073501345730377</v>
      </c>
      <c r="BC31" s="237">
        <f t="shared" si="29"/>
        <v>0.17178398783467991</v>
      </c>
      <c r="BD31" s="237">
        <f t="shared" si="29"/>
        <v>0.17019232008087262</v>
      </c>
      <c r="BE31" s="237">
        <f t="shared" si="29"/>
        <v>0.15411864849670204</v>
      </c>
      <c r="BF31" s="480">
        <f t="shared" si="29"/>
        <v>0.1724762949238442</v>
      </c>
      <c r="BG31" s="237">
        <f t="shared" si="29"/>
        <v>0.1917404587114131</v>
      </c>
      <c r="BH31" s="237">
        <f t="shared" si="29"/>
        <v>0.1695653854392713</v>
      </c>
      <c r="BI31" s="237">
        <f t="shared" si="29"/>
        <v>0.1803427554893626</v>
      </c>
      <c r="BJ31" s="237">
        <f t="shared" si="29"/>
        <v>0.1582736653062545</v>
      </c>
      <c r="BK31" s="480">
        <f t="shared" si="29"/>
        <v>0.17393021071296233</v>
      </c>
      <c r="BL31" s="237">
        <f t="shared" si="29"/>
        <v>0.18430299362415253</v>
      </c>
      <c r="BM31" s="237">
        <f t="shared" si="29"/>
        <v>0.16776185263742896</v>
      </c>
      <c r="BN31" s="237">
        <f t="shared" si="29"/>
        <v>0.18114324169723581</v>
      </c>
      <c r="BO31" s="237">
        <f t="shared" si="29"/>
        <v>0.15589811538285517</v>
      </c>
      <c r="BP31" s="480">
        <f t="shared" si="29"/>
        <v>0.17124991455582472</v>
      </c>
      <c r="BQ31" s="237">
        <f t="shared" ref="BQ31:BU31" si="30">+BQ30/BQ12</f>
        <v>0.18415966110956358</v>
      </c>
      <c r="BR31" s="237">
        <f t="shared" si="30"/>
        <v>0.16770384892070841</v>
      </c>
      <c r="BS31" s="237">
        <f t="shared" si="30"/>
        <v>0.18116685085521836</v>
      </c>
      <c r="BT31" s="237">
        <f t="shared" si="30"/>
        <v>0.15579946319018609</v>
      </c>
      <c r="BU31" s="480">
        <f t="shared" si="30"/>
        <v>0.17117841418509336</v>
      </c>
    </row>
    <row r="32" spans="2:73" s="106" customFormat="1" ht="12.75" outlineLevel="1">
      <c r="B32" s="227" t="s">
        <v>186</v>
      </c>
      <c r="C32" s="237"/>
      <c r="D32" s="371" t="s">
        <v>340</v>
      </c>
      <c r="E32" s="371" t="s">
        <v>340</v>
      </c>
      <c r="F32" s="371" t="s">
        <v>340</v>
      </c>
      <c r="G32" s="371" t="s">
        <v>340</v>
      </c>
      <c r="H32" s="480">
        <f t="shared" ref="H32:AG32" si="31">+H30/H8</f>
        <v>0.47</v>
      </c>
      <c r="I32" s="237">
        <f t="shared" si="31"/>
        <v>0.16000000000000003</v>
      </c>
      <c r="J32" s="237">
        <f t="shared" si="31"/>
        <v>0.2</v>
      </c>
      <c r="K32" s="237">
        <f t="shared" si="31"/>
        <v>0.17000000000000004</v>
      </c>
      <c r="L32" s="237">
        <f t="shared" si="31"/>
        <v>0.19</v>
      </c>
      <c r="M32" s="480">
        <f t="shared" si="31"/>
        <v>0.17999999999999994</v>
      </c>
      <c r="N32" s="237">
        <f t="shared" si="31"/>
        <v>0.15000000000000005</v>
      </c>
      <c r="O32" s="237">
        <f t="shared" si="31"/>
        <v>0.16000000000000003</v>
      </c>
      <c r="P32" s="237">
        <f t="shared" si="31"/>
        <v>0.14999999999999997</v>
      </c>
      <c r="Q32" s="237">
        <f t="shared" si="31"/>
        <v>0.14999999999999997</v>
      </c>
      <c r="R32" s="480">
        <f t="shared" si="31"/>
        <v>0.15249999999999991</v>
      </c>
      <c r="S32" s="237">
        <f t="shared" si="31"/>
        <v>0.14000000000000007</v>
      </c>
      <c r="T32" s="237">
        <f t="shared" si="31"/>
        <v>0.16000000000000009</v>
      </c>
      <c r="U32" s="237">
        <f t="shared" si="31"/>
        <v>0.14000000000000004</v>
      </c>
      <c r="V32" s="237">
        <f t="shared" si="31"/>
        <v>0.15999999999999998</v>
      </c>
      <c r="W32" s="480">
        <f t="shared" si="31"/>
        <v>0.15</v>
      </c>
      <c r="X32" s="237">
        <f t="shared" si="31"/>
        <v>0.15</v>
      </c>
      <c r="Y32" s="237">
        <f t="shared" si="31"/>
        <v>0.17</v>
      </c>
      <c r="Z32" s="237">
        <f t="shared" si="31"/>
        <v>0.15</v>
      </c>
      <c r="AA32" s="237">
        <f t="shared" si="31"/>
        <v>0.18000000000000008</v>
      </c>
      <c r="AB32" s="480">
        <f t="shared" si="31"/>
        <v>0.16250000000000014</v>
      </c>
      <c r="AC32" s="237">
        <f t="shared" si="31"/>
        <v>0.1173054587688734</v>
      </c>
      <c r="AD32" s="237">
        <f t="shared" si="31"/>
        <v>0.15652427209057865</v>
      </c>
      <c r="AE32" s="237">
        <f t="shared" si="31"/>
        <v>0.12572906018880403</v>
      </c>
      <c r="AF32" s="237">
        <f t="shared" si="31"/>
        <v>0.13000000000000006</v>
      </c>
      <c r="AG32" s="480">
        <f t="shared" si="31"/>
        <v>0.13238969776206391</v>
      </c>
      <c r="AH32" s="237">
        <f t="shared" ref="AH32:BP32" si="32">+AH30/AH8</f>
        <v>0.11596353614585542</v>
      </c>
      <c r="AI32" s="237">
        <f t="shared" si="32"/>
        <v>0.1426722743448722</v>
      </c>
      <c r="AJ32" s="237">
        <f t="shared" si="32"/>
        <v>0.13966214608612895</v>
      </c>
      <c r="AK32" s="237">
        <f t="shared" si="32"/>
        <v>0.20112408204384979</v>
      </c>
      <c r="AL32" s="480">
        <f t="shared" si="32"/>
        <v>0.14985550965517658</v>
      </c>
      <c r="AM32" s="237">
        <f t="shared" si="32"/>
        <v>0.18999999999999989</v>
      </c>
      <c r="AN32" s="237">
        <f t="shared" si="32"/>
        <v>0.18999999999999992</v>
      </c>
      <c r="AO32" s="237">
        <f t="shared" si="32"/>
        <v>0.18999999999999989</v>
      </c>
      <c r="AP32" s="237">
        <f t="shared" si="32"/>
        <v>0.18999999999999992</v>
      </c>
      <c r="AQ32" s="480">
        <f t="shared" si="32"/>
        <v>0.18999999999999992</v>
      </c>
      <c r="AR32" s="237">
        <f t="shared" si="32"/>
        <v>0.18999999999999995</v>
      </c>
      <c r="AS32" s="237">
        <f t="shared" si="32"/>
        <v>0.18999999999999989</v>
      </c>
      <c r="AT32" s="237">
        <f t="shared" si="32"/>
        <v>0.18999999999999986</v>
      </c>
      <c r="AU32" s="237">
        <f t="shared" si="32"/>
        <v>0.18999999999999989</v>
      </c>
      <c r="AV32" s="480">
        <f t="shared" si="32"/>
        <v>0.19000000000000003</v>
      </c>
      <c r="AW32" s="237">
        <f t="shared" si="32"/>
        <v>0.18000000000000005</v>
      </c>
      <c r="AX32" s="237">
        <f t="shared" si="32"/>
        <v>0.1700000000000001</v>
      </c>
      <c r="AY32" s="237">
        <f t="shared" si="32"/>
        <v>0.16000000000000003</v>
      </c>
      <c r="AZ32" s="237">
        <f t="shared" si="32"/>
        <v>0.1800000000000001</v>
      </c>
      <c r="BA32" s="480">
        <f t="shared" si="32"/>
        <v>0.17250000000000001</v>
      </c>
      <c r="BB32" s="237">
        <f t="shared" si="32"/>
        <v>0.1800000000000001</v>
      </c>
      <c r="BC32" s="237">
        <f t="shared" si="32"/>
        <v>0.17</v>
      </c>
      <c r="BD32" s="237">
        <f t="shared" si="32"/>
        <v>0.16000000000000006</v>
      </c>
      <c r="BE32" s="237">
        <f t="shared" si="32"/>
        <v>0.18000000000000005</v>
      </c>
      <c r="BF32" s="480">
        <f t="shared" si="32"/>
        <v>0.17250000000000015</v>
      </c>
      <c r="BG32" s="237">
        <f t="shared" si="32"/>
        <v>0.18000000000000005</v>
      </c>
      <c r="BH32" s="237">
        <f t="shared" si="32"/>
        <v>0.16999999999999998</v>
      </c>
      <c r="BI32" s="237">
        <f t="shared" si="32"/>
        <v>0.16000000000000003</v>
      </c>
      <c r="BJ32" s="237">
        <f t="shared" si="32"/>
        <v>0.18</v>
      </c>
      <c r="BK32" s="480">
        <f t="shared" si="32"/>
        <v>0.1725000000000001</v>
      </c>
      <c r="BL32" s="237">
        <f t="shared" si="32"/>
        <v>0.18000000000000005</v>
      </c>
      <c r="BM32" s="237">
        <f t="shared" si="32"/>
        <v>0.16999999999999998</v>
      </c>
      <c r="BN32" s="237">
        <f t="shared" si="32"/>
        <v>0.16</v>
      </c>
      <c r="BO32" s="237">
        <f t="shared" si="32"/>
        <v>0.1800000000000001</v>
      </c>
      <c r="BP32" s="480">
        <f t="shared" si="32"/>
        <v>0.1725000000000001</v>
      </c>
      <c r="BQ32" s="237">
        <f t="shared" ref="BQ32:BU32" si="33">+BQ30/BQ8</f>
        <v>0.18000000000000008</v>
      </c>
      <c r="BR32" s="237">
        <f t="shared" si="33"/>
        <v>0.16999999999999998</v>
      </c>
      <c r="BS32" s="237">
        <f t="shared" si="33"/>
        <v>0.16000000000000006</v>
      </c>
      <c r="BT32" s="237">
        <f t="shared" si="33"/>
        <v>0.18000000000000005</v>
      </c>
      <c r="BU32" s="480">
        <f t="shared" si="33"/>
        <v>0.17250000000000004</v>
      </c>
    </row>
    <row r="33" spans="1:73" s="106" customFormat="1" ht="12.75" outlineLevel="1">
      <c r="B33" s="227"/>
      <c r="C33" s="227"/>
      <c r="D33" s="228"/>
      <c r="E33" s="228"/>
      <c r="F33" s="228"/>
      <c r="G33" s="228"/>
      <c r="H33" s="526"/>
      <c r="I33" s="228"/>
      <c r="J33" s="228"/>
      <c r="K33" s="228"/>
      <c r="L33" s="228"/>
      <c r="M33" s="526"/>
      <c r="N33" s="228"/>
      <c r="O33" s="228"/>
      <c r="P33" s="228"/>
      <c r="Q33" s="228"/>
      <c r="R33" s="526"/>
      <c r="S33" s="228"/>
      <c r="T33" s="228"/>
      <c r="U33" s="228"/>
      <c r="V33" s="228"/>
      <c r="W33" s="526"/>
      <c r="X33" s="228"/>
      <c r="Y33" s="228"/>
      <c r="Z33" s="228"/>
      <c r="AA33" s="228"/>
      <c r="AB33" s="526"/>
      <c r="AC33" s="228"/>
      <c r="AD33" s="228"/>
      <c r="AE33" s="597"/>
      <c r="AF33" s="228"/>
      <c r="AG33" s="526"/>
      <c r="AH33" s="228"/>
      <c r="AI33" s="228"/>
      <c r="AJ33" s="228"/>
      <c r="AK33" s="228"/>
      <c r="AL33" s="526"/>
      <c r="AM33" s="228"/>
      <c r="AN33" s="228"/>
      <c r="AO33" s="228"/>
      <c r="AP33" s="228"/>
      <c r="AQ33" s="526"/>
      <c r="AR33" s="228"/>
      <c r="AS33" s="228"/>
      <c r="AT33" s="228"/>
      <c r="AU33" s="228"/>
      <c r="AV33" s="526"/>
      <c r="AW33" s="228"/>
      <c r="AX33" s="228"/>
      <c r="AY33" s="228"/>
      <c r="AZ33" s="228"/>
      <c r="BA33" s="526"/>
      <c r="BB33" s="228"/>
      <c r="BC33" s="228"/>
      <c r="BD33" s="228"/>
      <c r="BE33" s="228"/>
      <c r="BF33" s="526"/>
      <c r="BG33" s="228"/>
      <c r="BH33" s="228"/>
      <c r="BI33" s="228"/>
      <c r="BJ33" s="228"/>
      <c r="BK33" s="526"/>
      <c r="BL33" s="228"/>
      <c r="BM33" s="228"/>
      <c r="BN33" s="228"/>
      <c r="BO33" s="228"/>
      <c r="BP33" s="526"/>
      <c r="BQ33" s="228"/>
      <c r="BR33" s="228"/>
      <c r="BS33" s="228"/>
      <c r="BT33" s="228"/>
      <c r="BU33" s="526"/>
    </row>
    <row r="34" spans="1:73" s="106" customFormat="1" ht="12.75" outlineLevel="1">
      <c r="A34" s="106" t="s">
        <v>341</v>
      </c>
      <c r="B34" s="227" t="s">
        <v>183</v>
      </c>
      <c r="C34" s="227"/>
      <c r="D34" s="371" t="s">
        <v>340</v>
      </c>
      <c r="E34" s="233">
        <v>0.82</v>
      </c>
      <c r="F34" s="371" t="s">
        <v>340</v>
      </c>
      <c r="G34" s="371" t="s">
        <v>340</v>
      </c>
      <c r="H34" s="502">
        <v>0.53</v>
      </c>
      <c r="I34" s="437">
        <v>0.84</v>
      </c>
      <c r="J34" s="437">
        <v>0.8</v>
      </c>
      <c r="K34" s="437">
        <v>0.83</v>
      </c>
      <c r="L34" s="437">
        <v>0.81</v>
      </c>
      <c r="M34" s="480">
        <f>SUM(I34:L34)/4</f>
        <v>0.82000000000000006</v>
      </c>
      <c r="N34" s="234">
        <v>0.85</v>
      </c>
      <c r="O34" s="234">
        <v>0.84</v>
      </c>
      <c r="P34" s="234">
        <v>0.85</v>
      </c>
      <c r="Q34" s="234">
        <v>0.85</v>
      </c>
      <c r="R34" s="480">
        <f>SUM(N34:Q34)/4</f>
        <v>0.84750000000000003</v>
      </c>
      <c r="S34" s="234">
        <v>0.86</v>
      </c>
      <c r="T34" s="234">
        <v>0.84</v>
      </c>
      <c r="U34" s="234">
        <v>0.86</v>
      </c>
      <c r="V34" s="234">
        <v>0.84</v>
      </c>
      <c r="W34" s="480">
        <f>SUM(S34:V34)/4</f>
        <v>0.85</v>
      </c>
      <c r="X34" s="234">
        <v>0.85</v>
      </c>
      <c r="Y34" s="234">
        <v>0.83</v>
      </c>
      <c r="Z34" s="234">
        <v>0.85</v>
      </c>
      <c r="AA34" s="234">
        <v>0.82</v>
      </c>
      <c r="AB34" s="480">
        <f>SUM(X34:AA34)/4</f>
        <v>0.83749999999999991</v>
      </c>
      <c r="AC34" s="237">
        <f>64600/AC8</f>
        <v>0.88269454123112656</v>
      </c>
      <c r="AD34" s="672">
        <f>66600/AD8</f>
        <v>0.84347572790942138</v>
      </c>
      <c r="AE34" s="672">
        <f>72700/AE8</f>
        <v>0.87427093981119597</v>
      </c>
      <c r="AF34" s="339">
        <v>0.87</v>
      </c>
      <c r="AG34" s="480">
        <f>SUM(AC34:AF34)/4</f>
        <v>0.867610302237936</v>
      </c>
      <c r="AH34" s="237">
        <f>83400/AH8</f>
        <v>0.88403646385414458</v>
      </c>
      <c r="AI34" s="237">
        <f>84800/AI8</f>
        <v>0.85732772565512783</v>
      </c>
      <c r="AJ34" s="237">
        <f>90400/AJ8</f>
        <v>0.86033785391387108</v>
      </c>
      <c r="AK34" s="672">
        <f>90400/AK8</f>
        <v>0.79887591795615021</v>
      </c>
      <c r="AL34" s="480">
        <f>SUM(AH34:AK34)/4</f>
        <v>0.85014449034482342</v>
      </c>
      <c r="AM34" s="237">
        <v>0.81</v>
      </c>
      <c r="AN34" s="237">
        <v>0.81</v>
      </c>
      <c r="AO34" s="237">
        <v>0.81</v>
      </c>
      <c r="AP34" s="672">
        <v>0.81</v>
      </c>
      <c r="AQ34" s="480">
        <f>SUM(AM34:AP34)/4</f>
        <v>0.81</v>
      </c>
      <c r="AR34" s="237">
        <v>0.81</v>
      </c>
      <c r="AS34" s="237">
        <v>0.81</v>
      </c>
      <c r="AT34" s="237">
        <v>0.81</v>
      </c>
      <c r="AU34" s="237">
        <v>0.81</v>
      </c>
      <c r="AV34" s="480">
        <f>SUM(AR34:AU34)/4</f>
        <v>0.81</v>
      </c>
      <c r="AW34" s="237">
        <v>0.82</v>
      </c>
      <c r="AX34" s="237">
        <v>0.83</v>
      </c>
      <c r="AY34" s="237">
        <v>0.84</v>
      </c>
      <c r="AZ34" s="237">
        <v>0.82</v>
      </c>
      <c r="BA34" s="480">
        <f>SUM(AW34:AZ34)/4</f>
        <v>0.8274999999999999</v>
      </c>
      <c r="BB34" s="237">
        <v>0.82</v>
      </c>
      <c r="BC34" s="237">
        <v>0.83</v>
      </c>
      <c r="BD34" s="237">
        <v>0.84</v>
      </c>
      <c r="BE34" s="237">
        <v>0.82</v>
      </c>
      <c r="BF34" s="480">
        <f>SUM(BB34:BE34)/4</f>
        <v>0.8274999999999999</v>
      </c>
      <c r="BG34" s="237">
        <v>0.82</v>
      </c>
      <c r="BH34" s="237">
        <v>0.83</v>
      </c>
      <c r="BI34" s="237">
        <v>0.84</v>
      </c>
      <c r="BJ34" s="237">
        <v>0.82</v>
      </c>
      <c r="BK34" s="480">
        <f>SUM(BG34:BJ34)/4</f>
        <v>0.8274999999999999</v>
      </c>
      <c r="BL34" s="237">
        <v>0.82</v>
      </c>
      <c r="BM34" s="237">
        <v>0.83</v>
      </c>
      <c r="BN34" s="237">
        <v>0.84</v>
      </c>
      <c r="BO34" s="237">
        <v>0.82</v>
      </c>
      <c r="BP34" s="480">
        <f>SUM(BL34:BO34)/4</f>
        <v>0.8274999999999999</v>
      </c>
      <c r="BQ34" s="237">
        <v>0.82</v>
      </c>
      <c r="BR34" s="237">
        <v>0.83</v>
      </c>
      <c r="BS34" s="237">
        <v>0.84</v>
      </c>
      <c r="BT34" s="237">
        <v>0.82</v>
      </c>
      <c r="BU34" s="480">
        <f>SUM(BQ34:BT34)/4</f>
        <v>0.8274999999999999</v>
      </c>
    </row>
    <row r="35" spans="1:73" s="106" customFormat="1" ht="12.75" outlineLevel="1">
      <c r="B35" s="227" t="s">
        <v>177</v>
      </c>
      <c r="C35" s="227"/>
      <c r="D35" s="371" t="s">
        <v>340</v>
      </c>
      <c r="E35" s="371" t="s">
        <v>340</v>
      </c>
      <c r="F35" s="371" t="s">
        <v>340</v>
      </c>
      <c r="G35" s="371" t="s">
        <v>340</v>
      </c>
      <c r="H35" s="531">
        <f t="shared" ref="H35:AQ35" si="34">+H34*H8</f>
        <v>40746.400000000001</v>
      </c>
      <c r="I35" s="353">
        <f t="shared" si="34"/>
        <v>19799.64</v>
      </c>
      <c r="J35" s="353">
        <f t="shared" si="34"/>
        <v>20632</v>
      </c>
      <c r="K35" s="353">
        <f t="shared" si="34"/>
        <v>23498.959999999999</v>
      </c>
      <c r="L35" s="353">
        <f t="shared" si="34"/>
        <v>26610.93</v>
      </c>
      <c r="M35" s="531">
        <f t="shared" si="34"/>
        <v>90631.32</v>
      </c>
      <c r="N35" s="353">
        <f t="shared" si="34"/>
        <v>29576.6</v>
      </c>
      <c r="O35" s="353">
        <f t="shared" si="34"/>
        <v>31305.119999999999</v>
      </c>
      <c r="P35" s="353">
        <f t="shared" si="34"/>
        <v>34288.15</v>
      </c>
      <c r="Q35" s="353">
        <f t="shared" si="34"/>
        <v>38278.9</v>
      </c>
      <c r="R35" s="531">
        <f t="shared" si="34"/>
        <v>133427.85750000001</v>
      </c>
      <c r="S35" s="353">
        <f t="shared" si="34"/>
        <v>38910.699999999997</v>
      </c>
      <c r="T35" s="353">
        <f t="shared" si="34"/>
        <v>39852.119999999995</v>
      </c>
      <c r="U35" s="353">
        <f t="shared" si="34"/>
        <v>43448.06</v>
      </c>
      <c r="V35" s="353">
        <f t="shared" si="34"/>
        <v>48494.04</v>
      </c>
      <c r="W35" s="531">
        <f t="shared" si="34"/>
        <v>170799</v>
      </c>
      <c r="X35" s="353">
        <f t="shared" si="34"/>
        <v>46337.75</v>
      </c>
      <c r="Y35" s="353">
        <f t="shared" si="34"/>
        <v>48506.03</v>
      </c>
      <c r="Z35" s="353">
        <f t="shared" si="34"/>
        <v>53010.25</v>
      </c>
      <c r="AA35" s="353">
        <f t="shared" si="34"/>
        <v>56391.399999999994</v>
      </c>
      <c r="AB35" s="531">
        <f t="shared" si="34"/>
        <v>204426.21249999997</v>
      </c>
      <c r="AC35" s="353">
        <f t="shared" si="34"/>
        <v>64600</v>
      </c>
      <c r="AD35" s="353">
        <f t="shared" si="34"/>
        <v>66600</v>
      </c>
      <c r="AE35" s="353">
        <f t="shared" si="34"/>
        <v>72700</v>
      </c>
      <c r="AF35" s="353">
        <f>+AF34*AF8</f>
        <v>79733.759999999995</v>
      </c>
      <c r="AG35" s="531">
        <f t="shared" si="34"/>
        <v>283662.58548578649</v>
      </c>
      <c r="AH35" s="353">
        <f t="shared" si="34"/>
        <v>83400</v>
      </c>
      <c r="AI35" s="353">
        <f t="shared" si="34"/>
        <v>84800</v>
      </c>
      <c r="AJ35" s="353">
        <f t="shared" si="34"/>
        <v>90400</v>
      </c>
      <c r="AK35" s="353">
        <f t="shared" si="34"/>
        <v>90400</v>
      </c>
      <c r="AL35" s="531">
        <f t="shared" si="34"/>
        <v>349822.55575403001</v>
      </c>
      <c r="AM35" s="353">
        <f t="shared" si="34"/>
        <v>95135.310000000012</v>
      </c>
      <c r="AN35" s="353">
        <f t="shared" si="34"/>
        <v>102401.01000000001</v>
      </c>
      <c r="AO35" s="353">
        <f t="shared" si="34"/>
        <v>113314.14000000001</v>
      </c>
      <c r="AP35" s="353">
        <f t="shared" si="34"/>
        <v>122826.78000000001</v>
      </c>
      <c r="AQ35" s="531">
        <f t="shared" si="34"/>
        <v>433677.24000000005</v>
      </c>
      <c r="AR35" s="353">
        <f t="shared" ref="AR35:BP35" si="35">+AR34*AR8</f>
        <v>127481.04000000001</v>
      </c>
      <c r="AS35" s="353">
        <f t="shared" si="35"/>
        <v>135638.55000000002</v>
      </c>
      <c r="AT35" s="353">
        <f t="shared" si="35"/>
        <v>142369.65000000002</v>
      </c>
      <c r="AU35" s="353">
        <f t="shared" si="35"/>
        <v>149427.99000000002</v>
      </c>
      <c r="AV35" s="531">
        <f t="shared" si="35"/>
        <v>554917.23</v>
      </c>
      <c r="AW35" s="353">
        <f t="shared" si="35"/>
        <v>150202.68</v>
      </c>
      <c r="AX35" s="353">
        <f t="shared" si="35"/>
        <v>158050.25999999998</v>
      </c>
      <c r="AY35" s="353">
        <f t="shared" si="35"/>
        <v>167028.12</v>
      </c>
      <c r="AZ35" s="353">
        <f t="shared" si="35"/>
        <v>168319.75999999998</v>
      </c>
      <c r="BA35" s="531">
        <f t="shared" si="35"/>
        <v>643552.54249999998</v>
      </c>
      <c r="BB35" s="353">
        <f t="shared" si="35"/>
        <v>168182.81999999998</v>
      </c>
      <c r="BC35" s="353">
        <f t="shared" si="35"/>
        <v>172632.53</v>
      </c>
      <c r="BD35" s="353">
        <f t="shared" si="35"/>
        <v>180309.36</v>
      </c>
      <c r="BE35" s="353">
        <f t="shared" si="35"/>
        <v>177334.02</v>
      </c>
      <c r="BF35" s="531">
        <f t="shared" si="35"/>
        <v>698415.79249999986</v>
      </c>
      <c r="BG35" s="353">
        <f t="shared" si="35"/>
        <v>172407.46</v>
      </c>
      <c r="BH35" s="353">
        <f t="shared" si="35"/>
        <v>177780.19</v>
      </c>
      <c r="BI35" s="353">
        <f t="shared" si="35"/>
        <v>183086.4</v>
      </c>
      <c r="BJ35" s="353">
        <f t="shared" si="35"/>
        <v>178258.16</v>
      </c>
      <c r="BK35" s="531">
        <f t="shared" si="35"/>
        <v>711479.53499999992</v>
      </c>
      <c r="BL35" s="353">
        <f t="shared" si="35"/>
        <v>170535.17449999999</v>
      </c>
      <c r="BM35" s="353">
        <f t="shared" si="35"/>
        <v>173415.0374</v>
      </c>
      <c r="BN35" s="353">
        <f t="shared" si="35"/>
        <v>176609.24400000001</v>
      </c>
      <c r="BO35" s="353">
        <f t="shared" si="35"/>
        <v>173611.77759999997</v>
      </c>
      <c r="BP35" s="531">
        <f t="shared" si="35"/>
        <v>694168.47083749995</v>
      </c>
      <c r="BQ35" s="353">
        <f t="shared" ref="BQ35:BU35" si="36">+BQ34*BQ8</f>
        <v>173448.52502999999</v>
      </c>
      <c r="BR35" s="353">
        <f t="shared" si="36"/>
        <v>176385.46563600001</v>
      </c>
      <c r="BS35" s="353">
        <f t="shared" si="36"/>
        <v>179495.55489599999</v>
      </c>
      <c r="BT35" s="353">
        <f t="shared" si="36"/>
        <v>176419.06334399999</v>
      </c>
      <c r="BU35" s="531">
        <f t="shared" si="36"/>
        <v>705746.27100824995</v>
      </c>
    </row>
    <row r="36" spans="1:73" s="106" customFormat="1" ht="12.75" outlineLevel="1">
      <c r="B36" s="227" t="s">
        <v>126</v>
      </c>
      <c r="C36" s="227"/>
      <c r="D36" s="371" t="s">
        <v>340</v>
      </c>
      <c r="E36" s="371" t="s">
        <v>340</v>
      </c>
      <c r="F36" s="371" t="s">
        <v>340</v>
      </c>
      <c r="G36" s="371" t="s">
        <v>340</v>
      </c>
      <c r="H36" s="533" t="s">
        <v>340</v>
      </c>
      <c r="I36" s="371" t="s">
        <v>340</v>
      </c>
      <c r="J36" s="371" t="s">
        <v>340</v>
      </c>
      <c r="K36" s="371" t="s">
        <v>340</v>
      </c>
      <c r="L36" s="371" t="s">
        <v>340</v>
      </c>
      <c r="M36" s="502">
        <f t="shared" ref="M36:AQ36" si="37">+M35/H35-1</f>
        <v>1.2242779730233839</v>
      </c>
      <c r="N36" s="233">
        <f t="shared" si="37"/>
        <v>0.49379483667379809</v>
      </c>
      <c r="O36" s="233">
        <f t="shared" si="37"/>
        <v>0.51730903450949972</v>
      </c>
      <c r="P36" s="233">
        <f t="shared" si="37"/>
        <v>0.45913478724164825</v>
      </c>
      <c r="Q36" s="233">
        <f t="shared" si="37"/>
        <v>0.43846532233183888</v>
      </c>
      <c r="R36" s="502">
        <f t="shared" si="37"/>
        <v>0.47220472459189611</v>
      </c>
      <c r="S36" s="233">
        <f t="shared" si="37"/>
        <v>0.31559070346152018</v>
      </c>
      <c r="T36" s="233">
        <f t="shared" si="37"/>
        <v>0.27302243211334121</v>
      </c>
      <c r="U36" s="233">
        <f t="shared" si="37"/>
        <v>0.26714506323613252</v>
      </c>
      <c r="V36" s="233">
        <f t="shared" si="37"/>
        <v>0.26686085545822902</v>
      </c>
      <c r="W36" s="502">
        <f t="shared" si="37"/>
        <v>0.28008500773535983</v>
      </c>
      <c r="X36" s="233">
        <f t="shared" si="37"/>
        <v>0.19087423253757962</v>
      </c>
      <c r="Y36" s="233">
        <f t="shared" si="37"/>
        <v>0.21715055560406826</v>
      </c>
      <c r="Z36" s="233">
        <f t="shared" si="37"/>
        <v>0.22008324422310221</v>
      </c>
      <c r="AA36" s="233">
        <f t="shared" si="37"/>
        <v>0.16285217729848855</v>
      </c>
      <c r="AB36" s="502">
        <f t="shared" si="37"/>
        <v>0.19688178794957789</v>
      </c>
      <c r="AC36" s="233">
        <f t="shared" si="37"/>
        <v>0.39411171237274134</v>
      </c>
      <c r="AD36" s="233">
        <f t="shared" si="37"/>
        <v>0.37302516821104503</v>
      </c>
      <c r="AE36" s="233">
        <f t="shared" si="37"/>
        <v>0.37143288326314261</v>
      </c>
      <c r="AF36" s="233">
        <f t="shared" si="37"/>
        <v>0.41393474891561488</v>
      </c>
      <c r="AG36" s="502">
        <f t="shared" si="37"/>
        <v>0.38760378141715335</v>
      </c>
      <c r="AH36" s="233">
        <f t="shared" si="37"/>
        <v>0.29102167182662542</v>
      </c>
      <c r="AI36" s="233">
        <f t="shared" si="37"/>
        <v>0.27327327327327322</v>
      </c>
      <c r="AJ36" s="233">
        <f t="shared" si="37"/>
        <v>0.24346629986244839</v>
      </c>
      <c r="AK36" s="233">
        <f t="shared" si="37"/>
        <v>0.13377319720028269</v>
      </c>
      <c r="AL36" s="502">
        <f t="shared" si="37"/>
        <v>0.23323474315423454</v>
      </c>
      <c r="AM36" s="233">
        <f t="shared" si="37"/>
        <v>0.14071115107913679</v>
      </c>
      <c r="AN36" s="233">
        <f t="shared" si="37"/>
        <v>0.2075590801886793</v>
      </c>
      <c r="AO36" s="233">
        <f t="shared" si="37"/>
        <v>0.25347500000000012</v>
      </c>
      <c r="AP36" s="233">
        <f t="shared" si="37"/>
        <v>0.3587033185840709</v>
      </c>
      <c r="AQ36" s="502">
        <f t="shared" si="37"/>
        <v>0.23970633930457752</v>
      </c>
      <c r="AR36" s="233">
        <f t="shared" ref="AR36:BP36" si="38">+AR35/AM35-1</f>
        <v>0.3399971051757753</v>
      </c>
      <c r="AS36" s="233">
        <f t="shared" si="38"/>
        <v>0.32458215011746461</v>
      </c>
      <c r="AT36" s="233">
        <f t="shared" si="38"/>
        <v>0.25641557179006957</v>
      </c>
      <c r="AU36" s="233">
        <f t="shared" si="38"/>
        <v>0.21657500098919802</v>
      </c>
      <c r="AV36" s="502">
        <f t="shared" si="38"/>
        <v>0.27956272272900451</v>
      </c>
      <c r="AW36" s="233">
        <f t="shared" si="38"/>
        <v>0.17823544583571005</v>
      </c>
      <c r="AX36" s="233">
        <f t="shared" si="38"/>
        <v>0.16523112345273483</v>
      </c>
      <c r="AY36" s="233">
        <f t="shared" si="38"/>
        <v>0.17320032745743186</v>
      </c>
      <c r="AZ36" s="233">
        <f t="shared" si="38"/>
        <v>0.12642725101234342</v>
      </c>
      <c r="BA36" s="502">
        <f t="shared" si="38"/>
        <v>0.15972708668642355</v>
      </c>
      <c r="BB36" s="233">
        <f t="shared" si="38"/>
        <v>0.11970585345081708</v>
      </c>
      <c r="BC36" s="233">
        <f t="shared" si="38"/>
        <v>9.2263498965455826E-2</v>
      </c>
      <c r="BD36" s="233">
        <f t="shared" si="38"/>
        <v>7.9514994241688175E-2</v>
      </c>
      <c r="BE36" s="233">
        <f t="shared" si="38"/>
        <v>5.3554377691603205E-2</v>
      </c>
      <c r="BF36" s="502">
        <f t="shared" si="38"/>
        <v>8.5250614948817249E-2</v>
      </c>
      <c r="BG36" s="233">
        <f t="shared" si="38"/>
        <v>2.5119331451333826E-2</v>
      </c>
      <c r="BH36" s="233">
        <f t="shared" si="38"/>
        <v>2.9818597920102441E-2</v>
      </c>
      <c r="BI36" s="233">
        <f t="shared" si="38"/>
        <v>1.5401529903938505E-2</v>
      </c>
      <c r="BJ36" s="233">
        <f t="shared" si="38"/>
        <v>5.2112956103966823E-3</v>
      </c>
      <c r="BK36" s="502">
        <f t="shared" si="38"/>
        <v>1.8704821168544994E-2</v>
      </c>
      <c r="BL36" s="233">
        <f t="shared" si="38"/>
        <v>-1.0859654796840035E-2</v>
      </c>
      <c r="BM36" s="233">
        <f t="shared" si="38"/>
        <v>-2.4553650212658651E-2</v>
      </c>
      <c r="BN36" s="233">
        <f t="shared" si="38"/>
        <v>-3.5377592218755693E-2</v>
      </c>
      <c r="BO36" s="233">
        <f t="shared" si="38"/>
        <v>-2.6065468195116792E-2</v>
      </c>
      <c r="BP36" s="502">
        <f t="shared" si="38"/>
        <v>-2.433107814197355E-2</v>
      </c>
      <c r="BQ36" s="233">
        <f t="shared" ref="BQ36" si="39">+BQ35/BL35-1</f>
        <v>1.7083575506002147E-2</v>
      </c>
      <c r="BR36" s="233">
        <f t="shared" ref="BR36" si="40">+BR35/BM35-1</f>
        <v>1.7129011881180656E-2</v>
      </c>
      <c r="BS36" s="233">
        <f t="shared" ref="BS36" si="41">+BS35/BN35-1</f>
        <v>1.6342920849601539E-2</v>
      </c>
      <c r="BT36" s="233">
        <f t="shared" ref="BT36" si="42">+BT35/BO35-1</f>
        <v>1.616990380956751E-2</v>
      </c>
      <c r="BU36" s="502">
        <f t="shared" ref="BU36" si="43">+BU35/BP35-1</f>
        <v>1.6678660378771859E-2</v>
      </c>
    </row>
    <row r="37" spans="1:73" s="106" customFormat="1" ht="12.75" outlineLevel="1">
      <c r="B37" s="227" t="s">
        <v>141</v>
      </c>
      <c r="C37" s="227"/>
      <c r="D37" s="371" t="s">
        <v>340</v>
      </c>
      <c r="E37" s="371" t="s">
        <v>340</v>
      </c>
      <c r="F37" s="371" t="s">
        <v>340</v>
      </c>
      <c r="G37" s="371" t="s">
        <v>340</v>
      </c>
      <c r="H37" s="502"/>
      <c r="I37" s="371" t="s">
        <v>340</v>
      </c>
      <c r="J37" s="233">
        <f>+J35/I35-1</f>
        <v>4.203914818653276E-2</v>
      </c>
      <c r="K37" s="233">
        <f>+K35/J35-1</f>
        <v>0.1389569600620395</v>
      </c>
      <c r="L37" s="233">
        <f>+L35/K35-1</f>
        <v>0.13243011605620003</v>
      </c>
      <c r="M37" s="502"/>
      <c r="N37" s="233">
        <f>+N35/L35-1</f>
        <v>0.11144556015141149</v>
      </c>
      <c r="O37" s="233">
        <f>+O35/N35-1</f>
        <v>5.8442146832293096E-2</v>
      </c>
      <c r="P37" s="233">
        <f>+P35/O35-1</f>
        <v>9.5288885651931832E-2</v>
      </c>
      <c r="Q37" s="233">
        <f>+Q35/P35-1</f>
        <v>0.11638860655940908</v>
      </c>
      <c r="R37" s="502"/>
      <c r="S37" s="233">
        <f>+S35/Q35-1</f>
        <v>1.6505176481037775E-2</v>
      </c>
      <c r="T37" s="233">
        <f>+T35/S35-1</f>
        <v>2.4194373270077341E-2</v>
      </c>
      <c r="U37" s="233">
        <f>+U35/T35-1</f>
        <v>9.0232088029444935E-2</v>
      </c>
      <c r="V37" s="233">
        <f>+V35/U35-1</f>
        <v>0.11613821192476736</v>
      </c>
      <c r="W37" s="502"/>
      <c r="X37" s="233">
        <f>+X35/V35-1</f>
        <v>-4.4465051787807353E-2</v>
      </c>
      <c r="Y37" s="233">
        <f>+Y35/X35-1</f>
        <v>4.6792949592934452E-2</v>
      </c>
      <c r="Z37" s="233">
        <f>+Z35/Y35-1</f>
        <v>9.2858970317710954E-2</v>
      </c>
      <c r="AA37" s="233">
        <f>+AA35/Z35-1</f>
        <v>6.3782947637485155E-2</v>
      </c>
      <c r="AB37" s="502"/>
      <c r="AC37" s="233">
        <f>+AC35/AA35-1</f>
        <v>0.14556474923481244</v>
      </c>
      <c r="AD37" s="233">
        <f>+AD35/AC35-1</f>
        <v>3.0959752321981338E-2</v>
      </c>
      <c r="AE37" s="233">
        <f>+AE35/AD35-1</f>
        <v>9.1591591591591692E-2</v>
      </c>
      <c r="AF37" s="233">
        <f>+AF35/AE35-1</f>
        <v>9.6750481430536439E-2</v>
      </c>
      <c r="AG37" s="502"/>
      <c r="AH37" s="233">
        <f>+AH35/AF35-1</f>
        <v>4.5981024850703101E-2</v>
      </c>
      <c r="AI37" s="233">
        <f>+AI35/AH35-1</f>
        <v>1.6786570743405171E-2</v>
      </c>
      <c r="AJ37" s="233">
        <f>+AJ35/AI35-1</f>
        <v>6.60377358490567E-2</v>
      </c>
      <c r="AK37" s="233">
        <f>+AK35/AJ35-1</f>
        <v>0</v>
      </c>
      <c r="AL37" s="502"/>
      <c r="AM37" s="233">
        <f>+AM35/AK35-1</f>
        <v>5.2381747787610733E-2</v>
      </c>
      <c r="AN37" s="233">
        <f>+AN35/AM35-1</f>
        <v>7.6372274395279716E-2</v>
      </c>
      <c r="AO37" s="233">
        <f>+AO35/AN35-1</f>
        <v>0.10657248400186692</v>
      </c>
      <c r="AP37" s="233">
        <f>+AP35/AO35-1</f>
        <v>8.3949275880309315E-2</v>
      </c>
      <c r="AQ37" s="502"/>
      <c r="AR37" s="233">
        <f>+AR35/AP35-1</f>
        <v>3.7892876455769553E-2</v>
      </c>
      <c r="AS37" s="233">
        <f>+AS35/AR35-1</f>
        <v>6.3989986275606148E-2</v>
      </c>
      <c r="AT37" s="233">
        <f>+AT35/AS35-1</f>
        <v>4.9625272461258252E-2</v>
      </c>
      <c r="AU37" s="233">
        <f>+AU35/AT35-1</f>
        <v>4.9577560947856369E-2</v>
      </c>
      <c r="AV37" s="502"/>
      <c r="AW37" s="233">
        <f>+AW35/AU35-1</f>
        <v>5.1843700768507972E-3</v>
      </c>
      <c r="AX37" s="233">
        <f>+AX35/AW35-1</f>
        <v>5.2246604388150653E-2</v>
      </c>
      <c r="AY37" s="233">
        <f>+AY35/AX35-1</f>
        <v>5.6803829364153069E-2</v>
      </c>
      <c r="AZ37" s="233">
        <f>+AZ35/AY35-1</f>
        <v>7.7330691382984096E-3</v>
      </c>
      <c r="BA37" s="502"/>
      <c r="BB37" s="233">
        <f>+BB35/AZ35-1</f>
        <v>-8.1357055166908498E-4</v>
      </c>
      <c r="BC37" s="233">
        <f>+BC35/BB35-1</f>
        <v>2.6457577533781418E-2</v>
      </c>
      <c r="BD37" s="233">
        <f>+BD35/BC35-1</f>
        <v>4.4469197085856171E-2</v>
      </c>
      <c r="BE37" s="233">
        <f>+BE35/BD35-1</f>
        <v>-1.6501306421363826E-2</v>
      </c>
      <c r="BF37" s="502"/>
      <c r="BG37" s="233">
        <f>+BG35/BE35-1</f>
        <v>-2.778124580946173E-2</v>
      </c>
      <c r="BH37" s="233">
        <f>+BH35/BG35-1</f>
        <v>3.1162978678532793E-2</v>
      </c>
      <c r="BI37" s="233">
        <f>+BI35/BH35-1</f>
        <v>2.9847026263162268E-2</v>
      </c>
      <c r="BJ37" s="233">
        <f>+BJ35/BI35-1</f>
        <v>-2.6371374389359326E-2</v>
      </c>
      <c r="BK37" s="502"/>
      <c r="BL37" s="233">
        <f>+BL35/BJ35-1</f>
        <v>-4.3324723535797749E-2</v>
      </c>
      <c r="BM37" s="233">
        <f>+BM35/BL35-1</f>
        <v>1.6887207630001289E-2</v>
      </c>
      <c r="BN37" s="233">
        <f>+BN35/BM35-1</f>
        <v>1.841943263912138E-2</v>
      </c>
      <c r="BO37" s="233">
        <f>+BO35/BN35-1</f>
        <v>-1.6972307519758312E-2</v>
      </c>
      <c r="BP37" s="502"/>
      <c r="BQ37" s="233">
        <f>+BQ35/BO35-1</f>
        <v>-9.4033119329106629E-4</v>
      </c>
      <c r="BR37" s="233">
        <f>+BR35/BQ35-1</f>
        <v>1.6932635232799198E-2</v>
      </c>
      <c r="BS37" s="233">
        <f>+BS35/BR35-1</f>
        <v>1.7632344302212166E-2</v>
      </c>
      <c r="BT37" s="233">
        <f>+BT35/BS35-1</f>
        <v>-1.7139653145073819E-2</v>
      </c>
      <c r="BU37" s="502"/>
    </row>
    <row r="38" spans="1:73" s="106" customFormat="1" ht="12.75" outlineLevel="1">
      <c r="B38" s="227"/>
      <c r="C38" s="227"/>
      <c r="D38" s="228"/>
      <c r="E38" s="228"/>
      <c r="F38" s="228"/>
      <c r="G38" s="228"/>
      <c r="H38" s="526"/>
      <c r="I38" s="228"/>
      <c r="J38" s="228"/>
      <c r="K38" s="228"/>
      <c r="L38" s="228"/>
      <c r="M38" s="526"/>
      <c r="N38" s="228"/>
      <c r="O38" s="228"/>
      <c r="P38" s="228"/>
      <c r="Q38" s="228"/>
      <c r="R38" s="526"/>
      <c r="S38" s="228"/>
      <c r="T38" s="228"/>
      <c r="U38" s="228"/>
      <c r="V38" s="228"/>
      <c r="W38" s="526"/>
      <c r="X38" s="228"/>
      <c r="Y38" s="228"/>
      <c r="Z38" s="228"/>
      <c r="AA38" s="228"/>
      <c r="AB38" s="526"/>
      <c r="AC38" s="228"/>
      <c r="AD38" s="228"/>
      <c r="AE38" s="228"/>
      <c r="AF38" s="228"/>
      <c r="AG38" s="526"/>
      <c r="AH38" s="228"/>
      <c r="AI38" s="228"/>
      <c r="AJ38" s="228"/>
      <c r="AK38" s="228"/>
      <c r="AL38" s="526"/>
      <c r="AM38" s="228"/>
      <c r="AN38" s="228"/>
      <c r="AO38" s="228"/>
      <c r="AP38" s="228"/>
      <c r="AQ38" s="526"/>
      <c r="AR38" s="228"/>
      <c r="AS38" s="228"/>
      <c r="AT38" s="228"/>
      <c r="AU38" s="228"/>
      <c r="AV38" s="526"/>
      <c r="AW38" s="228"/>
      <c r="AX38" s="228"/>
      <c r="AY38" s="228"/>
      <c r="AZ38" s="228"/>
      <c r="BA38" s="526"/>
      <c r="BB38" s="228"/>
      <c r="BC38" s="228"/>
      <c r="BD38" s="228"/>
      <c r="BE38" s="228"/>
      <c r="BF38" s="526"/>
      <c r="BG38" s="228"/>
      <c r="BH38" s="228"/>
      <c r="BI38" s="228"/>
      <c r="BJ38" s="228"/>
      <c r="BK38" s="526"/>
      <c r="BL38" s="228"/>
      <c r="BM38" s="228"/>
      <c r="BN38" s="228"/>
      <c r="BO38" s="228"/>
      <c r="BP38" s="526"/>
      <c r="BQ38" s="228"/>
      <c r="BR38" s="228"/>
      <c r="BS38" s="228"/>
      <c r="BT38" s="228"/>
      <c r="BU38" s="526"/>
    </row>
    <row r="39" spans="1:73" s="112" customFormat="1" ht="13.15" outlineLevel="1">
      <c r="B39" s="231" t="s">
        <v>172</v>
      </c>
      <c r="C39" s="238"/>
      <c r="D39" s="416" t="s">
        <v>340</v>
      </c>
      <c r="E39" s="416" t="s">
        <v>340</v>
      </c>
      <c r="F39" s="416" t="s">
        <v>340</v>
      </c>
      <c r="G39" s="416" t="s">
        <v>340</v>
      </c>
      <c r="H39" s="532">
        <f t="shared" ref="H39:AQ39" si="44">+H35+H30</f>
        <v>76880</v>
      </c>
      <c r="I39" s="351">
        <f t="shared" si="44"/>
        <v>23571</v>
      </c>
      <c r="J39" s="351">
        <f t="shared" si="44"/>
        <v>25790</v>
      </c>
      <c r="K39" s="351">
        <f t="shared" si="44"/>
        <v>28312</v>
      </c>
      <c r="L39" s="351">
        <f t="shared" si="44"/>
        <v>32853</v>
      </c>
      <c r="M39" s="532">
        <f t="shared" si="44"/>
        <v>110526</v>
      </c>
      <c r="N39" s="351">
        <f t="shared" si="44"/>
        <v>34796</v>
      </c>
      <c r="O39" s="351">
        <f t="shared" si="44"/>
        <v>37268</v>
      </c>
      <c r="P39" s="351">
        <f t="shared" si="44"/>
        <v>40339</v>
      </c>
      <c r="Q39" s="351">
        <f t="shared" si="44"/>
        <v>45034</v>
      </c>
      <c r="R39" s="532">
        <f t="shared" si="44"/>
        <v>157437</v>
      </c>
      <c r="S39" s="351">
        <f t="shared" si="44"/>
        <v>45245</v>
      </c>
      <c r="T39" s="351">
        <f t="shared" si="44"/>
        <v>47443</v>
      </c>
      <c r="U39" s="351">
        <f t="shared" si="44"/>
        <v>50521</v>
      </c>
      <c r="V39" s="351">
        <f t="shared" si="44"/>
        <v>57731</v>
      </c>
      <c r="W39" s="532">
        <f t="shared" si="44"/>
        <v>200940</v>
      </c>
      <c r="X39" s="351">
        <f t="shared" si="44"/>
        <v>54515</v>
      </c>
      <c r="Y39" s="351">
        <f t="shared" si="44"/>
        <v>58441</v>
      </c>
      <c r="Z39" s="351">
        <f t="shared" si="44"/>
        <v>62365</v>
      </c>
      <c r="AA39" s="351">
        <f t="shared" si="44"/>
        <v>68770</v>
      </c>
      <c r="AB39" s="532">
        <f t="shared" si="44"/>
        <v>244091</v>
      </c>
      <c r="AC39" s="351">
        <f t="shared" si="44"/>
        <v>73185</v>
      </c>
      <c r="AD39" s="351">
        <f t="shared" si="44"/>
        <v>78959</v>
      </c>
      <c r="AE39" s="351">
        <f t="shared" si="44"/>
        <v>83155</v>
      </c>
      <c r="AF39" s="351">
        <f t="shared" si="44"/>
        <v>91648</v>
      </c>
      <c r="AG39" s="532">
        <f t="shared" si="44"/>
        <v>326947</v>
      </c>
      <c r="AH39" s="351">
        <f t="shared" si="44"/>
        <v>94340</v>
      </c>
      <c r="AI39" s="351">
        <f t="shared" si="44"/>
        <v>98912</v>
      </c>
      <c r="AJ39" s="351">
        <f t="shared" si="44"/>
        <v>105075</v>
      </c>
      <c r="AK39" s="351">
        <f t="shared" si="44"/>
        <v>113159</v>
      </c>
      <c r="AL39" s="532">
        <f t="shared" si="44"/>
        <v>411486</v>
      </c>
      <c r="AM39" s="351">
        <f t="shared" si="44"/>
        <v>117451</v>
      </c>
      <c r="AN39" s="351">
        <f t="shared" si="44"/>
        <v>126421</v>
      </c>
      <c r="AO39" s="351">
        <f t="shared" si="44"/>
        <v>139894</v>
      </c>
      <c r="AP39" s="351">
        <f t="shared" si="44"/>
        <v>151638</v>
      </c>
      <c r="AQ39" s="532">
        <f t="shared" si="44"/>
        <v>535404</v>
      </c>
      <c r="AR39" s="351">
        <f t="shared" ref="AR39:BP39" si="45">+AR35+AR30</f>
        <v>157384</v>
      </c>
      <c r="AS39" s="351">
        <f t="shared" si="45"/>
        <v>167455</v>
      </c>
      <c r="AT39" s="351">
        <f t="shared" si="45"/>
        <v>175765</v>
      </c>
      <c r="AU39" s="351">
        <f t="shared" si="45"/>
        <v>184479</v>
      </c>
      <c r="AV39" s="532">
        <f t="shared" si="45"/>
        <v>685083</v>
      </c>
      <c r="AW39" s="351">
        <f t="shared" si="45"/>
        <v>183174</v>
      </c>
      <c r="AX39" s="351">
        <f t="shared" si="45"/>
        <v>190422</v>
      </c>
      <c r="AY39" s="351">
        <f t="shared" si="45"/>
        <v>198843</v>
      </c>
      <c r="AZ39" s="351">
        <f t="shared" si="45"/>
        <v>205268</v>
      </c>
      <c r="BA39" s="532">
        <f t="shared" si="45"/>
        <v>777707</v>
      </c>
      <c r="BB39" s="351">
        <f t="shared" si="45"/>
        <v>205101</v>
      </c>
      <c r="BC39" s="351">
        <f t="shared" si="45"/>
        <v>207991</v>
      </c>
      <c r="BD39" s="351">
        <f t="shared" si="45"/>
        <v>214654</v>
      </c>
      <c r="BE39" s="351">
        <f t="shared" si="45"/>
        <v>216261</v>
      </c>
      <c r="BF39" s="532">
        <f t="shared" si="45"/>
        <v>844007</v>
      </c>
      <c r="BG39" s="351">
        <f t="shared" si="45"/>
        <v>210253</v>
      </c>
      <c r="BH39" s="351">
        <f t="shared" si="45"/>
        <v>214193</v>
      </c>
      <c r="BI39" s="351">
        <f t="shared" si="45"/>
        <v>217960</v>
      </c>
      <c r="BJ39" s="351">
        <f t="shared" si="45"/>
        <v>217388</v>
      </c>
      <c r="BK39" s="532">
        <f t="shared" si="45"/>
        <v>859794</v>
      </c>
      <c r="BL39" s="351">
        <f t="shared" si="45"/>
        <v>207969.72500000001</v>
      </c>
      <c r="BM39" s="351">
        <f t="shared" si="45"/>
        <v>208933.78</v>
      </c>
      <c r="BN39" s="351">
        <f t="shared" si="45"/>
        <v>210249.1</v>
      </c>
      <c r="BO39" s="351">
        <f t="shared" si="45"/>
        <v>211721.68</v>
      </c>
      <c r="BP39" s="532">
        <f t="shared" si="45"/>
        <v>838874.28500000003</v>
      </c>
      <c r="BQ39" s="351">
        <f t="shared" ref="BQ39:BU39" si="46">+BQ35+BQ30</f>
        <v>211522.59150000001</v>
      </c>
      <c r="BR39" s="351">
        <f t="shared" si="46"/>
        <v>212512.60920000001</v>
      </c>
      <c r="BS39" s="351">
        <f t="shared" si="46"/>
        <v>213685.1844</v>
      </c>
      <c r="BT39" s="351">
        <f t="shared" si="46"/>
        <v>215145.1992</v>
      </c>
      <c r="BU39" s="532">
        <f t="shared" si="46"/>
        <v>852865.58429999999</v>
      </c>
    </row>
    <row r="40" spans="1:73" s="106" customFormat="1" ht="12.75" outlineLevel="1">
      <c r="B40" s="227" t="s">
        <v>179</v>
      </c>
      <c r="C40" s="235"/>
      <c r="D40" s="371" t="s">
        <v>340</v>
      </c>
      <c r="E40" s="371" t="s">
        <v>340</v>
      </c>
      <c r="F40" s="371" t="s">
        <v>340</v>
      </c>
      <c r="G40" s="371" t="s">
        <v>340</v>
      </c>
      <c r="H40" s="531">
        <f t="shared" ref="H40:AQ40" si="47">+H8</f>
        <v>76880</v>
      </c>
      <c r="I40" s="353">
        <f t="shared" si="47"/>
        <v>23571</v>
      </c>
      <c r="J40" s="353">
        <f t="shared" si="47"/>
        <v>25790</v>
      </c>
      <c r="K40" s="353">
        <f t="shared" si="47"/>
        <v>28312</v>
      </c>
      <c r="L40" s="353">
        <f t="shared" si="47"/>
        <v>32853</v>
      </c>
      <c r="M40" s="531">
        <f t="shared" si="47"/>
        <v>110526</v>
      </c>
      <c r="N40" s="353">
        <f t="shared" si="47"/>
        <v>34796</v>
      </c>
      <c r="O40" s="353">
        <f t="shared" si="47"/>
        <v>37268</v>
      </c>
      <c r="P40" s="353">
        <f t="shared" si="47"/>
        <v>40339</v>
      </c>
      <c r="Q40" s="353">
        <f t="shared" si="47"/>
        <v>45034</v>
      </c>
      <c r="R40" s="531">
        <f t="shared" si="47"/>
        <v>157437</v>
      </c>
      <c r="S40" s="353">
        <f t="shared" si="47"/>
        <v>45245</v>
      </c>
      <c r="T40" s="353">
        <f t="shared" si="47"/>
        <v>47443</v>
      </c>
      <c r="U40" s="353">
        <f t="shared" si="47"/>
        <v>50521</v>
      </c>
      <c r="V40" s="353">
        <f t="shared" si="47"/>
        <v>57731</v>
      </c>
      <c r="W40" s="531">
        <f t="shared" si="47"/>
        <v>200940</v>
      </c>
      <c r="X40" s="353">
        <f t="shared" si="47"/>
        <v>54515</v>
      </c>
      <c r="Y40" s="353">
        <f t="shared" si="47"/>
        <v>58441</v>
      </c>
      <c r="Z40" s="353">
        <f t="shared" si="47"/>
        <v>62365</v>
      </c>
      <c r="AA40" s="353">
        <f t="shared" si="47"/>
        <v>68770</v>
      </c>
      <c r="AB40" s="531">
        <f t="shared" si="47"/>
        <v>244091</v>
      </c>
      <c r="AC40" s="353">
        <f t="shared" si="47"/>
        <v>73185</v>
      </c>
      <c r="AD40" s="353">
        <f t="shared" si="47"/>
        <v>78959</v>
      </c>
      <c r="AE40" s="353">
        <f t="shared" si="47"/>
        <v>83155</v>
      </c>
      <c r="AF40" s="353">
        <f t="shared" si="47"/>
        <v>91648</v>
      </c>
      <c r="AG40" s="531">
        <f t="shared" si="47"/>
        <v>326947</v>
      </c>
      <c r="AH40" s="353">
        <f t="shared" si="47"/>
        <v>94340</v>
      </c>
      <c r="AI40" s="353">
        <f t="shared" si="47"/>
        <v>98912</v>
      </c>
      <c r="AJ40" s="353">
        <f t="shared" si="47"/>
        <v>105075</v>
      </c>
      <c r="AK40" s="353">
        <f t="shared" si="47"/>
        <v>113159</v>
      </c>
      <c r="AL40" s="531">
        <f t="shared" si="47"/>
        <v>411486</v>
      </c>
      <c r="AM40" s="353">
        <f t="shared" si="47"/>
        <v>117451</v>
      </c>
      <c r="AN40" s="353">
        <f t="shared" si="47"/>
        <v>126421</v>
      </c>
      <c r="AO40" s="353">
        <f t="shared" si="47"/>
        <v>139894</v>
      </c>
      <c r="AP40" s="353">
        <f t="shared" si="47"/>
        <v>151638</v>
      </c>
      <c r="AQ40" s="531">
        <f t="shared" si="47"/>
        <v>535404</v>
      </c>
      <c r="AR40" s="353">
        <f t="shared" ref="AR40:BP40" si="48">+AR8</f>
        <v>157384</v>
      </c>
      <c r="AS40" s="353">
        <f t="shared" si="48"/>
        <v>167455</v>
      </c>
      <c r="AT40" s="353">
        <f t="shared" si="48"/>
        <v>175765</v>
      </c>
      <c r="AU40" s="353">
        <f t="shared" si="48"/>
        <v>184479</v>
      </c>
      <c r="AV40" s="531">
        <f t="shared" si="48"/>
        <v>685083</v>
      </c>
      <c r="AW40" s="353">
        <f t="shared" si="48"/>
        <v>183174</v>
      </c>
      <c r="AX40" s="353">
        <f t="shared" si="48"/>
        <v>190422</v>
      </c>
      <c r="AY40" s="353">
        <f t="shared" si="48"/>
        <v>198843</v>
      </c>
      <c r="AZ40" s="353">
        <f t="shared" si="48"/>
        <v>205268</v>
      </c>
      <c r="BA40" s="531">
        <f t="shared" si="48"/>
        <v>777707</v>
      </c>
      <c r="BB40" s="353">
        <f t="shared" si="48"/>
        <v>205101</v>
      </c>
      <c r="BC40" s="353">
        <f t="shared" si="48"/>
        <v>207991</v>
      </c>
      <c r="BD40" s="353">
        <f t="shared" si="48"/>
        <v>214654</v>
      </c>
      <c r="BE40" s="353">
        <f t="shared" si="48"/>
        <v>216261</v>
      </c>
      <c r="BF40" s="531">
        <f t="shared" si="48"/>
        <v>844007</v>
      </c>
      <c r="BG40" s="353">
        <f t="shared" si="48"/>
        <v>210253</v>
      </c>
      <c r="BH40" s="353">
        <f t="shared" si="48"/>
        <v>214193</v>
      </c>
      <c r="BI40" s="353">
        <f t="shared" si="48"/>
        <v>217960</v>
      </c>
      <c r="BJ40" s="353">
        <f t="shared" si="48"/>
        <v>217388</v>
      </c>
      <c r="BK40" s="531">
        <f t="shared" si="48"/>
        <v>859794</v>
      </c>
      <c r="BL40" s="353">
        <f t="shared" si="48"/>
        <v>207969.72500000001</v>
      </c>
      <c r="BM40" s="353">
        <f t="shared" si="48"/>
        <v>208933.78</v>
      </c>
      <c r="BN40" s="353">
        <f t="shared" si="48"/>
        <v>210249.1</v>
      </c>
      <c r="BO40" s="353">
        <f t="shared" si="48"/>
        <v>211721.68</v>
      </c>
      <c r="BP40" s="531">
        <f t="shared" si="48"/>
        <v>838874.28500000003</v>
      </c>
      <c r="BQ40" s="353">
        <f t="shared" ref="BQ40:BU40" si="49">+BQ8</f>
        <v>211522.59150000001</v>
      </c>
      <c r="BR40" s="353">
        <f t="shared" si="49"/>
        <v>212512.60920000001</v>
      </c>
      <c r="BS40" s="353">
        <f t="shared" si="49"/>
        <v>213685.1844</v>
      </c>
      <c r="BT40" s="353">
        <f t="shared" si="49"/>
        <v>215145.1992</v>
      </c>
      <c r="BU40" s="531">
        <f t="shared" si="49"/>
        <v>852865.58429999999</v>
      </c>
    </row>
    <row r="41" spans="1:73" ht="14.65" thickBot="1">
      <c r="BB41" s="220"/>
      <c r="BC41" s="220"/>
      <c r="BD41" s="220"/>
      <c r="BE41" s="220"/>
      <c r="BF41" s="220"/>
      <c r="BG41" s="220"/>
      <c r="BH41" s="220"/>
      <c r="BI41" s="220"/>
      <c r="BJ41" s="220"/>
      <c r="BK41" s="220"/>
      <c r="BL41" s="220"/>
      <c r="BM41" s="220"/>
      <c r="BN41" s="220"/>
      <c r="BO41" s="220"/>
      <c r="BP41" s="220"/>
      <c r="BQ41" s="220"/>
      <c r="BR41" s="220"/>
      <c r="BS41" s="220"/>
      <c r="BT41" s="220"/>
      <c r="BU41" s="220"/>
    </row>
    <row r="42" spans="1:73" s="106" customFormat="1" ht="12.75">
      <c r="B42" s="591"/>
      <c r="C42" s="591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592"/>
      <c r="O42" s="592"/>
      <c r="P42" s="592"/>
      <c r="Q42" s="592"/>
      <c r="R42" s="592"/>
      <c r="S42" s="592"/>
      <c r="T42" s="592"/>
      <c r="U42" s="592"/>
      <c r="V42" s="592"/>
      <c r="W42" s="592"/>
      <c r="X42" s="592"/>
      <c r="Y42" s="592"/>
      <c r="Z42" s="592"/>
      <c r="AA42" s="592"/>
      <c r="AB42" s="592"/>
      <c r="AC42" s="592"/>
      <c r="AD42" s="592"/>
      <c r="AE42" s="592"/>
      <c r="AF42" s="592"/>
      <c r="AG42" s="592"/>
      <c r="AH42" s="592"/>
      <c r="AI42" s="592"/>
      <c r="AJ42" s="592"/>
      <c r="AK42" s="592"/>
      <c r="AL42" s="592"/>
      <c r="AM42" s="592"/>
      <c r="AN42" s="592"/>
      <c r="AO42" s="592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</row>
    <row r="43" spans="1:73">
      <c r="BB43" s="220"/>
      <c r="BC43" s="220"/>
      <c r="BD43" s="220"/>
      <c r="BE43" s="220"/>
      <c r="BF43" s="220"/>
      <c r="BG43" s="220"/>
      <c r="BH43" s="220"/>
      <c r="BI43" s="220"/>
      <c r="BJ43" s="220"/>
      <c r="BK43" s="220"/>
      <c r="BL43" s="220"/>
      <c r="BM43" s="220"/>
      <c r="BN43" s="220"/>
      <c r="BO43" s="220"/>
      <c r="BP43" s="220"/>
      <c r="BQ43" s="220"/>
      <c r="BR43" s="220"/>
      <c r="BS43" s="220"/>
      <c r="BT43" s="220"/>
      <c r="BU43" s="220"/>
    </row>
    <row r="44" spans="1:73" s="106" customFormat="1" thickBot="1">
      <c r="B44" s="573"/>
      <c r="C44" s="574"/>
      <c r="D44" s="589"/>
      <c r="E44" s="589"/>
      <c r="F44" s="589"/>
      <c r="G44" s="589"/>
      <c r="H44" s="590"/>
      <c r="I44" s="590"/>
      <c r="J44" s="590"/>
      <c r="K44" s="590"/>
      <c r="L44" s="590"/>
      <c r="M44" s="590"/>
      <c r="N44" s="590"/>
      <c r="O44" s="590"/>
      <c r="P44" s="590"/>
      <c r="Q44" s="590"/>
      <c r="R44" s="590"/>
      <c r="S44" s="590"/>
      <c r="T44" s="590"/>
      <c r="U44" s="590"/>
      <c r="V44" s="590"/>
      <c r="W44" s="590"/>
      <c r="X44" s="590"/>
      <c r="Y44" s="590"/>
      <c r="Z44" s="590"/>
      <c r="AA44" s="590"/>
      <c r="AB44" s="590"/>
      <c r="AC44" s="590"/>
      <c r="AD44" s="590"/>
      <c r="AE44" s="590"/>
      <c r="AF44" s="590"/>
      <c r="AG44" s="590"/>
      <c r="AH44" s="590"/>
      <c r="AI44" s="590"/>
      <c r="AJ44" s="590"/>
      <c r="AK44" s="590"/>
      <c r="AL44" s="590"/>
      <c r="AM44" s="590"/>
      <c r="AN44" s="590"/>
      <c r="AO44" s="590"/>
      <c r="AP44" s="590"/>
      <c r="AQ44" s="590"/>
      <c r="AR44" s="590"/>
      <c r="AS44" s="590"/>
      <c r="AT44" s="590"/>
      <c r="AU44" s="590"/>
      <c r="AV44" s="590"/>
      <c r="AW44" s="590"/>
      <c r="AX44" s="590"/>
      <c r="AY44" s="590"/>
      <c r="AZ44" s="590"/>
      <c r="BA44" s="590"/>
      <c r="BB44" s="590"/>
      <c r="BC44" s="590"/>
      <c r="BD44" s="590"/>
      <c r="BE44" s="590"/>
      <c r="BF44" s="590"/>
      <c r="BG44" s="590"/>
      <c r="BH44" s="590"/>
      <c r="BI44" s="590"/>
      <c r="BJ44" s="590"/>
      <c r="BK44" s="590"/>
      <c r="BL44" s="590"/>
      <c r="BM44" s="590"/>
      <c r="BN44" s="590"/>
      <c r="BO44" s="590"/>
      <c r="BP44" s="590"/>
      <c r="BQ44" s="590"/>
      <c r="BR44" s="590"/>
      <c r="BS44" s="590"/>
      <c r="BT44" s="590"/>
      <c r="BU44" s="590"/>
    </row>
    <row r="45" spans="1:73" s="106" customFormat="1" ht="17.649999999999999">
      <c r="B45" s="223" t="s">
        <v>171</v>
      </c>
      <c r="C45" s="107"/>
      <c r="D45" s="212"/>
      <c r="E45" s="212"/>
      <c r="F45" s="212"/>
      <c r="G45" s="213"/>
      <c r="H45" s="214"/>
      <c r="I45" s="212"/>
      <c r="J45" s="212"/>
      <c r="K45" s="212"/>
      <c r="L45" s="215"/>
      <c r="M45" s="214"/>
      <c r="N45" s="212"/>
      <c r="O45" s="212"/>
      <c r="P45" s="212"/>
      <c r="Q45" s="212"/>
      <c r="R45" s="216"/>
      <c r="S45" s="212"/>
      <c r="T45" s="212"/>
      <c r="U45" s="212"/>
      <c r="V45" s="212"/>
      <c r="W45" s="216"/>
      <c r="X45" s="212"/>
      <c r="Y45" s="212"/>
      <c r="Z45" s="212"/>
      <c r="AA45" s="212"/>
      <c r="AB45" s="216"/>
      <c r="AC45" s="212"/>
      <c r="AD45" s="212"/>
      <c r="AE45" s="212"/>
      <c r="AF45" s="212"/>
      <c r="AG45" s="216"/>
      <c r="AH45" s="212"/>
      <c r="AI45" s="212"/>
      <c r="AJ45" s="212"/>
      <c r="AK45" s="212"/>
      <c r="AL45" s="216"/>
      <c r="AM45" s="212"/>
      <c r="AN45" s="212"/>
      <c r="AO45" s="212"/>
      <c r="AP45" s="212"/>
      <c r="AQ45" s="216"/>
      <c r="AR45" s="212"/>
      <c r="AS45" s="212"/>
      <c r="AT45" s="212"/>
      <c r="AU45" s="212"/>
      <c r="AV45" s="216"/>
      <c r="AW45" s="212"/>
      <c r="AX45" s="212"/>
      <c r="AY45" s="212"/>
      <c r="AZ45" s="212"/>
      <c r="BA45" s="216"/>
      <c r="BB45" s="212"/>
      <c r="BC45" s="212"/>
      <c r="BD45" s="212"/>
      <c r="BE45" s="212"/>
      <c r="BF45" s="216"/>
      <c r="BG45" s="212"/>
      <c r="BH45" s="212"/>
      <c r="BI45" s="212"/>
      <c r="BJ45" s="212"/>
      <c r="BK45" s="216"/>
      <c r="BL45" s="212"/>
      <c r="BM45" s="212"/>
      <c r="BN45" s="212"/>
      <c r="BO45" s="212"/>
      <c r="BP45" s="216"/>
      <c r="BQ45" s="212"/>
      <c r="BR45" s="212"/>
      <c r="BS45" s="212"/>
      <c r="BT45" s="212"/>
      <c r="BU45" s="216"/>
    </row>
    <row r="46" spans="1:73" s="106" customFormat="1" ht="13.15">
      <c r="B46" s="224" t="s">
        <v>317</v>
      </c>
      <c r="C46" s="224"/>
      <c r="D46" s="217" t="s">
        <v>96</v>
      </c>
      <c r="E46" s="217"/>
      <c r="F46" s="218"/>
      <c r="G46" s="218"/>
      <c r="H46" s="219" t="str">
        <f>+Metrics!H28</f>
        <v>Year</v>
      </c>
      <c r="I46" s="217" t="s">
        <v>97</v>
      </c>
      <c r="J46" s="217"/>
      <c r="K46" s="218"/>
      <c r="L46" s="218"/>
      <c r="M46" s="524" t="str">
        <f>+Metrics!M28</f>
        <v>Year</v>
      </c>
      <c r="N46" s="217" t="s">
        <v>118</v>
      </c>
      <c r="O46" s="217"/>
      <c r="P46" s="218"/>
      <c r="Q46" s="218"/>
      <c r="R46" s="524" t="str">
        <f>+Metrics!R28</f>
        <v>Year</v>
      </c>
      <c r="S46" s="217" t="s">
        <v>0</v>
      </c>
      <c r="T46" s="217"/>
      <c r="U46" s="218"/>
      <c r="V46" s="218"/>
      <c r="W46" s="524" t="str">
        <f>+Metrics!W28</f>
        <v>Year</v>
      </c>
      <c r="X46" s="217" t="s">
        <v>262</v>
      </c>
      <c r="Y46" s="217"/>
      <c r="Z46" s="218"/>
      <c r="AA46" s="218"/>
      <c r="AB46" s="524" t="str">
        <f>+Metrics!AB28</f>
        <v>Year</v>
      </c>
      <c r="AC46" s="217" t="s">
        <v>216</v>
      </c>
      <c r="AD46" s="217"/>
      <c r="AE46" s="218"/>
      <c r="AF46" s="218"/>
      <c r="AG46" s="524" t="str">
        <f>+Metrics!AG28</f>
        <v>Year</v>
      </c>
      <c r="AH46" s="217" t="str">
        <f>AH4</f>
        <v xml:space="preserve"> 2020A</v>
      </c>
      <c r="AI46" s="217"/>
      <c r="AJ46" s="218"/>
      <c r="AK46" s="218"/>
      <c r="AL46" s="524" t="str">
        <f>+Metrics!AL28</f>
        <v>Year</v>
      </c>
      <c r="AM46" s="217" t="str">
        <f>AM4</f>
        <v xml:space="preserve"> 2021A</v>
      </c>
      <c r="AN46" s="217"/>
      <c r="AO46" s="218"/>
      <c r="AP46" s="218"/>
      <c r="AQ46" s="524" t="str">
        <f>+Metrics!AQ28</f>
        <v>Year</v>
      </c>
      <c r="AR46" s="217" t="str">
        <f>AR4</f>
        <v xml:space="preserve"> 2022A</v>
      </c>
      <c r="AS46" s="217"/>
      <c r="AT46" s="218"/>
      <c r="AU46" s="218"/>
      <c r="AV46" s="524" t="str">
        <f>+Metrics!AV28</f>
        <v>Year</v>
      </c>
      <c r="AW46" s="217" t="str">
        <f>AW4</f>
        <v xml:space="preserve"> 2023A</v>
      </c>
      <c r="AX46" s="217"/>
      <c r="AY46" s="218"/>
      <c r="AZ46" s="218"/>
      <c r="BA46" s="524" t="str">
        <f>+Metrics!BA28</f>
        <v>Year</v>
      </c>
      <c r="BB46" s="217" t="str">
        <f>BB4</f>
        <v xml:space="preserve"> 2024A</v>
      </c>
      <c r="BC46" s="217"/>
      <c r="BD46" s="218"/>
      <c r="BE46" s="218"/>
      <c r="BF46" s="524" t="str">
        <f>+Metrics!BF28</f>
        <v>Year</v>
      </c>
      <c r="BG46" s="217" t="str">
        <f>BG4</f>
        <v xml:space="preserve"> 2025E</v>
      </c>
      <c r="BH46" s="217"/>
      <c r="BI46" s="218"/>
      <c r="BJ46" s="218"/>
      <c r="BK46" s="524" t="str">
        <f>+Metrics!BK28</f>
        <v>Year</v>
      </c>
      <c r="BL46" s="217" t="str">
        <f>BL4</f>
        <v xml:space="preserve"> 2026E</v>
      </c>
      <c r="BM46" s="217"/>
      <c r="BN46" s="218"/>
      <c r="BO46" s="218"/>
      <c r="BP46" s="524" t="str">
        <f>+Metrics!BP28</f>
        <v>Year</v>
      </c>
      <c r="BQ46" s="217" t="str">
        <f>BQ4</f>
        <v xml:space="preserve"> 2027E</v>
      </c>
      <c r="BR46" s="217"/>
      <c r="BS46" s="218"/>
      <c r="BT46" s="218"/>
      <c r="BU46" s="524" t="str">
        <f>+Metrics!BU28</f>
        <v>Year</v>
      </c>
    </row>
    <row r="47" spans="1:73" s="106" customFormat="1" ht="13.15">
      <c r="B47" s="225"/>
      <c r="C47" s="219"/>
      <c r="D47" s="219" t="str">
        <f>+Metrics!D29</f>
        <v>1Q-Mar 14A</v>
      </c>
      <c r="E47" s="219" t="str">
        <f>+Metrics!E29</f>
        <v>2Q-Jun 14A</v>
      </c>
      <c r="F47" s="219" t="str">
        <f>+Metrics!F29</f>
        <v>3Q-Sep 14A</v>
      </c>
      <c r="G47" s="219" t="str">
        <f>+Metrics!G29</f>
        <v>4Q-Dec 14A</v>
      </c>
      <c r="H47" s="219" t="str">
        <f>+Metrics!H29</f>
        <v>2014A</v>
      </c>
      <c r="I47" s="219" t="str">
        <f>+Metrics!I29</f>
        <v>1Q-Mar 15</v>
      </c>
      <c r="J47" s="219" t="str">
        <f>+Metrics!J29</f>
        <v>2Q-Jun 15</v>
      </c>
      <c r="K47" s="219" t="str">
        <f>+Metrics!K29</f>
        <v>3Q-Sep 15</v>
      </c>
      <c r="L47" s="219" t="str">
        <f>+Metrics!L29</f>
        <v>4Q-Dec 15</v>
      </c>
      <c r="M47" s="524" t="str">
        <f>+Metrics!M29</f>
        <v>2015A</v>
      </c>
      <c r="N47" s="219" t="str">
        <f>+Metrics!N29</f>
        <v>1Q-Mar 16</v>
      </c>
      <c r="O47" s="219" t="str">
        <f>+Metrics!O29</f>
        <v>2Q-Jun 16</v>
      </c>
      <c r="P47" s="219" t="str">
        <f>+Metrics!P29</f>
        <v>3Q-Sep 16</v>
      </c>
      <c r="Q47" s="219" t="str">
        <f>+Metrics!Q29</f>
        <v>4Q-Dec 16</v>
      </c>
      <c r="R47" s="524" t="str">
        <f>+Metrics!R29</f>
        <v>2016A</v>
      </c>
      <c r="S47" s="219" t="str">
        <f>+Metrics!S29</f>
        <v>1Q-Mar 17A</v>
      </c>
      <c r="T47" s="219" t="str">
        <f>+Metrics!T29</f>
        <v>2Q-Jun 17A</v>
      </c>
      <c r="U47" s="219" t="str">
        <f>+Metrics!U29</f>
        <v>3Q-Sep 17A</v>
      </c>
      <c r="V47" s="219" t="str">
        <f>+Metrics!V29</f>
        <v>4Q-Dec 17A</v>
      </c>
      <c r="W47" s="524" t="str">
        <f>+Metrics!W29</f>
        <v>2017A</v>
      </c>
      <c r="X47" s="219" t="str">
        <f>+Metrics!X29</f>
        <v>1Q-Mar 18A</v>
      </c>
      <c r="Y47" s="219" t="str">
        <f>+Metrics!Y29</f>
        <v>2Q-Jun 18A</v>
      </c>
      <c r="Z47" s="219" t="str">
        <f>+Metrics!Z29</f>
        <v>3Q-Sep 18A</v>
      </c>
      <c r="AA47" s="219" t="str">
        <f>+Metrics!AA29</f>
        <v>4Q-Dec 18A</v>
      </c>
      <c r="AB47" s="524" t="str">
        <f>+Metrics!AB29</f>
        <v>2018A</v>
      </c>
      <c r="AC47" s="219" t="str">
        <f>+Metrics!AC29</f>
        <v>1Q-Mar 19A</v>
      </c>
      <c r="AD47" s="219" t="str">
        <f>+Metrics!AD29</f>
        <v>2Q-Jun 19A</v>
      </c>
      <c r="AE47" s="219" t="str">
        <f>+Metrics!AE29</f>
        <v>3Q-Sep 19A</v>
      </c>
      <c r="AF47" s="219" t="str">
        <f>+Metrics!AF29</f>
        <v>4Q-Dec 19A</v>
      </c>
      <c r="AG47" s="524" t="str">
        <f>+Metrics!AG29</f>
        <v>2019A</v>
      </c>
      <c r="AH47" s="219" t="str">
        <f>+Metrics!AH29</f>
        <v>1Q-Mar 20A</v>
      </c>
      <c r="AI47" s="219" t="str">
        <f>+Metrics!AI29</f>
        <v>2Q-Jun 20A</v>
      </c>
      <c r="AJ47" s="219" t="str">
        <f>+Metrics!AJ29</f>
        <v>3Q-Sep 20A</v>
      </c>
      <c r="AK47" s="219" t="str">
        <f>+Metrics!AK29</f>
        <v>4Q-Dec 20A</v>
      </c>
      <c r="AL47" s="524" t="str">
        <f>+Metrics!AL29</f>
        <v>2020A</v>
      </c>
      <c r="AM47" s="219" t="str">
        <f>+Metrics!AM29</f>
        <v>1Q-Mar 21A</v>
      </c>
      <c r="AN47" s="219" t="str">
        <f>+Metrics!AN29</f>
        <v>2Q-Jun 21A</v>
      </c>
      <c r="AO47" s="219" t="str">
        <f>+Metrics!AO29</f>
        <v>3Q-Sep 21A</v>
      </c>
      <c r="AP47" s="219" t="str">
        <f>+Metrics!AP29</f>
        <v>4Q-Dec 21A</v>
      </c>
      <c r="AQ47" s="524" t="str">
        <f>+Metrics!AQ29</f>
        <v>2021A</v>
      </c>
      <c r="AR47" s="219" t="str">
        <f>+Metrics!AR29</f>
        <v>1Q-Mar 22A</v>
      </c>
      <c r="AS47" s="702" t="str">
        <f>+Metrics!AS29</f>
        <v>2Q-Jun 22A</v>
      </c>
      <c r="AT47" s="219" t="str">
        <f>+Metrics!AT29</f>
        <v>3Q-Sep 22A</v>
      </c>
      <c r="AU47" s="219" t="str">
        <f>+Metrics!AU29</f>
        <v>4Q-Dec 22A</v>
      </c>
      <c r="AV47" s="524" t="str">
        <f>+Metrics!AV29</f>
        <v>2022A</v>
      </c>
      <c r="AW47" s="219" t="str">
        <f>+Metrics!AW29</f>
        <v>1Q-Mar 23A</v>
      </c>
      <c r="AX47" s="219" t="str">
        <f>+Metrics!AX29</f>
        <v>2Q-Jun 23A</v>
      </c>
      <c r="AY47" s="219" t="str">
        <f>+Metrics!AY29</f>
        <v>3Q-Sep 23A</v>
      </c>
      <c r="AZ47" s="219" t="str">
        <f>+Metrics!AZ29</f>
        <v>4Q-Dec 23A</v>
      </c>
      <c r="BA47" s="524" t="str">
        <f>+Metrics!BA29</f>
        <v>2023A</v>
      </c>
      <c r="BB47" s="219" t="str">
        <f>+Metrics!BB29</f>
        <v>1Q-Mar 24A</v>
      </c>
      <c r="BC47" s="219" t="str">
        <f>+Metrics!BC29</f>
        <v>2Q-Jun 24A</v>
      </c>
      <c r="BD47" s="219" t="str">
        <f>+Metrics!BD29</f>
        <v>3Q-Sep 24A</v>
      </c>
      <c r="BE47" s="219" t="str">
        <f>+Metrics!BE29</f>
        <v>4Q-Dec 24A</v>
      </c>
      <c r="BF47" s="524" t="str">
        <f>+Metrics!BF29</f>
        <v>2024A</v>
      </c>
      <c r="BG47" s="219" t="str">
        <f>+Metrics!BG29</f>
        <v>1Q-Mar 25A</v>
      </c>
      <c r="BH47" s="219" t="str">
        <f>+Metrics!BH29</f>
        <v>2Q-Jun 25A</v>
      </c>
      <c r="BI47" s="219" t="str">
        <f>+Metrics!BI29</f>
        <v>3Q-Sep 25A</v>
      </c>
      <c r="BJ47" s="219" t="str">
        <f>+Metrics!BJ29</f>
        <v>4Q-Dec 25A</v>
      </c>
      <c r="BK47" s="524" t="str">
        <f>+Metrics!BK29</f>
        <v>2025A</v>
      </c>
      <c r="BL47" s="219" t="str">
        <f>+Metrics!BL29</f>
        <v>1Q-Mar 26E</v>
      </c>
      <c r="BM47" s="219" t="str">
        <f>+Metrics!BM29</f>
        <v>2Q-Jun 26E</v>
      </c>
      <c r="BN47" s="219" t="str">
        <f>+Metrics!BN29</f>
        <v>3Q-Sep 26E</v>
      </c>
      <c r="BO47" s="219" t="str">
        <f>+Metrics!BO29</f>
        <v>4Q-Dec 26E</v>
      </c>
      <c r="BP47" s="524" t="str">
        <f>+Metrics!BP29</f>
        <v xml:space="preserve"> 2026E</v>
      </c>
      <c r="BQ47" s="219" t="str">
        <f>+Metrics!BQ29</f>
        <v>1Q-Mar 27E</v>
      </c>
      <c r="BR47" s="219" t="str">
        <f>+Metrics!BR29</f>
        <v>2Q-Jun 27E</v>
      </c>
      <c r="BS47" s="219" t="str">
        <f>+Metrics!BS29</f>
        <v>3Q-Sep 27E</v>
      </c>
      <c r="BT47" s="219" t="str">
        <f>+Metrics!BT29</f>
        <v>4Q-Dec 27E</v>
      </c>
      <c r="BU47" s="524" t="str">
        <f>+Metrics!BU29</f>
        <v xml:space="preserve"> 2027E</v>
      </c>
    </row>
    <row r="48" spans="1:73" s="106" customFormat="1" ht="13.15">
      <c r="B48" s="225" t="s">
        <v>174</v>
      </c>
      <c r="C48" s="227"/>
      <c r="D48" s="228"/>
      <c r="E48" s="228"/>
      <c r="F48" s="228"/>
      <c r="G48" s="228"/>
      <c r="H48" s="228"/>
      <c r="I48" s="228"/>
      <c r="J48" s="228"/>
      <c r="K48" s="228"/>
      <c r="L48" s="228"/>
      <c r="M48" s="526"/>
      <c r="N48" s="228"/>
      <c r="O48" s="228"/>
      <c r="P48" s="228"/>
      <c r="Q48" s="228"/>
      <c r="R48" s="526"/>
      <c r="S48" s="228"/>
      <c r="T48" s="228"/>
      <c r="U48" s="228"/>
      <c r="V48" s="228"/>
      <c r="W48" s="526"/>
      <c r="X48" s="228"/>
      <c r="Y48" s="228"/>
      <c r="Z48" s="228"/>
      <c r="AA48" s="228"/>
      <c r="AB48" s="526"/>
      <c r="AC48" s="228"/>
      <c r="AD48" s="228"/>
      <c r="AE48" s="228"/>
      <c r="AF48" s="228"/>
      <c r="AG48" s="526"/>
      <c r="AH48" s="228"/>
      <c r="AI48" s="228"/>
      <c r="AJ48" s="228"/>
      <c r="AK48" s="228"/>
      <c r="AL48" s="526"/>
      <c r="AM48" s="228"/>
      <c r="AN48" s="228"/>
      <c r="AO48" s="228"/>
      <c r="AP48" s="228"/>
      <c r="AQ48" s="526"/>
      <c r="AR48" s="228"/>
      <c r="AS48" s="228"/>
      <c r="AT48" s="228"/>
      <c r="AU48" s="228"/>
      <c r="AV48" s="526"/>
      <c r="AW48" s="228"/>
      <c r="AX48" s="228"/>
      <c r="AY48" s="228"/>
      <c r="AZ48" s="228"/>
      <c r="BA48" s="526"/>
      <c r="BB48" s="228"/>
      <c r="BC48" s="228"/>
      <c r="BD48" s="228"/>
      <c r="BE48" s="228"/>
      <c r="BF48" s="526"/>
      <c r="BG48" s="228"/>
      <c r="BH48" s="228"/>
      <c r="BI48" s="228"/>
      <c r="BJ48" s="228"/>
      <c r="BK48" s="526"/>
      <c r="BL48" s="228"/>
      <c r="BM48" s="228"/>
      <c r="BN48" s="228"/>
      <c r="BO48" s="228"/>
      <c r="BP48" s="526"/>
      <c r="BQ48" s="228"/>
      <c r="BR48" s="228"/>
      <c r="BS48" s="228"/>
      <c r="BT48" s="228"/>
      <c r="BU48" s="526"/>
    </row>
    <row r="49" spans="1:73" s="106" customFormat="1" ht="13.15" outlineLevel="1">
      <c r="B49" s="225"/>
      <c r="C49" s="227"/>
      <c r="D49" s="228"/>
      <c r="E49" s="228"/>
      <c r="F49" s="228"/>
      <c r="G49" s="228"/>
      <c r="H49" s="228"/>
      <c r="I49" s="228"/>
      <c r="J49" s="228"/>
      <c r="K49" s="228"/>
      <c r="L49" s="228"/>
      <c r="M49" s="526"/>
      <c r="N49" s="228"/>
      <c r="O49" s="228"/>
      <c r="P49" s="228"/>
      <c r="Q49" s="228"/>
      <c r="R49" s="526"/>
      <c r="S49" s="228"/>
      <c r="T49" s="228"/>
      <c r="U49" s="228"/>
      <c r="V49" s="228"/>
      <c r="W49" s="526"/>
      <c r="X49" s="228"/>
      <c r="Y49" s="228"/>
      <c r="Z49" s="228"/>
      <c r="AA49" s="228"/>
      <c r="AB49" s="526"/>
      <c r="AC49" s="228"/>
      <c r="AD49" s="228"/>
      <c r="AE49" s="228"/>
      <c r="AF49" s="228"/>
      <c r="AG49" s="526"/>
      <c r="AH49" s="228"/>
      <c r="AI49" s="228"/>
      <c r="AJ49" s="228"/>
      <c r="AK49" s="228"/>
      <c r="AL49" s="526"/>
      <c r="AM49" s="228"/>
      <c r="AN49" s="228"/>
      <c r="AO49" s="228"/>
      <c r="AP49" s="228"/>
      <c r="AQ49" s="526"/>
      <c r="AR49" s="228"/>
      <c r="AS49" s="228"/>
      <c r="AT49" s="228"/>
      <c r="AU49" s="228"/>
      <c r="AV49" s="526"/>
      <c r="AW49" s="228"/>
      <c r="AX49" s="228"/>
      <c r="AY49" s="228"/>
      <c r="AZ49" s="228"/>
      <c r="BA49" s="526"/>
      <c r="BB49" s="228"/>
      <c r="BC49" s="228"/>
      <c r="BD49" s="228"/>
      <c r="BE49" s="228"/>
      <c r="BF49" s="526"/>
      <c r="BG49" s="228"/>
      <c r="BH49" s="228"/>
      <c r="BI49" s="228"/>
      <c r="BJ49" s="228"/>
      <c r="BK49" s="526"/>
      <c r="BL49" s="228"/>
      <c r="BM49" s="228"/>
      <c r="BN49" s="228"/>
      <c r="BO49" s="228"/>
      <c r="BP49" s="526"/>
      <c r="BQ49" s="228"/>
      <c r="BR49" s="228"/>
      <c r="BS49" s="228"/>
      <c r="BT49" s="228"/>
      <c r="BU49" s="526"/>
    </row>
    <row r="50" spans="1:73" s="106" customFormat="1" ht="13.15" outlineLevel="1">
      <c r="B50" s="225" t="s">
        <v>203</v>
      </c>
      <c r="C50" s="227"/>
      <c r="D50" s="313"/>
      <c r="E50" s="313"/>
      <c r="F50" s="313"/>
      <c r="G50" s="313"/>
      <c r="H50" s="313">
        <f>+IS!H115</f>
        <v>-30120</v>
      </c>
      <c r="I50" s="313">
        <f>+IS!I115</f>
        <v>-6848</v>
      </c>
      <c r="J50" s="313">
        <f>+IS!J115</f>
        <v>-7777</v>
      </c>
      <c r="K50" s="313">
        <f>+IS!K115</f>
        <v>-9079</v>
      </c>
      <c r="L50" s="313">
        <f>+IS!L115</f>
        <v>-12357</v>
      </c>
      <c r="M50" s="538">
        <f>+IS!M115</f>
        <v>-36061</v>
      </c>
      <c r="N50" s="313">
        <f>+IS!N115</f>
        <v>-9478</v>
      </c>
      <c r="O50" s="313">
        <f>+IS!O115</f>
        <v>-9228</v>
      </c>
      <c r="P50" s="313">
        <f>+IS!P115</f>
        <v>-5248</v>
      </c>
      <c r="Q50" s="313">
        <f>+IS!Q115</f>
        <v>-5292</v>
      </c>
      <c r="R50" s="538">
        <f>+IS!R115</f>
        <v>-29246</v>
      </c>
      <c r="S50" s="313">
        <f>+IS!S115</f>
        <v>-5780</v>
      </c>
      <c r="T50" s="313">
        <f>+IS!T115</f>
        <v>-5903</v>
      </c>
      <c r="U50" s="313">
        <f>+IS!U115</f>
        <v>-6647</v>
      </c>
      <c r="V50" s="313">
        <f>+IS!V115</f>
        <v>-7603</v>
      </c>
      <c r="W50" s="538">
        <f>+IS!W115</f>
        <v>-25933</v>
      </c>
      <c r="X50" s="313">
        <f>+IS!X115</f>
        <v>-8648</v>
      </c>
      <c r="Y50" s="313">
        <f>+IS!Y115</f>
        <v>-5985</v>
      </c>
      <c r="Z50" s="313">
        <f>+IS!Z115</f>
        <v>-2056</v>
      </c>
      <c r="AA50" s="313">
        <f>+IS!AA115</f>
        <v>-2368</v>
      </c>
      <c r="AB50" s="538">
        <f>+IS!AB115</f>
        <v>-19057</v>
      </c>
      <c r="AC50" s="313">
        <f>+IS!AC115</f>
        <v>1158</v>
      </c>
      <c r="AD50" s="313">
        <f>+IS!AD115</f>
        <v>1093</v>
      </c>
      <c r="AE50" s="313">
        <f>+IS!AE115</f>
        <v>571</v>
      </c>
      <c r="AF50" s="313">
        <f>+IS!AF115</f>
        <v>1484</v>
      </c>
      <c r="AG50" s="538">
        <f>+IS!AG115</f>
        <v>4306</v>
      </c>
      <c r="AH50" s="313">
        <f>+IS!AH115</f>
        <v>-4294</v>
      </c>
      <c r="AI50" s="313">
        <f>+IS!AI115</f>
        <v>2795</v>
      </c>
      <c r="AJ50" s="313">
        <f>+IS!AJ115</f>
        <v>25</v>
      </c>
      <c r="AK50" s="313">
        <f>+IS!AK115</f>
        <v>-3726</v>
      </c>
      <c r="AL50" s="538">
        <f>+IS!AL115</f>
        <v>-5200</v>
      </c>
      <c r="AM50" s="313">
        <f>+IS!AM115</f>
        <v>-1425</v>
      </c>
      <c r="AN50" s="313">
        <f>+IS!AN115</f>
        <v>3930</v>
      </c>
      <c r="AO50" s="313">
        <f>+IS!AO115</f>
        <v>3443</v>
      </c>
      <c r="AP50" s="313">
        <f>+IS!AP115</f>
        <v>-8931</v>
      </c>
      <c r="AQ50" s="538">
        <f>+IS!AQ115</f>
        <v>-2983</v>
      </c>
      <c r="AR50" s="313">
        <f>+IS!AR115</f>
        <v>-9260</v>
      </c>
      <c r="AS50" s="313">
        <f>+IS!AS115</f>
        <v>-461</v>
      </c>
      <c r="AT50" s="313">
        <f>+IS!AT115</f>
        <v>8974</v>
      </c>
      <c r="AU50" s="313">
        <f>+IS!AU115</f>
        <v>24159</v>
      </c>
      <c r="AV50" s="538">
        <f>+IS!AV115</f>
        <v>23412</v>
      </c>
      <c r="AW50" s="313">
        <f>+IS!AW115</f>
        <v>10412</v>
      </c>
      <c r="AX50" s="313">
        <f>+IS!AX115</f>
        <v>11895</v>
      </c>
      <c r="AY50" s="313">
        <f>+IS!AY115</f>
        <v>34588</v>
      </c>
      <c r="AZ50" s="313">
        <f>+IS!AZ115</f>
        <v>53262</v>
      </c>
      <c r="BA50" s="538">
        <f>+IS!BA115</f>
        <v>110157</v>
      </c>
      <c r="BB50" s="313">
        <f>+IS!BB115</f>
        <v>40959</v>
      </c>
      <c r="BC50" s="313">
        <f>+IS!BC115</f>
        <v>43217</v>
      </c>
      <c r="BD50" s="313">
        <f>+IS!BD115</f>
        <v>49333</v>
      </c>
      <c r="BE50" s="313">
        <f>+IS!BE115</f>
        <v>35913</v>
      </c>
      <c r="BF50" s="538">
        <f>+IS!BF115</f>
        <v>169422</v>
      </c>
      <c r="BG50" s="313">
        <f>+IS!BG115</f>
        <v>37149</v>
      </c>
      <c r="BH50" s="313">
        <f>+IS!BH115</f>
        <v>43590</v>
      </c>
      <c r="BI50" s="313">
        <f>+IS!BI115</f>
        <v>43223</v>
      </c>
      <c r="BJ50" s="313">
        <f>+IS!BJ115</f>
        <v>33389</v>
      </c>
      <c r="BK50" s="538">
        <f>+IS!BK115</f>
        <v>157351</v>
      </c>
      <c r="BL50" s="313">
        <f>+IS!BL115</f>
        <v>23432.753556250012</v>
      </c>
      <c r="BM50" s="313">
        <f>+IS!BM115</f>
        <v>31061.934806000005</v>
      </c>
      <c r="BN50" s="313">
        <f>+IS!BN115</f>
        <v>34140.847289550016</v>
      </c>
      <c r="BO50" s="313">
        <f>+IS!BO115</f>
        <v>34701.071937170498</v>
      </c>
      <c r="BP50" s="538">
        <f>+IS!BP115</f>
        <v>123336.60758897054</v>
      </c>
      <c r="BQ50" s="313">
        <f>+IS!BQ115</f>
        <v>33223.812043874488</v>
      </c>
      <c r="BR50" s="313">
        <f>+IS!BR115</f>
        <v>33325.789706685617</v>
      </c>
      <c r="BS50" s="313">
        <f>+IS!BS115</f>
        <v>34253.486348964892</v>
      </c>
      <c r="BT50" s="313">
        <f>+IS!BT115</f>
        <v>34454.373993250803</v>
      </c>
      <c r="BU50" s="538">
        <f>+IS!BU115</f>
        <v>135257.46209277579</v>
      </c>
    </row>
    <row r="51" spans="1:73" s="106" customFormat="1" ht="12.75" outlineLevel="1">
      <c r="B51" s="262" t="s">
        <v>265</v>
      </c>
      <c r="C51" s="227"/>
      <c r="D51" s="257"/>
      <c r="E51" s="257"/>
      <c r="F51" s="257"/>
      <c r="G51" s="257"/>
      <c r="H51" s="257">
        <f t="shared" ref="H51:AB51" si="50">+H111</f>
        <v>2159</v>
      </c>
      <c r="I51" s="257">
        <f t="shared" si="50"/>
        <v>575</v>
      </c>
      <c r="J51" s="257">
        <f t="shared" si="50"/>
        <v>831</v>
      </c>
      <c r="K51" s="257">
        <f t="shared" si="50"/>
        <v>1427</v>
      </c>
      <c r="L51" s="257">
        <f t="shared" si="50"/>
        <v>7852</v>
      </c>
      <c r="M51" s="539">
        <f t="shared" si="50"/>
        <v>10685</v>
      </c>
      <c r="N51" s="257">
        <f t="shared" si="50"/>
        <v>5519</v>
      </c>
      <c r="O51" s="257">
        <f t="shared" si="50"/>
        <v>3641</v>
      </c>
      <c r="P51" s="257">
        <f t="shared" si="50"/>
        <v>4177</v>
      </c>
      <c r="Q51" s="257">
        <f t="shared" si="50"/>
        <v>3979</v>
      </c>
      <c r="R51" s="539">
        <f t="shared" si="50"/>
        <v>17316</v>
      </c>
      <c r="S51" s="257">
        <f t="shared" si="50"/>
        <v>4279</v>
      </c>
      <c r="T51" s="257">
        <f t="shared" si="50"/>
        <v>5171</v>
      </c>
      <c r="U51" s="257">
        <f t="shared" si="50"/>
        <v>5288</v>
      </c>
      <c r="V51" s="257">
        <f t="shared" si="50"/>
        <v>4803</v>
      </c>
      <c r="W51" s="539">
        <f t="shared" si="50"/>
        <v>19541</v>
      </c>
      <c r="X51" s="257">
        <f t="shared" si="50"/>
        <v>6225</v>
      </c>
      <c r="Y51" s="257">
        <f t="shared" si="50"/>
        <v>7350</v>
      </c>
      <c r="Z51" s="257">
        <f t="shared" si="50"/>
        <v>7424</v>
      </c>
      <c r="AA51" s="257">
        <f t="shared" si="50"/>
        <v>6594</v>
      </c>
      <c r="AB51" s="539">
        <f t="shared" si="50"/>
        <v>27593</v>
      </c>
      <c r="AC51" s="257">
        <f t="shared" ref="AC51:BP51" si="51">+AC111</f>
        <v>8634</v>
      </c>
      <c r="AD51" s="257">
        <f t="shared" si="51"/>
        <v>10430</v>
      </c>
      <c r="AE51" s="257">
        <f t="shared" si="51"/>
        <v>10426</v>
      </c>
      <c r="AF51" s="257">
        <f t="shared" si="51"/>
        <v>11174</v>
      </c>
      <c r="AG51" s="539">
        <f t="shared" si="51"/>
        <v>40664</v>
      </c>
      <c r="AH51" s="257">
        <f t="shared" si="51"/>
        <v>13347</v>
      </c>
      <c r="AI51" s="257">
        <f t="shared" si="51"/>
        <v>16446</v>
      </c>
      <c r="AJ51" s="257">
        <f t="shared" si="51"/>
        <v>17128</v>
      </c>
      <c r="AK51" s="257">
        <f t="shared" si="51"/>
        <v>16967</v>
      </c>
      <c r="AL51" s="539">
        <f t="shared" si="51"/>
        <v>63888</v>
      </c>
      <c r="AM51" s="257">
        <f t="shared" si="51"/>
        <v>20862</v>
      </c>
      <c r="AN51" s="257">
        <f t="shared" si="51"/>
        <v>23814</v>
      </c>
      <c r="AO51" s="257">
        <f t="shared" si="51"/>
        <v>29196</v>
      </c>
      <c r="AP51" s="257">
        <f t="shared" si="51"/>
        <v>28707</v>
      </c>
      <c r="AQ51" s="539">
        <f t="shared" si="51"/>
        <v>102579</v>
      </c>
      <c r="AR51" s="257">
        <f t="shared" si="51"/>
        <v>28922</v>
      </c>
      <c r="AS51" s="257">
        <f t="shared" si="51"/>
        <v>32411</v>
      </c>
      <c r="AT51" s="257">
        <f t="shared" si="51"/>
        <v>30971</v>
      </c>
      <c r="AU51" s="257">
        <f t="shared" si="51"/>
        <v>27598</v>
      </c>
      <c r="AV51" s="539">
        <f t="shared" si="51"/>
        <v>119902</v>
      </c>
      <c r="AW51" s="257">
        <f t="shared" si="51"/>
        <v>29373</v>
      </c>
      <c r="AX51" s="257">
        <f t="shared" si="51"/>
        <v>31695</v>
      </c>
      <c r="AY51" s="257">
        <f t="shared" si="51"/>
        <v>23768</v>
      </c>
      <c r="AZ51" s="257">
        <f t="shared" si="51"/>
        <v>23245</v>
      </c>
      <c r="BA51" s="539">
        <f t="shared" si="51"/>
        <v>108081</v>
      </c>
      <c r="BB51" s="257">
        <f t="shared" si="51"/>
        <v>24893</v>
      </c>
      <c r="BC51" s="257">
        <f t="shared" si="51"/>
        <v>27409</v>
      </c>
      <c r="BD51" s="257">
        <f t="shared" si="51"/>
        <v>24594</v>
      </c>
      <c r="BE51" s="257">
        <f t="shared" si="51"/>
        <v>27412</v>
      </c>
      <c r="BF51" s="539">
        <f t="shared" si="51"/>
        <v>104308</v>
      </c>
      <c r="BG51" s="257">
        <f t="shared" si="51"/>
        <v>27151</v>
      </c>
      <c r="BH51" s="257">
        <f t="shared" si="51"/>
        <v>27581</v>
      </c>
      <c r="BI51" s="257">
        <f t="shared" si="51"/>
        <v>26327</v>
      </c>
      <c r="BJ51" s="257">
        <f t="shared" si="51"/>
        <v>23276</v>
      </c>
      <c r="BK51" s="539">
        <f t="shared" si="51"/>
        <v>104335</v>
      </c>
      <c r="BL51" s="257">
        <f t="shared" si="51"/>
        <v>29115.761500000004</v>
      </c>
      <c r="BM51" s="257">
        <f t="shared" si="51"/>
        <v>27161.3914</v>
      </c>
      <c r="BN51" s="257">
        <f t="shared" si="51"/>
        <v>29434.874000000003</v>
      </c>
      <c r="BO51" s="257">
        <f t="shared" si="51"/>
        <v>29641.035200000002</v>
      </c>
      <c r="BP51" s="539">
        <f t="shared" si="51"/>
        <v>115353.0621</v>
      </c>
      <c r="BQ51" s="257">
        <f t="shared" ref="BQ51:BU51" si="52">+BQ111</f>
        <v>29613.162810000005</v>
      </c>
      <c r="BR51" s="257">
        <f t="shared" si="52"/>
        <v>27626.639196</v>
      </c>
      <c r="BS51" s="257">
        <f t="shared" si="52"/>
        <v>29915.925816000003</v>
      </c>
      <c r="BT51" s="257">
        <f t="shared" si="52"/>
        <v>30120.327888000003</v>
      </c>
      <c r="BU51" s="539">
        <f t="shared" si="52"/>
        <v>117276.05571000002</v>
      </c>
    </row>
    <row r="52" spans="1:73" s="106" customFormat="1" ht="12.75" outlineLevel="1">
      <c r="B52" s="224"/>
      <c r="C52" s="227"/>
      <c r="D52" s="228"/>
      <c r="E52" s="228"/>
      <c r="F52" s="228"/>
      <c r="G52" s="228"/>
      <c r="H52" s="228"/>
      <c r="I52" s="228"/>
      <c r="J52" s="228"/>
      <c r="K52" s="228"/>
      <c r="L52" s="228"/>
      <c r="M52" s="526"/>
      <c r="N52" s="228"/>
      <c r="O52" s="228"/>
      <c r="P52" s="228"/>
      <c r="Q52" s="228"/>
      <c r="R52" s="526"/>
      <c r="S52" s="228"/>
      <c r="T52" s="228"/>
      <c r="U52" s="228"/>
      <c r="V52" s="228"/>
      <c r="W52" s="526"/>
      <c r="X52" s="228"/>
      <c r="Y52" s="228"/>
      <c r="Z52" s="228"/>
      <c r="AA52" s="228"/>
      <c r="AB52" s="526"/>
      <c r="AC52" s="228"/>
      <c r="AD52" s="228"/>
      <c r="AE52" s="228"/>
      <c r="AF52" s="228"/>
      <c r="AG52" s="526"/>
      <c r="AH52" s="228"/>
      <c r="AI52" s="228"/>
      <c r="AJ52" s="228"/>
      <c r="AK52" s="228"/>
      <c r="AL52" s="526"/>
      <c r="AM52" s="228"/>
      <c r="AN52" s="228"/>
      <c r="AO52" s="228"/>
      <c r="AP52" s="228"/>
      <c r="AQ52" s="526"/>
      <c r="AR52" s="228"/>
      <c r="AS52" s="228"/>
      <c r="AT52" s="228"/>
      <c r="AU52" s="228"/>
      <c r="AV52" s="526"/>
      <c r="AW52" s="228"/>
      <c r="AX52" s="228"/>
      <c r="AY52" s="228"/>
      <c r="AZ52" s="228"/>
      <c r="BA52" s="526"/>
      <c r="BB52" s="228"/>
      <c r="BC52" s="228"/>
      <c r="BD52" s="228"/>
      <c r="BE52" s="228"/>
      <c r="BF52" s="526"/>
      <c r="BG52" s="228"/>
      <c r="BH52" s="228"/>
      <c r="BI52" s="228"/>
      <c r="BJ52" s="228"/>
      <c r="BK52" s="526"/>
      <c r="BL52" s="228"/>
      <c r="BM52" s="228"/>
      <c r="BN52" s="228"/>
      <c r="BO52" s="228"/>
      <c r="BP52" s="526"/>
      <c r="BQ52" s="228"/>
      <c r="BR52" s="228"/>
      <c r="BS52" s="228"/>
      <c r="BT52" s="228"/>
      <c r="BU52" s="526"/>
    </row>
    <row r="53" spans="1:73" s="106" customFormat="1" ht="12.75" outlineLevel="1">
      <c r="B53" s="224" t="s">
        <v>304</v>
      </c>
      <c r="C53" s="227"/>
      <c r="D53" s="257"/>
      <c r="E53" s="257"/>
      <c r="F53" s="257"/>
      <c r="G53" s="257"/>
      <c r="H53" s="257">
        <f>+IS!H112</f>
        <v>379</v>
      </c>
      <c r="I53" s="257">
        <f>+IS!I112</f>
        <v>74</v>
      </c>
      <c r="J53" s="257">
        <f>+IS!J112</f>
        <v>97</v>
      </c>
      <c r="K53" s="257">
        <f>+IS!K112</f>
        <v>211</v>
      </c>
      <c r="L53" s="257">
        <f>+IS!L112</f>
        <v>114</v>
      </c>
      <c r="M53" s="539">
        <f>+IS!M112</f>
        <v>496</v>
      </c>
      <c r="N53" s="257">
        <f>+IS!N112</f>
        <v>142</v>
      </c>
      <c r="O53" s="257">
        <f>+IS!O112</f>
        <v>149</v>
      </c>
      <c r="P53" s="257">
        <f>+IS!P112</f>
        <v>70</v>
      </c>
      <c r="Q53" s="257">
        <f>+IS!Q112</f>
        <v>-388</v>
      </c>
      <c r="R53" s="539">
        <f>+IS!R112</f>
        <v>-27</v>
      </c>
      <c r="S53" s="257">
        <f>+IS!S112</f>
        <v>129</v>
      </c>
      <c r="T53" s="257">
        <f>+IS!T112</f>
        <v>187</v>
      </c>
      <c r="U53" s="257">
        <f>+IS!U112</f>
        <v>307</v>
      </c>
      <c r="V53" s="257">
        <f>+IS!V112</f>
        <v>125</v>
      </c>
      <c r="W53" s="539">
        <f>+IS!W112</f>
        <v>748</v>
      </c>
      <c r="X53" s="257">
        <f>+IS!X112</f>
        <v>95</v>
      </c>
      <c r="Y53" s="257">
        <f>+IS!Y112</f>
        <v>131</v>
      </c>
      <c r="Z53" s="257">
        <f>+IS!Z112</f>
        <v>-155</v>
      </c>
      <c r="AA53" s="257">
        <f>+IS!AA112</f>
        <v>395</v>
      </c>
      <c r="AB53" s="539">
        <f>+IS!AB112</f>
        <v>466</v>
      </c>
      <c r="AC53" s="257">
        <f>+IS!AC112</f>
        <v>225</v>
      </c>
      <c r="AD53" s="257">
        <f>+IS!AD112</f>
        <v>-519</v>
      </c>
      <c r="AE53" s="257">
        <f>+IS!AE112</f>
        <v>207</v>
      </c>
      <c r="AF53" s="257">
        <f>+IS!AF112</f>
        <v>129</v>
      </c>
      <c r="AG53" s="539">
        <f>+IS!AG112</f>
        <v>42</v>
      </c>
      <c r="AH53" s="257">
        <f>+IS!AH112</f>
        <v>243</v>
      </c>
      <c r="AI53" s="257">
        <f>+IS!AI112</f>
        <v>235</v>
      </c>
      <c r="AJ53" s="257">
        <f>+IS!AJ112</f>
        <v>527</v>
      </c>
      <c r="AK53" s="257">
        <f>+IS!AK112</f>
        <v>981</v>
      </c>
      <c r="AL53" s="539">
        <f>+IS!AL112</f>
        <v>1986</v>
      </c>
      <c r="AM53" s="257">
        <f>+IS!AM112</f>
        <v>363</v>
      </c>
      <c r="AN53" s="257">
        <f>+IS!AN112</f>
        <v>484</v>
      </c>
      <c r="AO53" s="257">
        <f>+IS!AO112</f>
        <v>208</v>
      </c>
      <c r="AP53" s="257">
        <f>+IS!AP112</f>
        <v>400</v>
      </c>
      <c r="AQ53" s="539">
        <f>+IS!AQ112</f>
        <v>1455</v>
      </c>
      <c r="AR53" s="257">
        <f>+IS!AR112</f>
        <v>1436</v>
      </c>
      <c r="AS53" s="257">
        <f>+IS!AS112</f>
        <v>37</v>
      </c>
      <c r="AT53" s="257">
        <f>+IS!AT112</f>
        <v>660</v>
      </c>
      <c r="AU53" s="257">
        <f>+IS!AU112</f>
        <v>-96</v>
      </c>
      <c r="AV53" s="539">
        <f>+IS!AV112</f>
        <v>2037</v>
      </c>
      <c r="AW53" s="257">
        <f>+IS!AW112</f>
        <v>594</v>
      </c>
      <c r="AX53" s="257">
        <f>+IS!AX112</f>
        <v>869</v>
      </c>
      <c r="AY53" s="257">
        <f>+IS!AY112</f>
        <v>1478</v>
      </c>
      <c r="AZ53" s="257">
        <f>+IS!AZ112</f>
        <v>-4063</v>
      </c>
      <c r="BA53" s="539">
        <f>+IS!BA112</f>
        <v>-1122</v>
      </c>
      <c r="BB53" s="257">
        <f>+IS!BB112</f>
        <v>2565</v>
      </c>
      <c r="BC53" s="257">
        <f>+IS!BC112</f>
        <v>538</v>
      </c>
      <c r="BD53" s="257">
        <f>+IS!BD112</f>
        <v>1381</v>
      </c>
      <c r="BE53" s="257">
        <f>+IS!BE112</f>
        <v>5182</v>
      </c>
      <c r="BF53" s="539">
        <f>+IS!BF112</f>
        <v>9666</v>
      </c>
      <c r="BG53" s="257">
        <f>+IS!BG112</f>
        <v>2700</v>
      </c>
      <c r="BH53" s="257">
        <f>+IS!BH112</f>
        <v>2000</v>
      </c>
      <c r="BI53" s="257">
        <f>+IS!BI112</f>
        <v>-497</v>
      </c>
      <c r="BJ53" s="257">
        <f>+IS!BJ112</f>
        <v>2597</v>
      </c>
      <c r="BK53" s="539">
        <f>+IS!BK112</f>
        <v>6800</v>
      </c>
      <c r="BL53" s="257">
        <f>+IS!BL112</f>
        <v>1233.3028187500008</v>
      </c>
      <c r="BM53" s="257">
        <f>+IS!BM112</f>
        <v>1634.8386740000003</v>
      </c>
      <c r="BN53" s="257">
        <f>+IS!BN112</f>
        <v>1796.8866994500008</v>
      </c>
      <c r="BO53" s="257">
        <f>+IS!BO112</f>
        <v>1826.3722072195001</v>
      </c>
      <c r="BP53" s="539">
        <f>+IS!BP112</f>
        <v>6491.4003994195009</v>
      </c>
      <c r="BQ53" s="257">
        <f>+IS!BQ112</f>
        <v>1748.6216865197102</v>
      </c>
      <c r="BR53" s="257">
        <f>+IS!BR112</f>
        <v>1753.988931930822</v>
      </c>
      <c r="BS53" s="257">
        <f>+IS!BS112</f>
        <v>1802.8150709981521</v>
      </c>
      <c r="BT53" s="257">
        <f>+IS!BT112</f>
        <v>1813.3881049079371</v>
      </c>
      <c r="BU53" s="539">
        <f>+IS!BU112</f>
        <v>7118.8137943566217</v>
      </c>
    </row>
    <row r="54" spans="1:73" s="106" customFormat="1" ht="12.75" outlineLevel="1">
      <c r="A54" s="106" t="s">
        <v>192</v>
      </c>
      <c r="B54" s="224" t="s">
        <v>193</v>
      </c>
      <c r="C54" s="227"/>
      <c r="D54" s="314"/>
      <c r="E54" s="314"/>
      <c r="F54" s="314"/>
      <c r="G54" s="314"/>
      <c r="H54" s="314">
        <v>0</v>
      </c>
      <c r="I54" s="314">
        <v>0</v>
      </c>
      <c r="J54" s="314">
        <v>0</v>
      </c>
      <c r="K54" s="314">
        <v>0</v>
      </c>
      <c r="L54" s="314">
        <v>0</v>
      </c>
      <c r="M54" s="539">
        <f>+SUM(I54:L54)</f>
        <v>0</v>
      </c>
      <c r="N54" s="314">
        <v>0</v>
      </c>
      <c r="O54" s="314">
        <v>0</v>
      </c>
      <c r="P54" s="314">
        <v>0</v>
      </c>
      <c r="Q54" s="314">
        <v>0</v>
      </c>
      <c r="R54" s="539">
        <f>+SUM(N54:Q54)</f>
        <v>0</v>
      </c>
      <c r="S54" s="314">
        <v>0</v>
      </c>
      <c r="T54" s="314">
        <v>0</v>
      </c>
      <c r="U54" s="314">
        <v>2632</v>
      </c>
      <c r="V54" s="314">
        <v>352</v>
      </c>
      <c r="W54" s="539">
        <f>+SUM(S54:V54)</f>
        <v>2984</v>
      </c>
      <c r="X54" s="314">
        <v>0</v>
      </c>
      <c r="Y54" s="314">
        <v>0</v>
      </c>
      <c r="Z54" s="314">
        <v>0</v>
      </c>
      <c r="AA54" s="314">
        <v>0</v>
      </c>
      <c r="AB54" s="539">
        <f>+SUM(X54:AA54)</f>
        <v>0</v>
      </c>
      <c r="AC54" s="257">
        <v>0</v>
      </c>
      <c r="AD54" s="257">
        <v>0</v>
      </c>
      <c r="AE54" s="257">
        <v>0</v>
      </c>
      <c r="AF54" s="257">
        <v>0</v>
      </c>
      <c r="AG54" s="539">
        <f>+SUM(AC54:AF54)</f>
        <v>0</v>
      </c>
      <c r="AH54" s="257">
        <v>0</v>
      </c>
      <c r="AI54" s="257">
        <v>0</v>
      </c>
      <c r="AJ54" s="257">
        <v>0</v>
      </c>
      <c r="AK54" s="257">
        <f>+AJ54</f>
        <v>0</v>
      </c>
      <c r="AL54" s="539">
        <f>+SUM(AH54:AK54)</f>
        <v>0</v>
      </c>
      <c r="AM54" s="257">
        <f>+AK54</f>
        <v>0</v>
      </c>
      <c r="AN54" s="257">
        <f>+AM54</f>
        <v>0</v>
      </c>
      <c r="AO54" s="257">
        <f>+AN54</f>
        <v>0</v>
      </c>
      <c r="AP54" s="257">
        <f>+AO54</f>
        <v>0</v>
      </c>
      <c r="AQ54" s="539">
        <f>+SUM(AM54:AP54)</f>
        <v>0</v>
      </c>
      <c r="AR54" s="257">
        <f>+AP54</f>
        <v>0</v>
      </c>
      <c r="AS54" s="257">
        <f>+AR54</f>
        <v>0</v>
      </c>
      <c r="AT54" s="257">
        <f>+AS54</f>
        <v>0</v>
      </c>
      <c r="AU54" s="257">
        <v>-9</v>
      </c>
      <c r="AV54" s="539">
        <f>+SUM(AR54:AU54)</f>
        <v>-9</v>
      </c>
      <c r="AW54" s="314">
        <f>AT54</f>
        <v>0</v>
      </c>
      <c r="AX54" s="314">
        <f>+AW54</f>
        <v>0</v>
      </c>
      <c r="AY54" s="314">
        <f>+AX54</f>
        <v>0</v>
      </c>
      <c r="AZ54" s="314">
        <f>+AY54</f>
        <v>0</v>
      </c>
      <c r="BA54" s="539">
        <f>+SUM(AW54:AZ54)</f>
        <v>0</v>
      </c>
      <c r="BB54" s="314">
        <f>-6360</f>
        <v>-6360</v>
      </c>
      <c r="BC54" s="314">
        <f>-1571</f>
        <v>-1571</v>
      </c>
      <c r="BD54" s="314">
        <v>-1571</v>
      </c>
      <c r="BE54" s="314">
        <v>3514</v>
      </c>
      <c r="BF54" s="539">
        <f>+SUM(BB54:BE54)</f>
        <v>-5988</v>
      </c>
      <c r="BG54" s="314">
        <v>0</v>
      </c>
      <c r="BH54" s="314">
        <v>0</v>
      </c>
      <c r="BI54" s="314">
        <f>+BH54</f>
        <v>0</v>
      </c>
      <c r="BJ54" s="314">
        <f>+BI54</f>
        <v>0</v>
      </c>
      <c r="BK54" s="539">
        <f>+SUM(BG54:BJ54)</f>
        <v>0</v>
      </c>
      <c r="BL54" s="314">
        <f>+BJ54</f>
        <v>0</v>
      </c>
      <c r="BM54" s="314">
        <f>+BL54</f>
        <v>0</v>
      </c>
      <c r="BN54" s="314">
        <f>+BM54</f>
        <v>0</v>
      </c>
      <c r="BO54" s="314">
        <f>+BN54</f>
        <v>0</v>
      </c>
      <c r="BP54" s="539">
        <f>+SUM(BL54:BO54)</f>
        <v>0</v>
      </c>
      <c r="BQ54" s="314">
        <f>+BO54</f>
        <v>0</v>
      </c>
      <c r="BR54" s="314">
        <f>+BQ54</f>
        <v>0</v>
      </c>
      <c r="BS54" s="314">
        <f>+BR54</f>
        <v>0</v>
      </c>
      <c r="BT54" s="314">
        <f>+BS54</f>
        <v>0</v>
      </c>
      <c r="BU54" s="539">
        <f>+SUM(BQ54:BT54)</f>
        <v>0</v>
      </c>
    </row>
    <row r="55" spans="1:73" s="106" customFormat="1" ht="3.75" customHeight="1" outlineLevel="1">
      <c r="B55" s="224"/>
      <c r="C55" s="227"/>
      <c r="D55" s="315" t="s">
        <v>1</v>
      </c>
      <c r="E55" s="315" t="s">
        <v>1</v>
      </c>
      <c r="F55" s="315" t="s">
        <v>1</v>
      </c>
      <c r="G55" s="315" t="s">
        <v>1</v>
      </c>
      <c r="H55" s="315" t="s">
        <v>1</v>
      </c>
      <c r="I55" s="315" t="s">
        <v>1</v>
      </c>
      <c r="J55" s="315" t="s">
        <v>1</v>
      </c>
      <c r="K55" s="315" t="s">
        <v>1</v>
      </c>
      <c r="L55" s="315" t="s">
        <v>1</v>
      </c>
      <c r="M55" s="540" t="s">
        <v>1</v>
      </c>
      <c r="N55" s="315" t="s">
        <v>1</v>
      </c>
      <c r="O55" s="315" t="s">
        <v>1</v>
      </c>
      <c r="P55" s="315" t="s">
        <v>1</v>
      </c>
      <c r="Q55" s="315" t="s">
        <v>1</v>
      </c>
      <c r="R55" s="540" t="s">
        <v>1</v>
      </c>
      <c r="S55" s="315" t="s">
        <v>1</v>
      </c>
      <c r="T55" s="315" t="s">
        <v>1</v>
      </c>
      <c r="U55" s="315" t="s">
        <v>1</v>
      </c>
      <c r="V55" s="315" t="s">
        <v>1</v>
      </c>
      <c r="W55" s="540" t="s">
        <v>1</v>
      </c>
      <c r="X55" s="315" t="s">
        <v>1</v>
      </c>
      <c r="Y55" s="315" t="s">
        <v>1</v>
      </c>
      <c r="Z55" s="315" t="s">
        <v>1</v>
      </c>
      <c r="AA55" s="315" t="s">
        <v>1</v>
      </c>
      <c r="AB55" s="540" t="s">
        <v>1</v>
      </c>
      <c r="AC55" s="315" t="s">
        <v>1</v>
      </c>
      <c r="AD55" s="315" t="s">
        <v>1</v>
      </c>
      <c r="AE55" s="315" t="s">
        <v>1</v>
      </c>
      <c r="AF55" s="315" t="s">
        <v>1</v>
      </c>
      <c r="AG55" s="540" t="s">
        <v>1</v>
      </c>
      <c r="AH55" s="315" t="s">
        <v>1</v>
      </c>
      <c r="AI55" s="315" t="s">
        <v>1</v>
      </c>
      <c r="AJ55" s="315" t="s">
        <v>1</v>
      </c>
      <c r="AK55" s="315" t="s">
        <v>1</v>
      </c>
      <c r="AL55" s="540" t="s">
        <v>1</v>
      </c>
      <c r="AM55" s="315" t="s">
        <v>1</v>
      </c>
      <c r="AN55" s="315" t="s">
        <v>1</v>
      </c>
      <c r="AO55" s="315" t="s">
        <v>1</v>
      </c>
      <c r="AP55" s="315" t="s">
        <v>1</v>
      </c>
      <c r="AQ55" s="540" t="s">
        <v>1</v>
      </c>
      <c r="AR55" s="315" t="s">
        <v>1</v>
      </c>
      <c r="AS55" s="315" t="s">
        <v>1</v>
      </c>
      <c r="AT55" s="315" t="s">
        <v>1</v>
      </c>
      <c r="AU55" s="315" t="s">
        <v>1</v>
      </c>
      <c r="AV55" s="540" t="s">
        <v>1</v>
      </c>
      <c r="AW55" s="315" t="s">
        <v>1</v>
      </c>
      <c r="AX55" s="315" t="s">
        <v>1</v>
      </c>
      <c r="AY55" s="315" t="s">
        <v>1</v>
      </c>
      <c r="AZ55" s="315" t="s">
        <v>1</v>
      </c>
      <c r="BA55" s="540" t="s">
        <v>1</v>
      </c>
      <c r="BB55" s="315" t="s">
        <v>1</v>
      </c>
      <c r="BC55" s="315" t="s">
        <v>1</v>
      </c>
      <c r="BD55" s="315" t="s">
        <v>1</v>
      </c>
      <c r="BE55" s="315" t="s">
        <v>1</v>
      </c>
      <c r="BF55" s="540" t="s">
        <v>1</v>
      </c>
      <c r="BG55" s="315" t="s">
        <v>1</v>
      </c>
      <c r="BH55" s="315" t="s">
        <v>1</v>
      </c>
      <c r="BI55" s="315" t="s">
        <v>1</v>
      </c>
      <c r="BJ55" s="315" t="s">
        <v>1</v>
      </c>
      <c r="BK55" s="540" t="s">
        <v>1</v>
      </c>
      <c r="BL55" s="315" t="s">
        <v>1</v>
      </c>
      <c r="BM55" s="315" t="s">
        <v>1</v>
      </c>
      <c r="BN55" s="315" t="s">
        <v>1</v>
      </c>
      <c r="BO55" s="315" t="s">
        <v>1</v>
      </c>
      <c r="BP55" s="540" t="s">
        <v>1</v>
      </c>
      <c r="BQ55" s="315" t="s">
        <v>1</v>
      </c>
      <c r="BR55" s="315" t="s">
        <v>1</v>
      </c>
      <c r="BS55" s="315" t="s">
        <v>1</v>
      </c>
      <c r="BT55" s="315" t="s">
        <v>1</v>
      </c>
      <c r="BU55" s="540" t="s">
        <v>1</v>
      </c>
    </row>
    <row r="56" spans="1:73" s="106" customFormat="1" ht="12.75" outlineLevel="1">
      <c r="B56" s="224" t="s">
        <v>305</v>
      </c>
      <c r="C56" s="227"/>
      <c r="D56" s="257"/>
      <c r="E56" s="257"/>
      <c r="F56" s="257"/>
      <c r="G56" s="257"/>
      <c r="H56" s="257">
        <f t="shared" ref="H56:AB56" si="53">+H53-H54</f>
        <v>379</v>
      </c>
      <c r="I56" s="257">
        <f t="shared" si="53"/>
        <v>74</v>
      </c>
      <c r="J56" s="257">
        <f t="shared" si="53"/>
        <v>97</v>
      </c>
      <c r="K56" s="257">
        <f t="shared" si="53"/>
        <v>211</v>
      </c>
      <c r="L56" s="257">
        <f t="shared" si="53"/>
        <v>114</v>
      </c>
      <c r="M56" s="539">
        <f t="shared" si="53"/>
        <v>496</v>
      </c>
      <c r="N56" s="257">
        <f t="shared" si="53"/>
        <v>142</v>
      </c>
      <c r="O56" s="257">
        <f t="shared" si="53"/>
        <v>149</v>
      </c>
      <c r="P56" s="257">
        <f t="shared" si="53"/>
        <v>70</v>
      </c>
      <c r="Q56" s="257">
        <f t="shared" si="53"/>
        <v>-388</v>
      </c>
      <c r="R56" s="539">
        <f t="shared" si="53"/>
        <v>-27</v>
      </c>
      <c r="S56" s="257">
        <f t="shared" si="53"/>
        <v>129</v>
      </c>
      <c r="T56" s="257">
        <f t="shared" si="53"/>
        <v>187</v>
      </c>
      <c r="U56" s="257">
        <f t="shared" si="53"/>
        <v>-2325</v>
      </c>
      <c r="V56" s="257">
        <f t="shared" si="53"/>
        <v>-227</v>
      </c>
      <c r="W56" s="539">
        <f t="shared" si="53"/>
        <v>-2236</v>
      </c>
      <c r="X56" s="257">
        <f t="shared" si="53"/>
        <v>95</v>
      </c>
      <c r="Y56" s="257">
        <f t="shared" si="53"/>
        <v>131</v>
      </c>
      <c r="Z56" s="257">
        <f t="shared" si="53"/>
        <v>-155</v>
      </c>
      <c r="AA56" s="257">
        <f t="shared" si="53"/>
        <v>395</v>
      </c>
      <c r="AB56" s="539">
        <f t="shared" si="53"/>
        <v>466</v>
      </c>
      <c r="AC56" s="257">
        <f t="shared" ref="AC56:BP56" si="54">+AC53-AC54</f>
        <v>225</v>
      </c>
      <c r="AD56" s="257">
        <f t="shared" si="54"/>
        <v>-519</v>
      </c>
      <c r="AE56" s="257">
        <f t="shared" si="54"/>
        <v>207</v>
      </c>
      <c r="AF56" s="257">
        <f t="shared" si="54"/>
        <v>129</v>
      </c>
      <c r="AG56" s="539">
        <f t="shared" si="54"/>
        <v>42</v>
      </c>
      <c r="AH56" s="257">
        <f t="shared" si="54"/>
        <v>243</v>
      </c>
      <c r="AI56" s="257">
        <f t="shared" si="54"/>
        <v>235</v>
      </c>
      <c r="AJ56" s="257">
        <f t="shared" si="54"/>
        <v>527</v>
      </c>
      <c r="AK56" s="257">
        <f t="shared" si="54"/>
        <v>981</v>
      </c>
      <c r="AL56" s="539">
        <f t="shared" si="54"/>
        <v>1986</v>
      </c>
      <c r="AM56" s="257">
        <f t="shared" si="54"/>
        <v>363</v>
      </c>
      <c r="AN56" s="257">
        <f t="shared" si="54"/>
        <v>484</v>
      </c>
      <c r="AO56" s="257">
        <f t="shared" si="54"/>
        <v>208</v>
      </c>
      <c r="AP56" s="257">
        <f t="shared" si="54"/>
        <v>400</v>
      </c>
      <c r="AQ56" s="539">
        <f t="shared" si="54"/>
        <v>1455</v>
      </c>
      <c r="AR56" s="257">
        <f t="shared" si="54"/>
        <v>1436</v>
      </c>
      <c r="AS56" s="257">
        <f t="shared" si="54"/>
        <v>37</v>
      </c>
      <c r="AT56" s="257">
        <f t="shared" si="54"/>
        <v>660</v>
      </c>
      <c r="AU56" s="257">
        <f t="shared" si="54"/>
        <v>-87</v>
      </c>
      <c r="AV56" s="539">
        <f t="shared" si="54"/>
        <v>2046</v>
      </c>
      <c r="AW56" s="257">
        <f t="shared" si="54"/>
        <v>594</v>
      </c>
      <c r="AX56" s="257">
        <f t="shared" si="54"/>
        <v>869</v>
      </c>
      <c r="AY56" s="257">
        <f t="shared" si="54"/>
        <v>1478</v>
      </c>
      <c r="AZ56" s="257">
        <f t="shared" si="54"/>
        <v>-4063</v>
      </c>
      <c r="BA56" s="539">
        <f t="shared" si="54"/>
        <v>-1122</v>
      </c>
      <c r="BB56" s="257">
        <f t="shared" si="54"/>
        <v>8925</v>
      </c>
      <c r="BC56" s="257">
        <f t="shared" si="54"/>
        <v>2109</v>
      </c>
      <c r="BD56" s="257">
        <f t="shared" si="54"/>
        <v>2952</v>
      </c>
      <c r="BE56" s="257">
        <f t="shared" si="54"/>
        <v>1668</v>
      </c>
      <c r="BF56" s="539">
        <f t="shared" si="54"/>
        <v>15654</v>
      </c>
      <c r="BG56" s="257">
        <f t="shared" si="54"/>
        <v>2700</v>
      </c>
      <c r="BH56" s="257">
        <f t="shared" si="54"/>
        <v>2000</v>
      </c>
      <c r="BI56" s="257">
        <f t="shared" si="54"/>
        <v>-497</v>
      </c>
      <c r="BJ56" s="257">
        <f t="shared" si="54"/>
        <v>2597</v>
      </c>
      <c r="BK56" s="539">
        <f t="shared" si="54"/>
        <v>6800</v>
      </c>
      <c r="BL56" s="257">
        <f t="shared" si="54"/>
        <v>1233.3028187500008</v>
      </c>
      <c r="BM56" s="257">
        <f t="shared" si="54"/>
        <v>1634.8386740000003</v>
      </c>
      <c r="BN56" s="257">
        <f t="shared" si="54"/>
        <v>1796.8866994500008</v>
      </c>
      <c r="BO56" s="257">
        <f t="shared" si="54"/>
        <v>1826.3722072195001</v>
      </c>
      <c r="BP56" s="539">
        <f t="shared" si="54"/>
        <v>6491.4003994195009</v>
      </c>
      <c r="BQ56" s="257">
        <f t="shared" ref="BQ56:BU56" si="55">+BQ53-BQ54</f>
        <v>1748.6216865197102</v>
      </c>
      <c r="BR56" s="257">
        <f t="shared" si="55"/>
        <v>1753.988931930822</v>
      </c>
      <c r="BS56" s="257">
        <f t="shared" si="55"/>
        <v>1802.8150709981521</v>
      </c>
      <c r="BT56" s="257">
        <f t="shared" si="55"/>
        <v>1813.3881049079371</v>
      </c>
      <c r="BU56" s="539">
        <f t="shared" si="55"/>
        <v>7118.8137943566217</v>
      </c>
    </row>
    <row r="57" spans="1:73" s="106" customFormat="1" ht="12.75" outlineLevel="1">
      <c r="B57" s="224" t="s">
        <v>306</v>
      </c>
      <c r="C57" s="227"/>
      <c r="D57" s="257"/>
      <c r="E57" s="257"/>
      <c r="F57" s="257"/>
      <c r="G57" s="257"/>
      <c r="H57" s="257"/>
      <c r="I57" s="257"/>
      <c r="J57" s="257"/>
      <c r="K57" s="257"/>
      <c r="L57" s="257"/>
      <c r="M57" s="539"/>
      <c r="N57" s="228">
        <f t="shared" ref="N57:AL57" si="56">+N56/(N56+N71)</f>
        <v>-9.1980826531934193E-3</v>
      </c>
      <c r="O57" s="228">
        <f t="shared" si="56"/>
        <v>-1.1200481094489964E-2</v>
      </c>
      <c r="P57" s="228">
        <f t="shared" si="56"/>
        <v>-6.9142631370999602E-3</v>
      </c>
      <c r="Q57" s="228">
        <f t="shared" si="56"/>
        <v>3.8181460342452275E-2</v>
      </c>
      <c r="R57" s="526">
        <f t="shared" si="56"/>
        <v>5.5071695188365591E-4</v>
      </c>
      <c r="S57" s="228">
        <f t="shared" si="56"/>
        <v>-1.2384792626728111E-2</v>
      </c>
      <c r="T57" s="228">
        <f t="shared" si="56"/>
        <v>-1.6331877729257642E-2</v>
      </c>
      <c r="U57" s="228">
        <f t="shared" si="56"/>
        <v>0.18439210088032357</v>
      </c>
      <c r="V57" s="228">
        <f t="shared" si="56"/>
        <v>1.7156677499811049E-2</v>
      </c>
      <c r="W57" s="526">
        <f t="shared" si="56"/>
        <v>4.6870414622898586E-2</v>
      </c>
      <c r="X57" s="228">
        <f t="shared" si="56"/>
        <v>-5.8404032952170167E-3</v>
      </c>
      <c r="Y57" s="228">
        <f t="shared" si="56"/>
        <v>-9.2240529502886914E-3</v>
      </c>
      <c r="Z57" s="228">
        <f t="shared" si="56"/>
        <v>1.2931753712664775E-2</v>
      </c>
      <c r="AA57" s="228">
        <f t="shared" si="56"/>
        <v>-3.1287128712871287E-2</v>
      </c>
      <c r="AB57" s="526">
        <f t="shared" si="56"/>
        <v>-8.4605748107264116E-3</v>
      </c>
      <c r="AC57" s="228">
        <f t="shared" si="56"/>
        <v>-1.9654088050314465E-2</v>
      </c>
      <c r="AD57" s="228">
        <f t="shared" si="56"/>
        <v>3.7233660951287752E-2</v>
      </c>
      <c r="AE57" s="228">
        <f t="shared" si="56"/>
        <v>-1.4578491443059371E-2</v>
      </c>
      <c r="AF57" s="228">
        <f t="shared" si="56"/>
        <v>-9.0736442287402408E-3</v>
      </c>
      <c r="AG57" s="526">
        <f>+AG56/(AG56+AG71)</f>
        <v>-7.806256156719885E-4</v>
      </c>
      <c r="AH57" s="228">
        <f t="shared" si="56"/>
        <v>-1.0713813323927516E-2</v>
      </c>
      <c r="AI57" s="228">
        <f t="shared" si="56"/>
        <v>-1.1068720267533324E-2</v>
      </c>
      <c r="AJ57" s="228">
        <f t="shared" si="56"/>
        <v>-2.1068201806988086E-2</v>
      </c>
      <c r="AK57" s="228">
        <f t="shared" si="56"/>
        <v>-3.5114722411139346E-2</v>
      </c>
      <c r="AL57" s="526">
        <f t="shared" si="56"/>
        <v>-2.0503184910646996E-2</v>
      </c>
      <c r="AM57" s="228">
        <f t="shared" ref="AM57:BP57" si="57">+AM56/(AM56+AM71)</f>
        <v>-1.2312597517129096E-2</v>
      </c>
      <c r="AN57" s="228">
        <f t="shared" si="57"/>
        <v>-1.4370546318289787E-2</v>
      </c>
      <c r="AO57" s="228">
        <f t="shared" si="57"/>
        <v>-5.5478502080443829E-3</v>
      </c>
      <c r="AP57" s="228">
        <f t="shared" si="57"/>
        <v>-9.0446579988694171E-3</v>
      </c>
      <c r="AQ57" s="526">
        <f t="shared" si="57"/>
        <v>-1.0042863354937568E-2</v>
      </c>
      <c r="AR57" s="228">
        <f t="shared" si="57"/>
        <v>-3.2963753644147553E-2</v>
      </c>
      <c r="AS57" s="228">
        <f t="shared" si="57"/>
        <v>-9.3507543784275571E-4</v>
      </c>
      <c r="AT57" s="228">
        <f t="shared" si="57"/>
        <v>-2.3833598151090568E-2</v>
      </c>
      <c r="AU57" s="228">
        <f t="shared" si="57"/>
        <v>7.5836820083682007E-3</v>
      </c>
      <c r="AV57" s="526">
        <f t="shared" si="57"/>
        <v>-1.6729901223261595E-2</v>
      </c>
      <c r="AW57" s="228">
        <f t="shared" si="57"/>
        <v>-2.4163039498840664E-2</v>
      </c>
      <c r="AX57" s="228">
        <f t="shared" si="57"/>
        <v>-3.4492339445899821E-2</v>
      </c>
      <c r="AY57" s="228">
        <f t="shared" si="57"/>
        <v>0.2565972222222222</v>
      </c>
      <c r="AZ57" s="228">
        <f t="shared" si="57"/>
        <v>-0.20964912280701756</v>
      </c>
      <c r="BA57" s="526">
        <f t="shared" si="57"/>
        <v>4.5541259081868735E-2</v>
      </c>
      <c r="BB57" s="228">
        <f t="shared" si="57"/>
        <v>0.79808638111419117</v>
      </c>
      <c r="BC57" s="228">
        <f t="shared" si="57"/>
        <v>0.2046777950310559</v>
      </c>
      <c r="BD57" s="228">
        <f t="shared" si="57"/>
        <v>0.15133804983082128</v>
      </c>
      <c r="BE57" s="228">
        <f t="shared" si="57"/>
        <v>0.43437500000000001</v>
      </c>
      <c r="BF57" s="526">
        <f t="shared" si="57"/>
        <v>0.3491624473044409</v>
      </c>
      <c r="BG57" s="228">
        <f t="shared" si="57"/>
        <v>0.5619146722164412</v>
      </c>
      <c r="BH57" s="228">
        <f t="shared" si="57"/>
        <v>0.1934610176049526</v>
      </c>
      <c r="BI57" s="228">
        <f t="shared" si="57"/>
        <v>-5.3371993127147764E-2</v>
      </c>
      <c r="BJ57" s="228">
        <f t="shared" si="57"/>
        <v>0.45354523227383864</v>
      </c>
      <c r="BK57" s="526">
        <f t="shared" si="57"/>
        <v>0.22530731254762931</v>
      </c>
      <c r="BL57" s="228">
        <f t="shared" si="57"/>
        <v>-0.10786554360697681</v>
      </c>
      <c r="BM57" s="228">
        <f t="shared" si="57"/>
        <v>-1.1285506353531825</v>
      </c>
      <c r="BN57" s="228">
        <f t="shared" si="57"/>
        <v>-3.7346440918837902</v>
      </c>
      <c r="BO57" s="228">
        <f t="shared" si="57"/>
        <v>-18.714545055420857</v>
      </c>
      <c r="BP57" s="526">
        <f t="shared" si="57"/>
        <v>-0.48223566635994475</v>
      </c>
      <c r="BQ57" s="228">
        <f t="shared" ref="BQ57:BU57" si="58">+BQ56/(BQ56+BQ71)</f>
        <v>-1.0762543173930033</v>
      </c>
      <c r="BR57" s="228">
        <f t="shared" si="58"/>
        <v>3.7387368713844364</v>
      </c>
      <c r="BS57" s="228">
        <f t="shared" si="58"/>
        <v>-2.1369878342389388</v>
      </c>
      <c r="BT57" s="228">
        <f t="shared" si="58"/>
        <v>-2.1676574955952055</v>
      </c>
      <c r="BU57" s="526">
        <f t="shared" si="58"/>
        <v>-2.5103549072995124</v>
      </c>
    </row>
    <row r="58" spans="1:73" s="106" customFormat="1" ht="6.75" customHeight="1" outlineLevel="1">
      <c r="B58" s="224"/>
      <c r="C58" s="227"/>
      <c r="D58" s="257"/>
      <c r="E58" s="257"/>
      <c r="F58" s="257"/>
      <c r="G58" s="257"/>
      <c r="H58" s="257"/>
      <c r="I58" s="257"/>
      <c r="J58" s="257"/>
      <c r="K58" s="257"/>
      <c r="L58" s="257"/>
      <c r="M58" s="539"/>
      <c r="N58" s="228"/>
      <c r="O58" s="228"/>
      <c r="P58" s="228"/>
      <c r="Q58" s="228"/>
      <c r="R58" s="526"/>
      <c r="S58" s="228"/>
      <c r="T58" s="228"/>
      <c r="U58" s="228"/>
      <c r="V58" s="228"/>
      <c r="W58" s="526"/>
      <c r="X58" s="228"/>
      <c r="Y58" s="228"/>
      <c r="Z58" s="228"/>
      <c r="AA58" s="228"/>
      <c r="AB58" s="526"/>
      <c r="AC58" s="228"/>
      <c r="AD58" s="228"/>
      <c r="AE58" s="228"/>
      <c r="AF58" s="228"/>
      <c r="AG58" s="526"/>
      <c r="AH58" s="228"/>
      <c r="AI58" s="228"/>
      <c r="AJ58" s="228"/>
      <c r="AK58" s="228"/>
      <c r="AL58" s="526"/>
      <c r="AM58" s="228"/>
      <c r="AN58" s="228"/>
      <c r="AO58" s="228"/>
      <c r="AP58" s="228"/>
      <c r="AQ58" s="526"/>
      <c r="AR58" s="228"/>
      <c r="AS58" s="228"/>
      <c r="AT58" s="228"/>
      <c r="AU58" s="228"/>
      <c r="AV58" s="526"/>
      <c r="AW58" s="228"/>
      <c r="AX58" s="228"/>
      <c r="AY58" s="228"/>
      <c r="AZ58" s="228"/>
      <c r="BA58" s="526"/>
      <c r="BB58" s="228"/>
      <c r="BC58" s="228"/>
      <c r="BD58" s="228"/>
      <c r="BE58" s="228"/>
      <c r="BF58" s="526"/>
      <c r="BG58" s="228"/>
      <c r="BH58" s="228"/>
      <c r="BI58" s="228"/>
      <c r="BJ58" s="228"/>
      <c r="BK58" s="526"/>
      <c r="BL58" s="228"/>
      <c r="BM58" s="228"/>
      <c r="BN58" s="228"/>
      <c r="BO58" s="228"/>
      <c r="BP58" s="526"/>
      <c r="BQ58" s="228"/>
      <c r="BR58" s="228"/>
      <c r="BS58" s="228"/>
      <c r="BT58" s="228"/>
      <c r="BU58" s="526"/>
    </row>
    <row r="59" spans="1:73" s="106" customFormat="1" ht="12.75" outlineLevel="1">
      <c r="A59" s="106" t="s">
        <v>257</v>
      </c>
      <c r="B59" s="224" t="s">
        <v>307</v>
      </c>
      <c r="C59" s="227"/>
      <c r="D59" s="244"/>
      <c r="E59" s="244"/>
      <c r="F59" s="244"/>
      <c r="G59" s="229"/>
      <c r="H59" s="244">
        <v>869</v>
      </c>
      <c r="I59" s="244">
        <v>203</v>
      </c>
      <c r="J59" s="244">
        <v>276</v>
      </c>
      <c r="K59" s="244">
        <v>285</v>
      </c>
      <c r="L59" s="244">
        <v>522</v>
      </c>
      <c r="M59" s="527">
        <f>+SUM(I59:L59)</f>
        <v>1286</v>
      </c>
      <c r="N59" s="244">
        <v>583</v>
      </c>
      <c r="O59" s="244">
        <v>583</v>
      </c>
      <c r="P59" s="244">
        <v>769</v>
      </c>
      <c r="Q59" s="244">
        <v>503</v>
      </c>
      <c r="R59" s="527">
        <f>+SUM(N59:Q59)</f>
        <v>2438</v>
      </c>
      <c r="S59" s="244">
        <v>486</v>
      </c>
      <c r="T59" s="244">
        <v>483</v>
      </c>
      <c r="U59" s="244">
        <v>894</v>
      </c>
      <c r="V59" s="244">
        <v>950</v>
      </c>
      <c r="W59" s="527">
        <f>+SUM(S59:V59)</f>
        <v>2813</v>
      </c>
      <c r="X59" s="244">
        <v>948</v>
      </c>
      <c r="Y59" s="314">
        <v>933</v>
      </c>
      <c r="Z59" s="314">
        <v>940</v>
      </c>
      <c r="AA59" s="314">
        <v>1323</v>
      </c>
      <c r="AB59" s="539">
        <f>+SUM(X59:AA59)</f>
        <v>4144</v>
      </c>
      <c r="AC59" s="257">
        <v>1397</v>
      </c>
      <c r="AD59" s="257">
        <v>1698</v>
      </c>
      <c r="AE59" s="257">
        <v>1694</v>
      </c>
      <c r="AF59" s="257">
        <v>1690</v>
      </c>
      <c r="AG59" s="539">
        <f>+SUM(AC59:AF59)</f>
        <v>6479</v>
      </c>
      <c r="AH59" s="257">
        <v>1690</v>
      </c>
      <c r="AI59" s="257">
        <v>2285</v>
      </c>
      <c r="AJ59" s="257">
        <f>2581</f>
        <v>2581</v>
      </c>
      <c r="AK59" s="257">
        <f>2582</f>
        <v>2582</v>
      </c>
      <c r="AL59" s="539">
        <f>+SUM(AH59:AK59)</f>
        <v>9138</v>
      </c>
      <c r="AM59" s="257">
        <f>2889</f>
        <v>2889</v>
      </c>
      <c r="AN59" s="257">
        <f>3068</f>
        <v>3068</v>
      </c>
      <c r="AO59" s="257">
        <f>5567</f>
        <v>5567</v>
      </c>
      <c r="AP59" s="257">
        <f>5781</f>
        <v>5781</v>
      </c>
      <c r="AQ59" s="539">
        <f>+SUM(AM59:AP59)</f>
        <v>17305</v>
      </c>
      <c r="AR59" s="257">
        <f>5723</f>
        <v>5723</v>
      </c>
      <c r="AS59" s="257">
        <f>5723</f>
        <v>5723</v>
      </c>
      <c r="AT59" s="257">
        <f>5309</f>
        <v>5309</v>
      </c>
      <c r="AU59" s="257">
        <v>6888</v>
      </c>
      <c r="AV59" s="539">
        <f>+SUM(AR59:AU59)</f>
        <v>23643</v>
      </c>
      <c r="AW59" s="257">
        <v>5222</v>
      </c>
      <c r="AX59" s="257">
        <f>+AW59</f>
        <v>5222</v>
      </c>
      <c r="AY59" s="257">
        <f>5497</f>
        <v>5497</v>
      </c>
      <c r="AZ59" s="257">
        <f>+AY59</f>
        <v>5497</v>
      </c>
      <c r="BA59" s="539">
        <f>+SUM(AW59:AZ59)</f>
        <v>21438</v>
      </c>
      <c r="BB59" s="257">
        <f>5014</f>
        <v>5014</v>
      </c>
      <c r="BC59" s="257">
        <f>4709</f>
        <v>4709</v>
      </c>
      <c r="BD59" s="257">
        <f>5107</f>
        <v>5107</v>
      </c>
      <c r="BE59" s="257">
        <f>8778+882</f>
        <v>9660</v>
      </c>
      <c r="BF59" s="539">
        <f>+SUM(BB59:BE59)</f>
        <v>24490</v>
      </c>
      <c r="BG59" s="314">
        <f>5120</f>
        <v>5120</v>
      </c>
      <c r="BH59" s="314">
        <f>5090</f>
        <v>5090</v>
      </c>
      <c r="BI59" s="314">
        <f>4592</f>
        <v>4592</v>
      </c>
      <c r="BJ59" s="314">
        <f>4494</f>
        <v>4494</v>
      </c>
      <c r="BK59" s="539">
        <f>+SUM(BG59:BJ59)</f>
        <v>19296</v>
      </c>
      <c r="BL59" s="257">
        <f>+BJ59</f>
        <v>4494</v>
      </c>
      <c r="BM59" s="257">
        <f>+BL59</f>
        <v>4494</v>
      </c>
      <c r="BN59" s="257">
        <f>+BM59</f>
        <v>4494</v>
      </c>
      <c r="BO59" s="257">
        <f>+BN59</f>
        <v>4494</v>
      </c>
      <c r="BP59" s="539">
        <f>+SUM(BL59:BO59)</f>
        <v>17976</v>
      </c>
      <c r="BQ59" s="257">
        <f>+BO59</f>
        <v>4494</v>
      </c>
      <c r="BR59" s="257">
        <f>+BQ59</f>
        <v>4494</v>
      </c>
      <c r="BS59" s="257">
        <f>+BR59</f>
        <v>4494</v>
      </c>
      <c r="BT59" s="257">
        <f>+BS59</f>
        <v>4494</v>
      </c>
      <c r="BU59" s="539">
        <f>+SUM(BQ59:BT59)</f>
        <v>17976</v>
      </c>
    </row>
    <row r="60" spans="1:73" s="106" customFormat="1" ht="5.25" customHeight="1" outlineLevel="1">
      <c r="B60" s="224"/>
      <c r="C60" s="227"/>
      <c r="D60" s="257"/>
      <c r="E60" s="257"/>
      <c r="F60" s="257"/>
      <c r="G60" s="257"/>
      <c r="H60" s="257"/>
      <c r="I60" s="257"/>
      <c r="J60" s="257"/>
      <c r="K60" s="257"/>
      <c r="L60" s="257"/>
      <c r="M60" s="539"/>
      <c r="N60" s="257"/>
      <c r="O60" s="257"/>
      <c r="P60" s="257"/>
      <c r="Q60" s="257"/>
      <c r="R60" s="539"/>
      <c r="S60" s="257"/>
      <c r="T60" s="257"/>
      <c r="U60" s="257"/>
      <c r="V60" s="257"/>
      <c r="W60" s="539"/>
      <c r="X60" s="257"/>
      <c r="Y60" s="257"/>
      <c r="Z60" s="257"/>
      <c r="AA60" s="257"/>
      <c r="AB60" s="539"/>
      <c r="AC60" s="257"/>
      <c r="AD60" s="257"/>
      <c r="AE60" s="257"/>
      <c r="AF60" s="257"/>
      <c r="AG60" s="539"/>
      <c r="AH60" s="257"/>
      <c r="AI60" s="257"/>
      <c r="AJ60" s="257"/>
      <c r="AK60" s="257"/>
      <c r="AL60" s="539"/>
      <c r="AM60" s="257"/>
      <c r="AN60" s="257"/>
      <c r="AO60" s="257"/>
      <c r="AP60" s="257"/>
      <c r="AQ60" s="539"/>
      <c r="AR60" s="257"/>
      <c r="AS60" s="257"/>
      <c r="AT60" s="257"/>
      <c r="AU60" s="257"/>
      <c r="AV60" s="539"/>
      <c r="AW60" s="257"/>
      <c r="AX60" s="257"/>
      <c r="AY60" s="257"/>
      <c r="AZ60" s="257"/>
      <c r="BA60" s="539"/>
      <c r="BB60" s="257"/>
      <c r="BC60" s="257"/>
      <c r="BD60" s="257"/>
      <c r="BE60" s="257"/>
      <c r="BF60" s="539"/>
      <c r="BG60" s="257"/>
      <c r="BH60" s="257"/>
      <c r="BI60" s="257"/>
      <c r="BJ60" s="257"/>
      <c r="BK60" s="539"/>
      <c r="BL60" s="257"/>
      <c r="BM60" s="257"/>
      <c r="BN60" s="257"/>
      <c r="BO60" s="257"/>
      <c r="BP60" s="539"/>
      <c r="BQ60" s="257"/>
      <c r="BR60" s="257"/>
      <c r="BS60" s="257"/>
      <c r="BT60" s="257"/>
      <c r="BU60" s="539"/>
    </row>
    <row r="61" spans="1:73" s="106" customFormat="1" ht="12.75" outlineLevel="1">
      <c r="A61" s="106" t="s">
        <v>192</v>
      </c>
      <c r="B61" s="262" t="s">
        <v>267</v>
      </c>
      <c r="C61" s="227"/>
      <c r="D61" s="244"/>
      <c r="E61" s="244"/>
      <c r="F61" s="244"/>
      <c r="G61" s="244"/>
      <c r="H61" s="244">
        <v>0</v>
      </c>
      <c r="I61" s="244">
        <v>0</v>
      </c>
      <c r="J61" s="244">
        <v>0</v>
      </c>
      <c r="K61" s="244">
        <v>483</v>
      </c>
      <c r="L61" s="244">
        <v>0</v>
      </c>
      <c r="M61" s="527">
        <f>+SUM(I61:L61)</f>
        <v>483</v>
      </c>
      <c r="N61" s="244">
        <v>0</v>
      </c>
      <c r="O61" s="244">
        <v>0</v>
      </c>
      <c r="P61" s="244">
        <v>0</v>
      </c>
      <c r="Q61" s="244">
        <v>0</v>
      </c>
      <c r="R61" s="527">
        <f>+SUM(N61:Q61)</f>
        <v>0</v>
      </c>
      <c r="S61" s="244">
        <v>0</v>
      </c>
      <c r="T61" s="244">
        <v>0</v>
      </c>
      <c r="U61" s="244">
        <v>0</v>
      </c>
      <c r="V61" s="244">
        <v>0</v>
      </c>
      <c r="W61" s="527">
        <f>+SUM(S61:V61)</f>
        <v>0</v>
      </c>
      <c r="X61" s="244">
        <f>+V61</f>
        <v>0</v>
      </c>
      <c r="Y61" s="244">
        <v>0</v>
      </c>
      <c r="Z61" s="244">
        <v>0</v>
      </c>
      <c r="AA61" s="244">
        <v>0</v>
      </c>
      <c r="AB61" s="527">
        <f>+SUM(X61:AA61)</f>
        <v>0</v>
      </c>
      <c r="AC61" s="229">
        <v>0</v>
      </c>
      <c r="AD61" s="229">
        <v>0</v>
      </c>
      <c r="AE61" s="229">
        <v>0</v>
      </c>
      <c r="AF61" s="229">
        <v>0</v>
      </c>
      <c r="AG61" s="527">
        <f>+SUM(AC61:AF61)</f>
        <v>0</v>
      </c>
      <c r="AH61" s="229">
        <v>0</v>
      </c>
      <c r="AI61" s="229">
        <v>0</v>
      </c>
      <c r="AJ61" s="229">
        <v>0</v>
      </c>
      <c r="AK61" s="229">
        <f>0</f>
        <v>0</v>
      </c>
      <c r="AL61" s="527">
        <f>+SUM(AH61:AK61)</f>
        <v>0</v>
      </c>
      <c r="AM61" s="229">
        <v>0</v>
      </c>
      <c r="AN61" s="229">
        <f>+AM61</f>
        <v>0</v>
      </c>
      <c r="AO61" s="229">
        <f>+AN61</f>
        <v>0</v>
      </c>
      <c r="AP61" s="229">
        <f>+AO61</f>
        <v>0</v>
      </c>
      <c r="AQ61" s="527">
        <f>+SUM(AM61:AP61)</f>
        <v>0</v>
      </c>
      <c r="AR61" s="229">
        <f>+AP61</f>
        <v>0</v>
      </c>
      <c r="AS61" s="229">
        <f>+AR61</f>
        <v>0</v>
      </c>
      <c r="AT61" s="229">
        <f>+AS61</f>
        <v>0</v>
      </c>
      <c r="AU61" s="229">
        <f>+AT61</f>
        <v>0</v>
      </c>
      <c r="AV61" s="527">
        <f>+SUM(AR61:AU61)</f>
        <v>0</v>
      </c>
      <c r="AW61" s="229">
        <f>+AU61</f>
        <v>0</v>
      </c>
      <c r="AX61" s="229">
        <f>+AW61</f>
        <v>0</v>
      </c>
      <c r="AY61" s="229">
        <f>+AX61</f>
        <v>0</v>
      </c>
      <c r="AZ61" s="229">
        <f>+AY61</f>
        <v>0</v>
      </c>
      <c r="BA61" s="527">
        <f>+SUM(AW61:AZ61)</f>
        <v>0</v>
      </c>
      <c r="BB61" s="229">
        <f>-190</f>
        <v>-190</v>
      </c>
      <c r="BC61" s="229">
        <f>0</f>
        <v>0</v>
      </c>
      <c r="BD61" s="229">
        <f>+BC61</f>
        <v>0</v>
      </c>
      <c r="BE61" s="229">
        <f>+BD61</f>
        <v>0</v>
      </c>
      <c r="BF61" s="527">
        <f>+SUM(BB61:BE61)</f>
        <v>-190</v>
      </c>
      <c r="BG61" s="229">
        <f>0</f>
        <v>0</v>
      </c>
      <c r="BH61" s="229">
        <f>+BG61</f>
        <v>0</v>
      </c>
      <c r="BI61" s="229">
        <f>+BH61</f>
        <v>0</v>
      </c>
      <c r="BJ61" s="229">
        <f>+BI61</f>
        <v>0</v>
      </c>
      <c r="BK61" s="527">
        <f>+SUM(BG61:BJ61)</f>
        <v>0</v>
      </c>
      <c r="BL61" s="229">
        <f>+BJ61</f>
        <v>0</v>
      </c>
      <c r="BM61" s="229">
        <f>+BL61</f>
        <v>0</v>
      </c>
      <c r="BN61" s="229">
        <f>+BM61</f>
        <v>0</v>
      </c>
      <c r="BO61" s="229">
        <f>+BN61</f>
        <v>0</v>
      </c>
      <c r="BP61" s="527">
        <f>+SUM(BL61:BO61)</f>
        <v>0</v>
      </c>
      <c r="BQ61" s="229">
        <f>+BO61</f>
        <v>0</v>
      </c>
      <c r="BR61" s="229">
        <f>+BQ61</f>
        <v>0</v>
      </c>
      <c r="BS61" s="229">
        <f>+BR61</f>
        <v>0</v>
      </c>
      <c r="BT61" s="229">
        <f>+BS61</f>
        <v>0</v>
      </c>
      <c r="BU61" s="527">
        <f>+SUM(BQ61:BT61)</f>
        <v>0</v>
      </c>
    </row>
    <row r="62" spans="1:73" s="106" customFormat="1" ht="6.75" customHeight="1" outlineLevel="1">
      <c r="B62" s="262"/>
      <c r="C62" s="227"/>
      <c r="D62" s="244"/>
      <c r="E62" s="244"/>
      <c r="F62" s="244"/>
      <c r="G62" s="244"/>
      <c r="H62" s="244"/>
      <c r="I62" s="244"/>
      <c r="J62" s="244"/>
      <c r="K62" s="244"/>
      <c r="L62" s="244"/>
      <c r="M62" s="527"/>
      <c r="N62" s="244"/>
      <c r="O62" s="244"/>
      <c r="P62" s="244"/>
      <c r="Q62" s="244"/>
      <c r="R62" s="527"/>
      <c r="S62" s="244"/>
      <c r="T62" s="244"/>
      <c r="U62" s="244"/>
      <c r="V62" s="244"/>
      <c r="W62" s="527"/>
      <c r="X62" s="244"/>
      <c r="Y62" s="244"/>
      <c r="Z62" s="244"/>
      <c r="AA62" s="244"/>
      <c r="AB62" s="527"/>
      <c r="AC62" s="229"/>
      <c r="AD62" s="229"/>
      <c r="AE62" s="229"/>
      <c r="AF62" s="229"/>
      <c r="AG62" s="527"/>
      <c r="AH62" s="229"/>
      <c r="AI62" s="229"/>
      <c r="AJ62" s="229"/>
      <c r="AK62" s="229"/>
      <c r="AL62" s="527"/>
      <c r="AM62" s="229"/>
      <c r="AN62" s="229"/>
      <c r="AO62" s="229"/>
      <c r="AP62" s="229"/>
      <c r="AQ62" s="527"/>
      <c r="AR62" s="229"/>
      <c r="AS62" s="229"/>
      <c r="AT62" s="229"/>
      <c r="AU62" s="229"/>
      <c r="AV62" s="527"/>
      <c r="AW62" s="229"/>
      <c r="AX62" s="229"/>
      <c r="AY62" s="229"/>
      <c r="AZ62" s="229"/>
      <c r="BA62" s="527"/>
      <c r="BB62" s="229"/>
      <c r="BC62" s="229"/>
      <c r="BD62" s="229"/>
      <c r="BE62" s="229"/>
      <c r="BF62" s="527"/>
      <c r="BG62" s="229"/>
      <c r="BH62" s="229"/>
      <c r="BI62" s="229"/>
      <c r="BJ62" s="229"/>
      <c r="BK62" s="527"/>
      <c r="BL62" s="229"/>
      <c r="BM62" s="229"/>
      <c r="BN62" s="229"/>
      <c r="BO62" s="229"/>
      <c r="BP62" s="527"/>
      <c r="BQ62" s="229"/>
      <c r="BR62" s="229"/>
      <c r="BS62" s="229"/>
      <c r="BT62" s="229"/>
      <c r="BU62" s="527"/>
    </row>
    <row r="63" spans="1:73" s="106" customFormat="1" ht="12.75" outlineLevel="1">
      <c r="A63" s="106" t="s">
        <v>192</v>
      </c>
      <c r="B63" s="262" t="s">
        <v>297</v>
      </c>
      <c r="C63" s="227"/>
      <c r="D63" s="244"/>
      <c r="E63" s="244"/>
      <c r="F63" s="244"/>
      <c r="G63" s="244"/>
      <c r="H63" s="244">
        <v>0</v>
      </c>
      <c r="I63" s="244">
        <v>0</v>
      </c>
      <c r="J63" s="244">
        <v>0</v>
      </c>
      <c r="K63" s="244">
        <v>0</v>
      </c>
      <c r="L63" s="244">
        <v>0</v>
      </c>
      <c r="M63" s="527">
        <f>+SUM(I63:L63)</f>
        <v>0</v>
      </c>
      <c r="N63" s="244">
        <v>0</v>
      </c>
      <c r="O63" s="244">
        <v>0</v>
      </c>
      <c r="P63" s="244">
        <v>0</v>
      </c>
      <c r="Q63" s="244">
        <v>0</v>
      </c>
      <c r="R63" s="527">
        <f>+SUM(N63:Q63)</f>
        <v>0</v>
      </c>
      <c r="S63" s="244">
        <v>0</v>
      </c>
      <c r="T63" s="244">
        <v>0</v>
      </c>
      <c r="U63" s="244">
        <v>0</v>
      </c>
      <c r="V63" s="244">
        <v>0</v>
      </c>
      <c r="W63" s="527">
        <f>+SUM(S63:V63)</f>
        <v>0</v>
      </c>
      <c r="X63" s="244">
        <v>140</v>
      </c>
      <c r="Y63" s="244">
        <v>65</v>
      </c>
      <c r="Z63" s="244">
        <v>0</v>
      </c>
      <c r="AA63" s="244">
        <v>0</v>
      </c>
      <c r="AB63" s="527">
        <f>+SUM(X63:AA63)</f>
        <v>205</v>
      </c>
      <c r="AC63" s="229">
        <v>0</v>
      </c>
      <c r="AD63" s="229">
        <v>0</v>
      </c>
      <c r="AE63" s="229">
        <v>0</v>
      </c>
      <c r="AF63" s="229">
        <v>0</v>
      </c>
      <c r="AG63" s="527">
        <f>+SUM(AC63:AF63)</f>
        <v>0</v>
      </c>
      <c r="AH63" s="229">
        <v>0</v>
      </c>
      <c r="AI63" s="229">
        <v>0</v>
      </c>
      <c r="AJ63" s="229">
        <v>0</v>
      </c>
      <c r="AK63" s="229">
        <f>0</f>
        <v>0</v>
      </c>
      <c r="AL63" s="527">
        <f>+SUM(AH63:AK63)</f>
        <v>0</v>
      </c>
      <c r="AM63" s="229">
        <v>0</v>
      </c>
      <c r="AN63" s="229">
        <f>+AM63</f>
        <v>0</v>
      </c>
      <c r="AO63" s="229">
        <f>+AN63</f>
        <v>0</v>
      </c>
      <c r="AP63" s="229">
        <f>+AO63</f>
        <v>0</v>
      </c>
      <c r="AQ63" s="527">
        <f>+SUM(AM63:AP63)</f>
        <v>0</v>
      </c>
      <c r="AR63" s="229">
        <f>+AP63</f>
        <v>0</v>
      </c>
      <c r="AS63" s="229">
        <f>+AR63</f>
        <v>0</v>
      </c>
      <c r="AT63" s="229">
        <f>+AS63</f>
        <v>0</v>
      </c>
      <c r="AU63" s="229">
        <f>+AT63</f>
        <v>0</v>
      </c>
      <c r="AV63" s="527">
        <f>+SUM(AR63:AU63)</f>
        <v>0</v>
      </c>
      <c r="AW63" s="229">
        <f>+AU63</f>
        <v>0</v>
      </c>
      <c r="AX63" s="229">
        <f>+AW63</f>
        <v>0</v>
      </c>
      <c r="AY63" s="229">
        <f>+AX63</f>
        <v>0</v>
      </c>
      <c r="AZ63" s="229">
        <f>+AY63</f>
        <v>0</v>
      </c>
      <c r="BA63" s="527">
        <f>+SUM(AW63:AZ63)</f>
        <v>0</v>
      </c>
      <c r="BB63" s="229">
        <f>+AZ63</f>
        <v>0</v>
      </c>
      <c r="BC63" s="229">
        <f>+BB63</f>
        <v>0</v>
      </c>
      <c r="BD63" s="229">
        <f>+BC63</f>
        <v>0</v>
      </c>
      <c r="BE63" s="229">
        <f>+BD63</f>
        <v>0</v>
      </c>
      <c r="BF63" s="527">
        <f>+SUM(BB63:BE63)</f>
        <v>0</v>
      </c>
      <c r="BG63" s="229">
        <f>0</f>
        <v>0</v>
      </c>
      <c r="BH63" s="229">
        <f>+BG63</f>
        <v>0</v>
      </c>
      <c r="BI63" s="229">
        <f>+BH63</f>
        <v>0</v>
      </c>
      <c r="BJ63" s="229">
        <f>+BI63</f>
        <v>0</v>
      </c>
      <c r="BK63" s="527">
        <f>+SUM(BG63:BJ63)</f>
        <v>0</v>
      </c>
      <c r="BL63" s="229">
        <f>+BJ63</f>
        <v>0</v>
      </c>
      <c r="BM63" s="229">
        <f>+BL63</f>
        <v>0</v>
      </c>
      <c r="BN63" s="229">
        <f>+BM63</f>
        <v>0</v>
      </c>
      <c r="BO63" s="229">
        <f>+BN63</f>
        <v>0</v>
      </c>
      <c r="BP63" s="527">
        <f>+SUM(BL63:BO63)</f>
        <v>0</v>
      </c>
      <c r="BQ63" s="229">
        <f>+BO63</f>
        <v>0</v>
      </c>
      <c r="BR63" s="229">
        <f>+BQ63</f>
        <v>0</v>
      </c>
      <c r="BS63" s="229">
        <f>+BR63</f>
        <v>0</v>
      </c>
      <c r="BT63" s="229">
        <f>+BS63</f>
        <v>0</v>
      </c>
      <c r="BU63" s="527">
        <f>+SUM(BQ63:BT63)</f>
        <v>0</v>
      </c>
    </row>
    <row r="64" spans="1:73" s="106" customFormat="1" ht="5.25" customHeight="1" outlineLevel="1">
      <c r="B64" s="262"/>
      <c r="C64" s="227"/>
      <c r="D64" s="244"/>
      <c r="E64" s="244"/>
      <c r="F64" s="244"/>
      <c r="G64" s="244"/>
      <c r="H64" s="244"/>
      <c r="I64" s="244"/>
      <c r="J64" s="244"/>
      <c r="K64" s="244"/>
      <c r="L64" s="244"/>
      <c r="M64" s="527"/>
      <c r="N64" s="244"/>
      <c r="O64" s="244"/>
      <c r="P64" s="244"/>
      <c r="Q64" s="244"/>
      <c r="R64" s="527"/>
      <c r="S64" s="244"/>
      <c r="T64" s="244"/>
      <c r="U64" s="244"/>
      <c r="V64" s="244"/>
      <c r="W64" s="527"/>
      <c r="X64" s="244"/>
      <c r="Y64" s="244"/>
      <c r="Z64" s="244"/>
      <c r="AA64" s="244"/>
      <c r="AB64" s="527"/>
      <c r="AC64" s="229"/>
      <c r="AD64" s="229"/>
      <c r="AE64" s="229"/>
      <c r="AF64" s="229"/>
      <c r="AG64" s="527"/>
      <c r="AH64" s="229"/>
      <c r="AI64" s="229"/>
      <c r="AJ64" s="229"/>
      <c r="AK64" s="229"/>
      <c r="AL64" s="527"/>
      <c r="AM64" s="229"/>
      <c r="AN64" s="229"/>
      <c r="AO64" s="229"/>
      <c r="AP64" s="229"/>
      <c r="AQ64" s="527"/>
      <c r="AR64" s="229"/>
      <c r="AS64" s="229"/>
      <c r="AT64" s="229"/>
      <c r="AU64" s="229"/>
      <c r="AV64" s="527"/>
      <c r="AW64" s="229"/>
      <c r="AX64" s="229"/>
      <c r="AY64" s="229"/>
      <c r="AZ64" s="229"/>
      <c r="BA64" s="527"/>
      <c r="BB64" s="229"/>
      <c r="BC64" s="229"/>
      <c r="BD64" s="229"/>
      <c r="BE64" s="229"/>
      <c r="BF64" s="527"/>
      <c r="BG64" s="229"/>
      <c r="BH64" s="229"/>
      <c r="BI64" s="229"/>
      <c r="BJ64" s="229"/>
      <c r="BK64" s="527"/>
      <c r="BL64" s="229"/>
      <c r="BM64" s="229"/>
      <c r="BN64" s="229"/>
      <c r="BO64" s="229"/>
      <c r="BP64" s="527"/>
      <c r="BQ64" s="229"/>
      <c r="BR64" s="229"/>
      <c r="BS64" s="229"/>
      <c r="BT64" s="229"/>
      <c r="BU64" s="527"/>
    </row>
    <row r="65" spans="1:73" s="106" customFormat="1" ht="12.75" outlineLevel="1">
      <c r="A65" s="106" t="s">
        <v>192</v>
      </c>
      <c r="B65" s="262" t="s">
        <v>298</v>
      </c>
      <c r="C65" s="227"/>
      <c r="D65" s="244"/>
      <c r="E65" s="244"/>
      <c r="F65" s="244"/>
      <c r="G65" s="244"/>
      <c r="H65" s="244">
        <v>0</v>
      </c>
      <c r="I65" s="244">
        <v>0</v>
      </c>
      <c r="J65" s="244">
        <v>0</v>
      </c>
      <c r="K65" s="244">
        <v>0</v>
      </c>
      <c r="L65" s="244">
        <v>0</v>
      </c>
      <c r="M65" s="527">
        <f>+SUM(I65:L65)</f>
        <v>0</v>
      </c>
      <c r="N65" s="244">
        <v>0</v>
      </c>
      <c r="O65" s="244">
        <v>0</v>
      </c>
      <c r="P65" s="244">
        <v>0</v>
      </c>
      <c r="Q65" s="244">
        <v>0</v>
      </c>
      <c r="R65" s="527">
        <f>+SUM(N65:Q65)</f>
        <v>0</v>
      </c>
      <c r="S65" s="244">
        <v>0</v>
      </c>
      <c r="T65" s="244">
        <v>0</v>
      </c>
      <c r="U65" s="244">
        <v>0</v>
      </c>
      <c r="V65" s="244">
        <v>0</v>
      </c>
      <c r="W65" s="527">
        <f>+SUM(S65:V65)</f>
        <v>0</v>
      </c>
      <c r="X65" s="244">
        <v>400</v>
      </c>
      <c r="Y65" s="244">
        <v>0</v>
      </c>
      <c r="Z65" s="244">
        <v>0</v>
      </c>
      <c r="AA65" s="244">
        <v>200</v>
      </c>
      <c r="AB65" s="527">
        <f>+SUM(X65:AA65)</f>
        <v>600</v>
      </c>
      <c r="AC65" s="229">
        <v>73</v>
      </c>
      <c r="AD65" s="229">
        <v>255</v>
      </c>
      <c r="AE65" s="229">
        <v>178</v>
      </c>
      <c r="AF65" s="229">
        <v>236</v>
      </c>
      <c r="AG65" s="527">
        <f>+SUM(AC65:AF65)</f>
        <v>742</v>
      </c>
      <c r="AH65" s="229">
        <v>543</v>
      </c>
      <c r="AI65" s="229">
        <v>435</v>
      </c>
      <c r="AJ65" s="229">
        <f>651</f>
        <v>651</v>
      </c>
      <c r="AK65" s="229">
        <f>133</f>
        <v>133</v>
      </c>
      <c r="AL65" s="527">
        <f>+SUM(AH65:AK65)</f>
        <v>1762</v>
      </c>
      <c r="AM65" s="229">
        <f>103</f>
        <v>103</v>
      </c>
      <c r="AN65" s="229">
        <f>251</f>
        <v>251</v>
      </c>
      <c r="AO65" s="229">
        <f>105</f>
        <v>105</v>
      </c>
      <c r="AP65" s="229">
        <v>110</v>
      </c>
      <c r="AQ65" s="527">
        <f>+SUM(AM65:AP65)</f>
        <v>569</v>
      </c>
      <c r="AR65" s="229">
        <v>115</v>
      </c>
      <c r="AS65" s="229">
        <v>0</v>
      </c>
      <c r="AT65" s="229">
        <f>+AS65</f>
        <v>0</v>
      </c>
      <c r="AU65" s="229">
        <f>+AT65</f>
        <v>0</v>
      </c>
      <c r="AV65" s="527">
        <f>+SUM(AR65:AU65)</f>
        <v>115</v>
      </c>
      <c r="AW65" s="229">
        <f>+AU65</f>
        <v>0</v>
      </c>
      <c r="AX65" s="229">
        <f>+AW65</f>
        <v>0</v>
      </c>
      <c r="AY65" s="229">
        <f>+AX65</f>
        <v>0</v>
      </c>
      <c r="AZ65" s="229">
        <f>+AY65</f>
        <v>0</v>
      </c>
      <c r="BA65" s="527">
        <f>+SUM(AW65:AZ65)</f>
        <v>0</v>
      </c>
      <c r="BB65" s="229">
        <f>+AZ65</f>
        <v>0</v>
      </c>
      <c r="BC65" s="229">
        <f>+BB65</f>
        <v>0</v>
      </c>
      <c r="BD65" s="229">
        <f>+BC65</f>
        <v>0</v>
      </c>
      <c r="BE65" s="229">
        <f>+BD65</f>
        <v>0</v>
      </c>
      <c r="BF65" s="527">
        <f>+SUM(BB65:BE65)</f>
        <v>0</v>
      </c>
      <c r="BG65" s="229">
        <f>0</f>
        <v>0</v>
      </c>
      <c r="BH65" s="229">
        <f>+BG65</f>
        <v>0</v>
      </c>
      <c r="BI65" s="229">
        <f>+BH65</f>
        <v>0</v>
      </c>
      <c r="BJ65" s="229">
        <f>+BI65</f>
        <v>0</v>
      </c>
      <c r="BK65" s="527">
        <f>+SUM(BG65:BJ65)</f>
        <v>0</v>
      </c>
      <c r="BL65" s="229">
        <f>+BJ65</f>
        <v>0</v>
      </c>
      <c r="BM65" s="229">
        <f>+BL65</f>
        <v>0</v>
      </c>
      <c r="BN65" s="229">
        <f>+BM65</f>
        <v>0</v>
      </c>
      <c r="BO65" s="229">
        <f>+BN65</f>
        <v>0</v>
      </c>
      <c r="BP65" s="527">
        <f>+SUM(BL65:BO65)</f>
        <v>0</v>
      </c>
      <c r="BQ65" s="229">
        <f>+BO65</f>
        <v>0</v>
      </c>
      <c r="BR65" s="229">
        <f>+BQ65</f>
        <v>0</v>
      </c>
      <c r="BS65" s="229">
        <f>+BR65</f>
        <v>0</v>
      </c>
      <c r="BT65" s="229">
        <f>+BS65</f>
        <v>0</v>
      </c>
      <c r="BU65" s="527">
        <f>+SUM(BQ65:BT65)</f>
        <v>0</v>
      </c>
    </row>
    <row r="66" spans="1:73" s="106" customFormat="1" ht="6.75" customHeight="1" outlineLevel="1">
      <c r="B66" s="224"/>
      <c r="C66" s="227"/>
      <c r="D66" s="257"/>
      <c r="E66" s="257"/>
      <c r="F66" s="257"/>
      <c r="G66" s="257"/>
      <c r="H66" s="257"/>
      <c r="I66" s="257"/>
      <c r="J66" s="257"/>
      <c r="K66" s="257"/>
      <c r="L66" s="257"/>
      <c r="M66" s="539"/>
      <c r="N66" s="257"/>
      <c r="O66" s="257"/>
      <c r="P66" s="257"/>
      <c r="Q66" s="257"/>
      <c r="R66" s="539"/>
      <c r="S66" s="257"/>
      <c r="T66" s="257"/>
      <c r="U66" s="257"/>
      <c r="V66" s="257"/>
      <c r="W66" s="539"/>
      <c r="X66" s="257"/>
      <c r="Y66" s="257"/>
      <c r="Z66" s="257"/>
      <c r="AA66" s="257"/>
      <c r="AB66" s="539"/>
      <c r="AC66" s="257"/>
      <c r="AD66" s="257"/>
      <c r="AE66" s="257"/>
      <c r="AF66" s="257"/>
      <c r="AG66" s="539"/>
      <c r="AH66" s="257"/>
      <c r="AI66" s="257"/>
      <c r="AJ66" s="257"/>
      <c r="AK66" s="257"/>
      <c r="AL66" s="539"/>
      <c r="AM66" s="257"/>
      <c r="AN66" s="257"/>
      <c r="AO66" s="257"/>
      <c r="AP66" s="257"/>
      <c r="AQ66" s="539"/>
      <c r="AR66" s="257"/>
      <c r="AS66" s="257"/>
      <c r="AT66" s="257"/>
      <c r="AU66" s="257"/>
      <c r="AV66" s="539"/>
      <c r="AW66" s="257"/>
      <c r="AX66" s="257"/>
      <c r="AY66" s="257"/>
      <c r="AZ66" s="257"/>
      <c r="BA66" s="539"/>
      <c r="BB66" s="257"/>
      <c r="BC66" s="257"/>
      <c r="BD66" s="257"/>
      <c r="BE66" s="257"/>
      <c r="BF66" s="539"/>
      <c r="BG66" s="257"/>
      <c r="BH66" s="257"/>
      <c r="BI66" s="257"/>
      <c r="BJ66" s="257"/>
      <c r="BK66" s="539"/>
      <c r="BL66" s="257"/>
      <c r="BM66" s="257"/>
      <c r="BN66" s="257"/>
      <c r="BO66" s="257"/>
      <c r="BP66" s="539"/>
      <c r="BQ66" s="257"/>
      <c r="BR66" s="257"/>
      <c r="BS66" s="257"/>
      <c r="BT66" s="257"/>
      <c r="BU66" s="539"/>
    </row>
    <row r="67" spans="1:73" s="106" customFormat="1" ht="12.75" outlineLevel="1">
      <c r="A67" s="106" t="s">
        <v>192</v>
      </c>
      <c r="B67" s="224" t="s">
        <v>299</v>
      </c>
      <c r="C67" s="227"/>
      <c r="D67" s="229"/>
      <c r="E67" s="229"/>
      <c r="F67" s="229"/>
      <c r="G67" s="229"/>
      <c r="H67" s="244">
        <v>0</v>
      </c>
      <c r="I67" s="244">
        <v>56</v>
      </c>
      <c r="J67" s="244">
        <v>360</v>
      </c>
      <c r="K67" s="244">
        <v>551</v>
      </c>
      <c r="L67" s="244">
        <v>375</v>
      </c>
      <c r="M67" s="527">
        <f>+SUM(I67:L67)</f>
        <v>1342</v>
      </c>
      <c r="N67" s="244">
        <v>0</v>
      </c>
      <c r="O67" s="244">
        <v>0</v>
      </c>
      <c r="P67" s="244">
        <v>0</v>
      </c>
      <c r="Q67" s="244">
        <v>0</v>
      </c>
      <c r="R67" s="527">
        <f>+SUM(N67:Q67)</f>
        <v>0</v>
      </c>
      <c r="S67" s="244">
        <v>0</v>
      </c>
      <c r="T67" s="244">
        <v>80</v>
      </c>
      <c r="U67" s="244">
        <v>87</v>
      </c>
      <c r="V67" s="244">
        <v>0</v>
      </c>
      <c r="W67" s="527">
        <f>+SUM(S67:V67)</f>
        <v>167</v>
      </c>
      <c r="X67" s="244">
        <v>0</v>
      </c>
      <c r="Y67" s="244">
        <v>0</v>
      </c>
      <c r="Z67" s="244">
        <v>115</v>
      </c>
      <c r="AA67" s="244">
        <v>0</v>
      </c>
      <c r="AB67" s="527">
        <f>+SUM(X67:AA67)</f>
        <v>115</v>
      </c>
      <c r="AC67" s="229">
        <v>217</v>
      </c>
      <c r="AD67" s="229">
        <f>297-761</f>
        <v>-464</v>
      </c>
      <c r="AE67" s="229">
        <v>0</v>
      </c>
      <c r="AF67" s="229">
        <v>0</v>
      </c>
      <c r="AG67" s="527">
        <f>+SUM(AC67:AF67)</f>
        <v>-247</v>
      </c>
      <c r="AH67" s="229">
        <v>307</v>
      </c>
      <c r="AI67" s="229">
        <v>831</v>
      </c>
      <c r="AJ67" s="229">
        <f>0</f>
        <v>0</v>
      </c>
      <c r="AK67" s="229">
        <f>205</f>
        <v>205</v>
      </c>
      <c r="AL67" s="527">
        <f>+SUM(AH67:AK67)</f>
        <v>1343</v>
      </c>
      <c r="AM67" s="229">
        <f>1168</f>
        <v>1168</v>
      </c>
      <c r="AN67" s="229">
        <f>9828</f>
        <v>9828</v>
      </c>
      <c r="AO67" s="229">
        <f>5180</f>
        <v>5180</v>
      </c>
      <c r="AP67" s="229">
        <v>0</v>
      </c>
      <c r="AQ67" s="527">
        <f>+SUM(AM67:AP67)</f>
        <v>16176</v>
      </c>
      <c r="AR67" s="229">
        <v>0</v>
      </c>
      <c r="AS67" s="229">
        <v>0</v>
      </c>
      <c r="AT67" s="229">
        <v>0</v>
      </c>
      <c r="AU67" s="229">
        <f>+AT67</f>
        <v>0</v>
      </c>
      <c r="AV67" s="527">
        <f>+SUM(AR67:AU67)</f>
        <v>0</v>
      </c>
      <c r="AW67" s="229">
        <f>+AU67</f>
        <v>0</v>
      </c>
      <c r="AX67" s="229">
        <f>+AW67</f>
        <v>0</v>
      </c>
      <c r="AY67" s="229">
        <f>+AX67</f>
        <v>0</v>
      </c>
      <c r="AZ67" s="229">
        <f>+AY67</f>
        <v>0</v>
      </c>
      <c r="BA67" s="527">
        <f>+SUM(AW67:AZ67)</f>
        <v>0</v>
      </c>
      <c r="BB67" s="229">
        <f>+AZ67</f>
        <v>0</v>
      </c>
      <c r="BC67" s="229">
        <f>278</f>
        <v>278</v>
      </c>
      <c r="BD67" s="229">
        <v>290</v>
      </c>
      <c r="BE67" s="229">
        <v>183</v>
      </c>
      <c r="BF67" s="527">
        <f>+SUM(BB67:BE67)</f>
        <v>751</v>
      </c>
      <c r="BG67" s="244">
        <f>183</f>
        <v>183</v>
      </c>
      <c r="BH67" s="244">
        <f>183</f>
        <v>183</v>
      </c>
      <c r="BI67" s="229">
        <f>84</f>
        <v>84</v>
      </c>
      <c r="BJ67" s="244">
        <f>83</f>
        <v>83</v>
      </c>
      <c r="BK67" s="527">
        <f>+SUM(BG67:BJ67)</f>
        <v>533</v>
      </c>
      <c r="BL67" s="229">
        <f>+BJ67</f>
        <v>83</v>
      </c>
      <c r="BM67" s="229">
        <f>+BL67</f>
        <v>83</v>
      </c>
      <c r="BN67" s="229">
        <f>+BM67</f>
        <v>83</v>
      </c>
      <c r="BO67" s="229">
        <f>+BN67</f>
        <v>83</v>
      </c>
      <c r="BP67" s="527">
        <f>+SUM(BL67:BO67)</f>
        <v>332</v>
      </c>
      <c r="BQ67" s="229">
        <f>+BO67</f>
        <v>83</v>
      </c>
      <c r="BR67" s="229">
        <f>+BQ67</f>
        <v>83</v>
      </c>
      <c r="BS67" s="229">
        <f>+BR67</f>
        <v>83</v>
      </c>
      <c r="BT67" s="229">
        <f>+BS67</f>
        <v>83</v>
      </c>
      <c r="BU67" s="527">
        <f>+SUM(BQ67:BT67)</f>
        <v>332</v>
      </c>
    </row>
    <row r="68" spans="1:73" s="106" customFormat="1" ht="5.25" customHeight="1" outlineLevel="1">
      <c r="B68" s="224"/>
      <c r="C68" s="227"/>
      <c r="D68" s="257"/>
      <c r="E68" s="257"/>
      <c r="F68" s="257"/>
      <c r="G68" s="257"/>
      <c r="H68" s="257"/>
      <c r="I68" s="257"/>
      <c r="J68" s="257"/>
      <c r="K68" s="257"/>
      <c r="L68" s="257"/>
      <c r="M68" s="539"/>
      <c r="N68" s="257"/>
      <c r="O68" s="257"/>
      <c r="P68" s="257"/>
      <c r="Q68" s="257"/>
      <c r="R68" s="539"/>
      <c r="S68" s="257"/>
      <c r="T68" s="257"/>
      <c r="U68" s="257"/>
      <c r="V68" s="257"/>
      <c r="W68" s="539"/>
      <c r="X68" s="257"/>
      <c r="Y68" s="257"/>
      <c r="Z68" s="257"/>
      <c r="AA68" s="257"/>
      <c r="AB68" s="539"/>
      <c r="AC68" s="257"/>
      <c r="AD68" s="257"/>
      <c r="AE68" s="257"/>
      <c r="AF68" s="257"/>
      <c r="AG68" s="539"/>
      <c r="AH68" s="257"/>
      <c r="AI68" s="257"/>
      <c r="AJ68" s="257"/>
      <c r="AK68" s="257"/>
      <c r="AL68" s="539"/>
      <c r="AM68" s="257"/>
      <c r="AN68" s="257"/>
      <c r="AO68" s="257"/>
      <c r="AP68" s="257"/>
      <c r="AQ68" s="539"/>
      <c r="AR68" s="257"/>
      <c r="AS68" s="257"/>
      <c r="AT68" s="257"/>
      <c r="AU68" s="257"/>
      <c r="AV68" s="539"/>
      <c r="AW68" s="257"/>
      <c r="AX68" s="257"/>
      <c r="AY68" s="257"/>
      <c r="AZ68" s="257"/>
      <c r="BA68" s="539"/>
      <c r="BB68" s="257"/>
      <c r="BC68" s="257"/>
      <c r="BD68" s="257"/>
      <c r="BE68" s="257"/>
      <c r="BF68" s="539"/>
      <c r="BG68" s="257"/>
      <c r="BH68" s="257"/>
      <c r="BI68" s="257"/>
      <c r="BJ68" s="257"/>
      <c r="BK68" s="539"/>
      <c r="BL68" s="257"/>
      <c r="BM68" s="257"/>
      <c r="BN68" s="257"/>
      <c r="BO68" s="257"/>
      <c r="BP68" s="539"/>
      <c r="BQ68" s="257"/>
      <c r="BR68" s="257"/>
      <c r="BS68" s="257"/>
      <c r="BT68" s="257"/>
      <c r="BU68" s="539"/>
    </row>
    <row r="69" spans="1:73" s="106" customFormat="1" ht="12.75" outlineLevel="1">
      <c r="A69" s="106" t="s">
        <v>192</v>
      </c>
      <c r="B69" s="224" t="s">
        <v>329</v>
      </c>
      <c r="C69" s="227"/>
      <c r="D69" s="229"/>
      <c r="E69" s="229"/>
      <c r="F69" s="229"/>
      <c r="G69" s="229"/>
      <c r="H69" s="244">
        <v>0</v>
      </c>
      <c r="I69" s="244">
        <v>0</v>
      </c>
      <c r="J69" s="244">
        <v>0</v>
      </c>
      <c r="K69" s="244">
        <v>0</v>
      </c>
      <c r="L69" s="244">
        <v>0</v>
      </c>
      <c r="M69" s="527">
        <f>+SUM(I69:L69)</f>
        <v>0</v>
      </c>
      <c r="N69" s="244">
        <v>0</v>
      </c>
      <c r="O69" s="244">
        <v>0</v>
      </c>
      <c r="P69" s="244">
        <v>0</v>
      </c>
      <c r="Q69" s="244">
        <v>0</v>
      </c>
      <c r="R69" s="527">
        <f>+SUM(N69:Q69)</f>
        <v>0</v>
      </c>
      <c r="S69" s="244">
        <v>0</v>
      </c>
      <c r="T69" s="244">
        <v>0</v>
      </c>
      <c r="U69" s="244">
        <v>0</v>
      </c>
      <c r="V69" s="244">
        <v>0</v>
      </c>
      <c r="W69" s="527">
        <f>+SUM(S69:V69)</f>
        <v>0</v>
      </c>
      <c r="X69" s="244">
        <v>0</v>
      </c>
      <c r="Y69" s="244">
        <v>0</v>
      </c>
      <c r="Z69" s="244">
        <v>1296</v>
      </c>
      <c r="AA69" s="244">
        <v>2535</v>
      </c>
      <c r="AB69" s="527">
        <f>+SUM(X69:AA69)</f>
        <v>3831</v>
      </c>
      <c r="AC69" s="229">
        <v>2510</v>
      </c>
      <c r="AD69" s="229">
        <v>2594</v>
      </c>
      <c r="AE69" s="229">
        <v>2679</v>
      </c>
      <c r="AF69" s="229">
        <v>2730</v>
      </c>
      <c r="AG69" s="527">
        <f>+SUM(AC69:AF69)</f>
        <v>10513</v>
      </c>
      <c r="AH69" s="229">
        <v>2743</v>
      </c>
      <c r="AI69" s="229">
        <v>4264</v>
      </c>
      <c r="AJ69" s="229">
        <f>5206</f>
        <v>5206</v>
      </c>
      <c r="AK69" s="229">
        <f>5305</f>
        <v>5305</v>
      </c>
      <c r="AL69" s="527">
        <f>+SUM(AH69:AK69)</f>
        <v>17518</v>
      </c>
      <c r="AM69" s="229">
        <f>658+2740</f>
        <v>3398</v>
      </c>
      <c r="AN69" s="229">
        <f>1133</f>
        <v>1133</v>
      </c>
      <c r="AO69" s="229">
        <f>1095</f>
        <v>1095</v>
      </c>
      <c r="AP69" s="229">
        <f>1096</f>
        <v>1096</v>
      </c>
      <c r="AQ69" s="527">
        <f>+SUM(AM69:AP69)</f>
        <v>6722</v>
      </c>
      <c r="AR69" s="229">
        <f>979</f>
        <v>979</v>
      </c>
      <c r="AS69" s="229">
        <f>1011</f>
        <v>1011</v>
      </c>
      <c r="AT69" s="229">
        <f>1046</f>
        <v>1046</v>
      </c>
      <c r="AU69" s="229">
        <v>1049</v>
      </c>
      <c r="AV69" s="527">
        <f>+SUM(AR69:AU69)</f>
        <v>4085</v>
      </c>
      <c r="AW69" s="229">
        <v>994</v>
      </c>
      <c r="AX69" s="229">
        <f>1041</f>
        <v>1041</v>
      </c>
      <c r="AY69" s="229">
        <f>+AX69</f>
        <v>1041</v>
      </c>
      <c r="AZ69" s="229">
        <f>1077</f>
        <v>1077</v>
      </c>
      <c r="BA69" s="527">
        <f>+SUM(AW69:AZ69)</f>
        <v>4153</v>
      </c>
      <c r="BB69" s="229">
        <f>1053+1571</f>
        <v>2624</v>
      </c>
      <c r="BC69" s="229">
        <f>1055</f>
        <v>1055</v>
      </c>
      <c r="BD69" s="229">
        <v>1217</v>
      </c>
      <c r="BE69" s="229">
        <v>0</v>
      </c>
      <c r="BF69" s="527">
        <f>+SUM(BB69:BE69)</f>
        <v>4896</v>
      </c>
      <c r="BG69" s="244">
        <f>1019+1571</f>
        <v>2590</v>
      </c>
      <c r="BH69" s="244">
        <f>999+1399</f>
        <v>2398</v>
      </c>
      <c r="BI69" s="244">
        <f>1098+1313</f>
        <v>2411</v>
      </c>
      <c r="BJ69" s="244">
        <f>1095+1312</f>
        <v>2407</v>
      </c>
      <c r="BK69" s="527">
        <f>+SUM(BG69:BJ69)</f>
        <v>9806</v>
      </c>
      <c r="BL69" s="229">
        <f>+BJ69</f>
        <v>2407</v>
      </c>
      <c r="BM69" s="229">
        <f>+BL69</f>
        <v>2407</v>
      </c>
      <c r="BN69" s="229">
        <f>+BM69</f>
        <v>2407</v>
      </c>
      <c r="BO69" s="229">
        <f>+BN69</f>
        <v>2407</v>
      </c>
      <c r="BP69" s="527">
        <f>+SUM(BL69:BO69)</f>
        <v>9628</v>
      </c>
      <c r="BQ69" s="229">
        <f>+BO69</f>
        <v>2407</v>
      </c>
      <c r="BR69" s="229">
        <f>+BQ69</f>
        <v>2407</v>
      </c>
      <c r="BS69" s="229">
        <f>+BR69</f>
        <v>2407</v>
      </c>
      <c r="BT69" s="229">
        <f>+BS69</f>
        <v>2407</v>
      </c>
      <c r="BU69" s="527">
        <f>+SUM(BQ69:BT69)</f>
        <v>9628</v>
      </c>
    </row>
    <row r="70" spans="1:73" s="106" customFormat="1" ht="12.75" outlineLevel="1">
      <c r="B70" s="224"/>
      <c r="C70" s="227"/>
      <c r="D70" s="257"/>
      <c r="E70" s="257"/>
      <c r="F70" s="257"/>
      <c r="G70" s="257"/>
      <c r="H70" s="257"/>
      <c r="I70" s="257"/>
      <c r="J70" s="257"/>
      <c r="K70" s="257"/>
      <c r="L70" s="257"/>
      <c r="M70" s="539"/>
      <c r="N70" s="257"/>
      <c r="O70" s="257"/>
      <c r="P70" s="257"/>
      <c r="Q70" s="257"/>
      <c r="R70" s="539"/>
      <c r="S70" s="257"/>
      <c r="T70" s="257"/>
      <c r="U70" s="257"/>
      <c r="V70" s="257"/>
      <c r="W70" s="539"/>
      <c r="X70" s="257"/>
      <c r="Y70" s="257"/>
      <c r="Z70" s="257"/>
      <c r="AA70" s="257"/>
      <c r="AB70" s="539"/>
      <c r="AC70" s="257"/>
      <c r="AD70" s="257"/>
      <c r="AE70" s="257"/>
      <c r="AF70" s="257"/>
      <c r="AG70" s="539"/>
      <c r="AH70" s="257"/>
      <c r="AI70" s="257"/>
      <c r="AJ70" s="257"/>
      <c r="AK70" s="257"/>
      <c r="AL70" s="539"/>
      <c r="AM70" s="257"/>
      <c r="AN70" s="257"/>
      <c r="AO70" s="257"/>
      <c r="AP70" s="257"/>
      <c r="AQ70" s="539"/>
      <c r="AR70" s="257"/>
      <c r="AS70" s="257"/>
      <c r="AT70" s="257"/>
      <c r="AU70" s="257"/>
      <c r="AV70" s="539"/>
      <c r="AW70" s="257"/>
      <c r="AX70" s="257"/>
      <c r="AY70" s="257"/>
      <c r="AZ70" s="257"/>
      <c r="BA70" s="539"/>
      <c r="BB70" s="257"/>
      <c r="BC70" s="257"/>
      <c r="BD70" s="257"/>
      <c r="BE70" s="257"/>
      <c r="BF70" s="539"/>
      <c r="BG70" s="257"/>
      <c r="BH70" s="257"/>
      <c r="BI70" s="257"/>
      <c r="BJ70" s="257"/>
      <c r="BK70" s="539"/>
      <c r="BL70" s="257"/>
      <c r="BM70" s="257"/>
      <c r="BN70" s="257"/>
      <c r="BO70" s="257"/>
      <c r="BP70" s="539"/>
      <c r="BQ70" s="257"/>
      <c r="BR70" s="257"/>
      <c r="BS70" s="257"/>
      <c r="BT70" s="257"/>
      <c r="BU70" s="539"/>
    </row>
    <row r="71" spans="1:73" s="106" customFormat="1" ht="13.15" outlineLevel="1">
      <c r="B71" s="225" t="s">
        <v>176</v>
      </c>
      <c r="C71" s="231"/>
      <c r="D71" s="354">
        <f t="shared" ref="D71:Y71" si="59">+D50-D51+D54-D59-D61-D63-D65-D67-D69</f>
        <v>0</v>
      </c>
      <c r="E71" s="354">
        <f t="shared" si="59"/>
        <v>0</v>
      </c>
      <c r="F71" s="354">
        <f t="shared" si="59"/>
        <v>0</v>
      </c>
      <c r="G71" s="354">
        <f t="shared" si="59"/>
        <v>0</v>
      </c>
      <c r="H71" s="354">
        <f t="shared" si="59"/>
        <v>-33148</v>
      </c>
      <c r="I71" s="354">
        <f t="shared" si="59"/>
        <v>-7682</v>
      </c>
      <c r="J71" s="354">
        <f t="shared" si="59"/>
        <v>-9244</v>
      </c>
      <c r="K71" s="354">
        <f t="shared" si="59"/>
        <v>-11825</v>
      </c>
      <c r="L71" s="354">
        <f t="shared" si="59"/>
        <v>-21106</v>
      </c>
      <c r="M71" s="541">
        <f t="shared" si="59"/>
        <v>-49857</v>
      </c>
      <c r="N71" s="354">
        <f t="shared" si="59"/>
        <v>-15580</v>
      </c>
      <c r="O71" s="354">
        <f t="shared" si="59"/>
        <v>-13452</v>
      </c>
      <c r="P71" s="354">
        <f t="shared" si="59"/>
        <v>-10194</v>
      </c>
      <c r="Q71" s="354">
        <f t="shared" si="59"/>
        <v>-9774</v>
      </c>
      <c r="R71" s="541">
        <f t="shared" si="59"/>
        <v>-49000</v>
      </c>
      <c r="S71" s="354">
        <f t="shared" si="59"/>
        <v>-10545</v>
      </c>
      <c r="T71" s="354">
        <f t="shared" si="59"/>
        <v>-11637</v>
      </c>
      <c r="U71" s="354">
        <f t="shared" si="59"/>
        <v>-10284</v>
      </c>
      <c r="V71" s="354">
        <f t="shared" si="59"/>
        <v>-13004</v>
      </c>
      <c r="W71" s="541">
        <f t="shared" si="59"/>
        <v>-45470</v>
      </c>
      <c r="X71" s="354">
        <f t="shared" si="59"/>
        <v>-16361</v>
      </c>
      <c r="Y71" s="354">
        <f t="shared" si="59"/>
        <v>-14333</v>
      </c>
      <c r="Z71" s="354">
        <f>+Z50-Z51+Z54-Z59-Z61-Z63-Z65-Z67-Z69</f>
        <v>-11831</v>
      </c>
      <c r="AA71" s="354">
        <f t="shared" ref="AA71:AL71" si="60">+AA50-AA51+AA54-AA59-AA61-AA63-AA65-AA67-AA69</f>
        <v>-13020</v>
      </c>
      <c r="AB71" s="541">
        <f t="shared" si="60"/>
        <v>-55545</v>
      </c>
      <c r="AC71" s="354">
        <f t="shared" si="60"/>
        <v>-11673</v>
      </c>
      <c r="AD71" s="354">
        <f t="shared" si="60"/>
        <v>-13420</v>
      </c>
      <c r="AE71" s="354">
        <f t="shared" si="60"/>
        <v>-14406</v>
      </c>
      <c r="AF71" s="354">
        <f t="shared" si="60"/>
        <v>-14346</v>
      </c>
      <c r="AG71" s="541">
        <f>+AG50-AG51+AG54-AG59-AG61-AG63-AG65-AG67-AG69</f>
        <v>-53845</v>
      </c>
      <c r="AH71" s="354">
        <f t="shared" si="60"/>
        <v>-22924</v>
      </c>
      <c r="AI71" s="354">
        <f t="shared" si="60"/>
        <v>-21466</v>
      </c>
      <c r="AJ71" s="354">
        <f t="shared" si="60"/>
        <v>-25541</v>
      </c>
      <c r="AK71" s="354">
        <f t="shared" si="60"/>
        <v>-28918</v>
      </c>
      <c r="AL71" s="541">
        <f t="shared" si="60"/>
        <v>-98849</v>
      </c>
      <c r="AM71" s="354">
        <f t="shared" ref="AM71:BP71" si="61">+AM50-AM51+AM54-AM59-AM61-AM63-AM65-AM67-AM69</f>
        <v>-29845</v>
      </c>
      <c r="AN71" s="354">
        <f t="shared" si="61"/>
        <v>-34164</v>
      </c>
      <c r="AO71" s="354">
        <f t="shared" si="61"/>
        <v>-37700</v>
      </c>
      <c r="AP71" s="354">
        <f t="shared" si="61"/>
        <v>-44625</v>
      </c>
      <c r="AQ71" s="541">
        <f t="shared" si="61"/>
        <v>-146334</v>
      </c>
      <c r="AR71" s="354">
        <f t="shared" si="61"/>
        <v>-44999</v>
      </c>
      <c r="AS71" s="354">
        <f t="shared" si="61"/>
        <v>-39606</v>
      </c>
      <c r="AT71" s="354">
        <f t="shared" si="61"/>
        <v>-28352</v>
      </c>
      <c r="AU71" s="354">
        <f t="shared" si="61"/>
        <v>-11385</v>
      </c>
      <c r="AV71" s="541">
        <f t="shared" si="61"/>
        <v>-124342</v>
      </c>
      <c r="AW71" s="354">
        <f t="shared" si="61"/>
        <v>-25177</v>
      </c>
      <c r="AX71" s="354">
        <f t="shared" si="61"/>
        <v>-26063</v>
      </c>
      <c r="AY71" s="354">
        <f t="shared" si="61"/>
        <v>4282</v>
      </c>
      <c r="AZ71" s="354">
        <f t="shared" si="61"/>
        <v>23443</v>
      </c>
      <c r="BA71" s="541">
        <f t="shared" si="61"/>
        <v>-23515</v>
      </c>
      <c r="BB71" s="354">
        <f t="shared" si="61"/>
        <v>2258</v>
      </c>
      <c r="BC71" s="354">
        <f t="shared" si="61"/>
        <v>8195</v>
      </c>
      <c r="BD71" s="354">
        <f t="shared" si="61"/>
        <v>16554</v>
      </c>
      <c r="BE71" s="354">
        <f t="shared" si="61"/>
        <v>2172</v>
      </c>
      <c r="BF71" s="541">
        <f t="shared" si="61"/>
        <v>29179</v>
      </c>
      <c r="BG71" s="354">
        <f t="shared" si="61"/>
        <v>2105</v>
      </c>
      <c r="BH71" s="354">
        <f t="shared" si="61"/>
        <v>8338</v>
      </c>
      <c r="BI71" s="354">
        <f t="shared" si="61"/>
        <v>9809</v>
      </c>
      <c r="BJ71" s="354">
        <f t="shared" si="61"/>
        <v>3129</v>
      </c>
      <c r="BK71" s="541">
        <f t="shared" si="61"/>
        <v>23381</v>
      </c>
      <c r="BL71" s="354">
        <f t="shared" si="61"/>
        <v>-12667.007943749992</v>
      </c>
      <c r="BM71" s="354">
        <f t="shared" si="61"/>
        <v>-3083.4565939999957</v>
      </c>
      <c r="BN71" s="354">
        <f t="shared" si="61"/>
        <v>-2278.0267104499871</v>
      </c>
      <c r="BO71" s="354">
        <f t="shared" si="61"/>
        <v>-1923.9632628295039</v>
      </c>
      <c r="BP71" s="541">
        <f t="shared" si="61"/>
        <v>-19952.454511029457</v>
      </c>
      <c r="BQ71" s="354">
        <f t="shared" ref="BQ71:BU71" si="62">+BQ50-BQ51+BQ54-BQ59-BQ61-BQ63-BQ65-BQ67-BQ69</f>
        <v>-3373.3507661255171</v>
      </c>
      <c r="BR71" s="354">
        <f t="shared" si="62"/>
        <v>-1284.8494893143834</v>
      </c>
      <c r="BS71" s="354">
        <f t="shared" si="62"/>
        <v>-2646.4394670351103</v>
      </c>
      <c r="BT71" s="354">
        <f t="shared" si="62"/>
        <v>-2649.9538947492001</v>
      </c>
      <c r="BU71" s="541">
        <f t="shared" si="62"/>
        <v>-9954.5936172242218</v>
      </c>
    </row>
    <row r="72" spans="1:73" s="106" customFormat="1" ht="12.75" outlineLevel="1">
      <c r="B72" s="224" t="s">
        <v>194</v>
      </c>
      <c r="C72" s="227"/>
      <c r="D72" s="205"/>
      <c r="E72" s="205"/>
      <c r="F72" s="205"/>
      <c r="G72" s="205"/>
      <c r="H72" s="411">
        <f t="shared" ref="H72:AM72" si="63">+H71-H74</f>
        <v>-521</v>
      </c>
      <c r="I72" s="205">
        <f t="shared" si="63"/>
        <v>0</v>
      </c>
      <c r="J72" s="205">
        <f t="shared" si="63"/>
        <v>0</v>
      </c>
      <c r="K72" s="205">
        <f t="shared" si="63"/>
        <v>0</v>
      </c>
      <c r="L72" s="205">
        <f t="shared" si="63"/>
        <v>0</v>
      </c>
      <c r="M72" s="542">
        <f t="shared" si="63"/>
        <v>0</v>
      </c>
      <c r="N72" s="205">
        <f t="shared" si="63"/>
        <v>0</v>
      </c>
      <c r="O72" s="205">
        <f t="shared" si="63"/>
        <v>0</v>
      </c>
      <c r="P72" s="205">
        <f t="shared" si="63"/>
        <v>0</v>
      </c>
      <c r="Q72" s="205">
        <f t="shared" si="63"/>
        <v>0</v>
      </c>
      <c r="R72" s="542">
        <f t="shared" si="63"/>
        <v>0</v>
      </c>
      <c r="S72" s="205">
        <f t="shared" si="63"/>
        <v>0</v>
      </c>
      <c r="T72" s="205">
        <f t="shared" si="63"/>
        <v>0</v>
      </c>
      <c r="U72" s="205">
        <f t="shared" si="63"/>
        <v>0</v>
      </c>
      <c r="V72" s="205">
        <f t="shared" si="63"/>
        <v>0</v>
      </c>
      <c r="W72" s="542">
        <f t="shared" si="63"/>
        <v>0</v>
      </c>
      <c r="X72" s="205">
        <f t="shared" si="63"/>
        <v>0</v>
      </c>
      <c r="Y72" s="205">
        <f t="shared" si="63"/>
        <v>0</v>
      </c>
      <c r="Z72" s="205">
        <f t="shared" si="63"/>
        <v>0</v>
      </c>
      <c r="AA72" s="205">
        <f t="shared" si="63"/>
        <v>0</v>
      </c>
      <c r="AB72" s="542">
        <f t="shared" si="63"/>
        <v>0</v>
      </c>
      <c r="AC72" s="205">
        <f t="shared" si="63"/>
        <v>0</v>
      </c>
      <c r="AD72" s="205">
        <f t="shared" si="63"/>
        <v>0</v>
      </c>
      <c r="AE72" s="205">
        <f t="shared" si="63"/>
        <v>0</v>
      </c>
      <c r="AF72" s="205">
        <f t="shared" si="63"/>
        <v>0</v>
      </c>
      <c r="AG72" s="542">
        <f t="shared" si="63"/>
        <v>0</v>
      </c>
      <c r="AH72" s="205">
        <f t="shared" si="63"/>
        <v>0</v>
      </c>
      <c r="AI72" s="205">
        <f t="shared" si="63"/>
        <v>0</v>
      </c>
      <c r="AJ72" s="205">
        <f t="shared" si="63"/>
        <v>0</v>
      </c>
      <c r="AK72" s="205">
        <f t="shared" si="63"/>
        <v>0</v>
      </c>
      <c r="AL72" s="542">
        <f t="shared" si="63"/>
        <v>0</v>
      </c>
      <c r="AM72" s="205">
        <f t="shared" si="63"/>
        <v>0</v>
      </c>
      <c r="AN72" s="205">
        <f t="shared" ref="AN72:BP72" si="64">+AN71-AN74</f>
        <v>0</v>
      </c>
      <c r="AO72" s="205">
        <f t="shared" si="64"/>
        <v>0</v>
      </c>
      <c r="AP72" s="205">
        <f t="shared" si="64"/>
        <v>0</v>
      </c>
      <c r="AQ72" s="542">
        <f t="shared" si="64"/>
        <v>0</v>
      </c>
      <c r="AR72" s="205">
        <f t="shared" si="64"/>
        <v>0</v>
      </c>
      <c r="AS72" s="205">
        <f t="shared" si="64"/>
        <v>0</v>
      </c>
      <c r="AT72" s="205">
        <f t="shared" si="64"/>
        <v>0</v>
      </c>
      <c r="AU72" s="205">
        <f t="shared" si="64"/>
        <v>0</v>
      </c>
      <c r="AV72" s="542">
        <f t="shared" si="64"/>
        <v>0</v>
      </c>
      <c r="AW72" s="205">
        <f t="shared" si="64"/>
        <v>0</v>
      </c>
      <c r="AX72" s="205">
        <f t="shared" si="64"/>
        <v>0</v>
      </c>
      <c r="AY72" s="205">
        <f t="shared" si="64"/>
        <v>0</v>
      </c>
      <c r="AZ72" s="205">
        <f t="shared" si="64"/>
        <v>0</v>
      </c>
      <c r="BA72" s="542">
        <f t="shared" si="64"/>
        <v>0</v>
      </c>
      <c r="BB72" s="205">
        <f t="shared" si="64"/>
        <v>0</v>
      </c>
      <c r="BC72" s="205">
        <f t="shared" si="64"/>
        <v>0</v>
      </c>
      <c r="BD72" s="205">
        <f t="shared" si="64"/>
        <v>0</v>
      </c>
      <c r="BE72" s="205">
        <f t="shared" si="64"/>
        <v>0</v>
      </c>
      <c r="BF72" s="542">
        <f t="shared" si="64"/>
        <v>0</v>
      </c>
      <c r="BG72" s="205">
        <f t="shared" si="64"/>
        <v>0</v>
      </c>
      <c r="BH72" s="205">
        <f t="shared" si="64"/>
        <v>0</v>
      </c>
      <c r="BI72" s="205">
        <f t="shared" si="64"/>
        <v>0</v>
      </c>
      <c r="BJ72" s="205">
        <f t="shared" si="64"/>
        <v>0</v>
      </c>
      <c r="BK72" s="542">
        <f t="shared" si="64"/>
        <v>0</v>
      </c>
      <c r="BL72" s="205">
        <f t="shared" si="64"/>
        <v>0</v>
      </c>
      <c r="BM72" s="205">
        <f t="shared" si="64"/>
        <v>0</v>
      </c>
      <c r="BN72" s="205">
        <f t="shared" si="64"/>
        <v>0</v>
      </c>
      <c r="BO72" s="205">
        <f t="shared" si="64"/>
        <v>0</v>
      </c>
      <c r="BP72" s="542">
        <f t="shared" si="64"/>
        <v>0</v>
      </c>
      <c r="BQ72" s="205">
        <f t="shared" ref="BQ72:BU72" si="65">+BQ71-BQ74</f>
        <v>0</v>
      </c>
      <c r="BR72" s="205">
        <f t="shared" si="65"/>
        <v>0</v>
      </c>
      <c r="BS72" s="205">
        <f t="shared" si="65"/>
        <v>0</v>
      </c>
      <c r="BT72" s="205">
        <f t="shared" si="65"/>
        <v>0</v>
      </c>
      <c r="BU72" s="542">
        <f t="shared" si="65"/>
        <v>0</v>
      </c>
    </row>
    <row r="73" spans="1:73" s="106" customFormat="1" ht="13.15">
      <c r="B73" s="225"/>
      <c r="C73" s="227"/>
      <c r="D73" s="228"/>
      <c r="E73" s="228"/>
      <c r="F73" s="228"/>
      <c r="G73" s="228"/>
      <c r="H73" s="228"/>
      <c r="I73" s="228"/>
      <c r="J73" s="228"/>
      <c r="K73" s="228"/>
      <c r="L73" s="228"/>
      <c r="M73" s="526"/>
      <c r="N73" s="228"/>
      <c r="O73" s="228"/>
      <c r="P73" s="228"/>
      <c r="Q73" s="228"/>
      <c r="R73" s="526"/>
      <c r="S73" s="228"/>
      <c r="T73" s="228"/>
      <c r="W73" s="544"/>
      <c r="AB73" s="526"/>
      <c r="AG73" s="526"/>
      <c r="AL73" s="526"/>
      <c r="AQ73" s="526"/>
      <c r="AV73" s="526"/>
      <c r="BA73" s="526"/>
      <c r="BE73" s="209">
        <f>BE71-2172</f>
        <v>0</v>
      </c>
      <c r="BF73" s="526"/>
      <c r="BK73" s="526"/>
      <c r="BP73" s="526"/>
      <c r="BU73" s="526"/>
    </row>
    <row r="74" spans="1:73" s="209" customFormat="1" ht="12.75">
      <c r="A74" s="106" t="s">
        <v>195</v>
      </c>
      <c r="B74" s="242" t="s">
        <v>176</v>
      </c>
      <c r="C74" s="227"/>
      <c r="D74" s="313"/>
      <c r="E74" s="313"/>
      <c r="F74" s="313"/>
      <c r="G74" s="313"/>
      <c r="H74" s="313">
        <f>+CF!H7</f>
        <v>-32627</v>
      </c>
      <c r="I74" s="313">
        <f>+CF!I7</f>
        <v>-7682</v>
      </c>
      <c r="J74" s="313">
        <f>+CF!J7</f>
        <v>-9244</v>
      </c>
      <c r="K74" s="313">
        <f>+CF!K7</f>
        <v>-11825</v>
      </c>
      <c r="L74" s="313">
        <f>+CF!L7</f>
        <v>-21106</v>
      </c>
      <c r="M74" s="538">
        <f>+CF!M7</f>
        <v>-49857</v>
      </c>
      <c r="N74" s="313">
        <f>+CF!N7</f>
        <v>-15580</v>
      </c>
      <c r="O74" s="313">
        <f>+CF!O7</f>
        <v>-13452</v>
      </c>
      <c r="P74" s="313">
        <f>+CF!P7</f>
        <v>-10194</v>
      </c>
      <c r="Q74" s="313">
        <f>+CF!Q7</f>
        <v>-9774</v>
      </c>
      <c r="R74" s="538">
        <f>+CF!R7</f>
        <v>-49000</v>
      </c>
      <c r="S74" s="313">
        <f>+CF!S7</f>
        <v>-10545</v>
      </c>
      <c r="T74" s="313">
        <f>+CF!T7</f>
        <v>-11637</v>
      </c>
      <c r="U74" s="313">
        <f>+CF!U7</f>
        <v>-10284</v>
      </c>
      <c r="V74" s="313">
        <f>+CF!V7</f>
        <v>-13004</v>
      </c>
      <c r="W74" s="538">
        <f>+CF!W7</f>
        <v>-45470</v>
      </c>
      <c r="X74" s="313">
        <f>+CF!X7</f>
        <v>-16361</v>
      </c>
      <c r="Y74" s="313">
        <f>+CF!Y7</f>
        <v>-14333</v>
      </c>
      <c r="Z74" s="313">
        <f>+CF!Z7</f>
        <v>-11831</v>
      </c>
      <c r="AA74" s="313">
        <f>+CF!AA7</f>
        <v>-13020</v>
      </c>
      <c r="AB74" s="538">
        <f>+CF!AB7</f>
        <v>-55545</v>
      </c>
      <c r="AC74" s="313">
        <f>+CF!AC7</f>
        <v>-11673</v>
      </c>
      <c r="AD74" s="313">
        <f>+CF!AD7</f>
        <v>-13420</v>
      </c>
      <c r="AE74" s="313">
        <f>+CF!AE7</f>
        <v>-14406</v>
      </c>
      <c r="AF74" s="313">
        <f>+CF!AF7</f>
        <v>-14346</v>
      </c>
      <c r="AG74" s="313">
        <f>+CF!AG7</f>
        <v>-53845</v>
      </c>
      <c r="AH74" s="313">
        <f>+CF!AH7</f>
        <v>-22924</v>
      </c>
      <c r="AI74" s="313">
        <f>+CF!AI7</f>
        <v>-21466</v>
      </c>
      <c r="AJ74" s="313">
        <f t="shared" ref="AJ74:BP74" si="66">+AJ71</f>
        <v>-25541</v>
      </c>
      <c r="AK74" s="313">
        <f t="shared" si="66"/>
        <v>-28918</v>
      </c>
      <c r="AL74" s="538">
        <f t="shared" si="66"/>
        <v>-98849</v>
      </c>
      <c r="AM74" s="313">
        <f t="shared" si="66"/>
        <v>-29845</v>
      </c>
      <c r="AN74" s="313">
        <f t="shared" si="66"/>
        <v>-34164</v>
      </c>
      <c r="AO74" s="313">
        <f t="shared" si="66"/>
        <v>-37700</v>
      </c>
      <c r="AP74" s="313">
        <f t="shared" si="66"/>
        <v>-44625</v>
      </c>
      <c r="AQ74" s="538">
        <f t="shared" si="66"/>
        <v>-146334</v>
      </c>
      <c r="AR74" s="313">
        <f t="shared" si="66"/>
        <v>-44999</v>
      </c>
      <c r="AS74" s="313">
        <f t="shared" si="66"/>
        <v>-39606</v>
      </c>
      <c r="AT74" s="313">
        <f t="shared" si="66"/>
        <v>-28352</v>
      </c>
      <c r="AU74" s="313">
        <f t="shared" si="66"/>
        <v>-11385</v>
      </c>
      <c r="AV74" s="538">
        <f t="shared" si="66"/>
        <v>-124342</v>
      </c>
      <c r="AW74" s="313">
        <f t="shared" si="66"/>
        <v>-25177</v>
      </c>
      <c r="AX74" s="313">
        <f t="shared" si="66"/>
        <v>-26063</v>
      </c>
      <c r="AY74" s="313">
        <f t="shared" si="66"/>
        <v>4282</v>
      </c>
      <c r="AZ74" s="313">
        <f t="shared" si="66"/>
        <v>23443</v>
      </c>
      <c r="BA74" s="538">
        <f t="shared" si="66"/>
        <v>-23515</v>
      </c>
      <c r="BB74" s="313">
        <f t="shared" si="66"/>
        <v>2258</v>
      </c>
      <c r="BC74" s="313">
        <f t="shared" si="66"/>
        <v>8195</v>
      </c>
      <c r="BD74" s="313">
        <f t="shared" si="66"/>
        <v>16554</v>
      </c>
      <c r="BE74" s="313">
        <f t="shared" si="66"/>
        <v>2172</v>
      </c>
      <c r="BF74" s="538">
        <f t="shared" si="66"/>
        <v>29179</v>
      </c>
      <c r="BG74" s="313">
        <f t="shared" si="66"/>
        <v>2105</v>
      </c>
      <c r="BH74" s="313">
        <f t="shared" si="66"/>
        <v>8338</v>
      </c>
      <c r="BI74" s="313">
        <f t="shared" ref="BI74" si="67">+BI71</f>
        <v>9809</v>
      </c>
      <c r="BJ74" s="313">
        <f t="shared" si="66"/>
        <v>3129</v>
      </c>
      <c r="BK74" s="538">
        <f t="shared" si="66"/>
        <v>23381</v>
      </c>
      <c r="BL74" s="313">
        <f t="shared" si="66"/>
        <v>-12667.007943749992</v>
      </c>
      <c r="BM74" s="313">
        <f t="shared" si="66"/>
        <v>-3083.4565939999957</v>
      </c>
      <c r="BN74" s="313">
        <f t="shared" si="66"/>
        <v>-2278.0267104499871</v>
      </c>
      <c r="BO74" s="313">
        <f t="shared" si="66"/>
        <v>-1923.9632628295039</v>
      </c>
      <c r="BP74" s="538">
        <f t="shared" si="66"/>
        <v>-19952.454511029457</v>
      </c>
      <c r="BQ74" s="313">
        <f t="shared" ref="BQ74:BU74" si="68">+BQ71</f>
        <v>-3373.3507661255171</v>
      </c>
      <c r="BR74" s="313">
        <f t="shared" si="68"/>
        <v>-1284.8494893143834</v>
      </c>
      <c r="BS74" s="313">
        <f t="shared" si="68"/>
        <v>-2646.4394670351103</v>
      </c>
      <c r="BT74" s="313">
        <f t="shared" si="68"/>
        <v>-2649.9538947492001</v>
      </c>
      <c r="BU74" s="538">
        <f t="shared" si="68"/>
        <v>-9954.5936172242218</v>
      </c>
    </row>
    <row r="75" spans="1:73" s="209" customFormat="1" ht="13.15" outlineLevel="1">
      <c r="A75" s="106"/>
      <c r="B75" s="242"/>
      <c r="C75" s="243"/>
      <c r="D75" s="229"/>
      <c r="E75" s="229"/>
      <c r="F75" s="229"/>
      <c r="G75" s="229"/>
      <c r="H75" s="229"/>
      <c r="I75" s="229"/>
      <c r="J75" s="229"/>
      <c r="K75" s="229"/>
      <c r="L75" s="229"/>
      <c r="M75" s="527"/>
      <c r="N75" s="229"/>
      <c r="O75" s="229"/>
      <c r="P75" s="229"/>
      <c r="Q75" s="229"/>
      <c r="R75" s="527"/>
      <c r="S75" s="229"/>
      <c r="T75" s="229"/>
      <c r="U75" s="316"/>
      <c r="V75" s="166"/>
      <c r="W75" s="471"/>
      <c r="X75" s="166"/>
      <c r="Y75" s="166"/>
      <c r="Z75" s="166"/>
      <c r="AA75" s="166"/>
      <c r="AB75" s="471"/>
      <c r="AC75" s="166"/>
      <c r="AD75" s="166"/>
      <c r="AE75" s="166"/>
      <c r="AF75" s="166"/>
      <c r="AG75" s="471"/>
      <c r="AH75" s="166"/>
      <c r="AI75" s="166"/>
      <c r="AJ75" s="166"/>
      <c r="AK75" s="166"/>
      <c r="AL75" s="471"/>
      <c r="AM75" s="166"/>
      <c r="AN75" s="166"/>
      <c r="AO75" s="166"/>
      <c r="AP75" s="166"/>
      <c r="AQ75" s="471"/>
      <c r="AR75" s="166"/>
      <c r="AS75" s="166"/>
      <c r="AT75" s="166"/>
      <c r="AU75" s="166"/>
      <c r="AV75" s="471"/>
      <c r="AW75" s="166"/>
      <c r="AX75" s="166"/>
      <c r="AY75" s="166"/>
      <c r="AZ75" s="166"/>
      <c r="BA75" s="471"/>
      <c r="BB75" s="166"/>
      <c r="BC75" s="166"/>
      <c r="BD75" s="166"/>
      <c r="BE75" s="166"/>
      <c r="BF75" s="471"/>
      <c r="BG75" s="166"/>
      <c r="BH75" s="166"/>
      <c r="BI75" s="166"/>
      <c r="BJ75" s="166"/>
      <c r="BK75" s="471"/>
      <c r="BL75" s="166"/>
      <c r="BM75" s="166"/>
      <c r="BN75" s="166"/>
      <c r="BO75" s="166"/>
      <c r="BP75" s="471"/>
      <c r="BQ75" s="166"/>
      <c r="BR75" s="166"/>
      <c r="BS75" s="166"/>
      <c r="BT75" s="166"/>
      <c r="BU75" s="471"/>
    </row>
    <row r="76" spans="1:73" s="209" customFormat="1" ht="12.75">
      <c r="A76" s="106"/>
      <c r="B76" s="224" t="s">
        <v>160</v>
      </c>
      <c r="C76" s="243"/>
      <c r="D76" s="229"/>
      <c r="E76" s="229"/>
      <c r="F76" s="229"/>
      <c r="G76" s="229"/>
      <c r="H76" s="229">
        <f>+-IS!H106</f>
        <v>2802</v>
      </c>
      <c r="I76" s="229">
        <f>+-IS!I106</f>
        <v>685</v>
      </c>
      <c r="J76" s="229">
        <f>+-IS!J106</f>
        <v>737</v>
      </c>
      <c r="K76" s="229">
        <f>+-IS!K106</f>
        <v>1067</v>
      </c>
      <c r="L76" s="229">
        <f>+-IS!L106</f>
        <v>34</v>
      </c>
      <c r="M76" s="527">
        <f>+-IS!M106</f>
        <v>2523</v>
      </c>
      <c r="N76" s="229">
        <f>+-IS!N106</f>
        <v>15</v>
      </c>
      <c r="O76" s="229">
        <f>+-IS!O106</f>
        <v>-26</v>
      </c>
      <c r="P76" s="229">
        <f>+-IS!P106</f>
        <v>-44</v>
      </c>
      <c r="Q76" s="229">
        <f>+-IS!Q106</f>
        <v>-76</v>
      </c>
      <c r="R76" s="527">
        <f>+-IS!R106</f>
        <v>-131</v>
      </c>
      <c r="S76" s="229">
        <f>+-IS!S106</f>
        <v>-169</v>
      </c>
      <c r="T76" s="229">
        <f>+-IS!T106</f>
        <v>-218</v>
      </c>
      <c r="U76" s="229">
        <f>+-IS!U106</f>
        <v>-198</v>
      </c>
      <c r="V76" s="229">
        <f>+-IS!V106</f>
        <v>-190</v>
      </c>
      <c r="W76" s="527">
        <f>+-IS!W106</f>
        <v>-775</v>
      </c>
      <c r="X76" s="229">
        <f>+-IS!X106</f>
        <v>-241</v>
      </c>
      <c r="Y76" s="229">
        <f>+-IS!Y106</f>
        <v>-464</v>
      </c>
      <c r="Z76" s="229">
        <f>+-IS!Z106</f>
        <v>-430</v>
      </c>
      <c r="AA76" s="229">
        <f>+-IS!AA106</f>
        <v>-991</v>
      </c>
      <c r="AB76" s="527">
        <f>+-IS!AB106</f>
        <v>-2126</v>
      </c>
      <c r="AC76" s="229">
        <f>+-IS!AC106</f>
        <v>-1012</v>
      </c>
      <c r="AD76" s="229">
        <f>+-IS!AD106</f>
        <v>-864</v>
      </c>
      <c r="AE76" s="229">
        <f>+-IS!AE106</f>
        <v>-728</v>
      </c>
      <c r="AF76" s="229">
        <f>+-IS!AF106</f>
        <v>-534</v>
      </c>
      <c r="AG76" s="527">
        <f>+-IS!AG106</f>
        <v>-3138</v>
      </c>
      <c r="AH76" s="229">
        <f>+-IS!AH106</f>
        <v>-329</v>
      </c>
      <c r="AI76" s="229">
        <f>+-IS!AI106</f>
        <v>1445</v>
      </c>
      <c r="AJ76" s="229">
        <f>+-IS!AJ106</f>
        <v>2035</v>
      </c>
      <c r="AK76" s="229">
        <f>+-IS!AK106</f>
        <v>2013</v>
      </c>
      <c r="AL76" s="527">
        <f>+-IS!AL106</f>
        <v>5164</v>
      </c>
      <c r="AM76" s="229">
        <f>+-IS!AM106</f>
        <v>1900</v>
      </c>
      <c r="AN76" s="229">
        <f>+-IS!AN106</f>
        <v>1804</v>
      </c>
      <c r="AO76" s="229">
        <f>+-IS!AO106</f>
        <v>1783</v>
      </c>
      <c r="AP76" s="229">
        <f>+-IS!AP106</f>
        <v>1718</v>
      </c>
      <c r="AQ76" s="527">
        <f>+-IS!AQ106</f>
        <v>7205</v>
      </c>
      <c r="AR76" s="229">
        <f>+-IS!AR106</f>
        <v>1602</v>
      </c>
      <c r="AS76" s="229">
        <f>+-IS!AS106</f>
        <v>1504</v>
      </c>
      <c r="AT76" s="229">
        <f>+-IS!AT106</f>
        <v>1205</v>
      </c>
      <c r="AU76" s="229">
        <f>-960+2782</f>
        <v>1822</v>
      </c>
      <c r="AV76" s="527">
        <f>+-IS!AV106</f>
        <v>3415</v>
      </c>
      <c r="AW76" s="229">
        <f>+-IS!AW106</f>
        <v>-320</v>
      </c>
      <c r="AX76" s="229">
        <f>+-IS!AX106</f>
        <v>-415</v>
      </c>
      <c r="AY76" s="229">
        <f>+-IS!AY106</f>
        <v>-960</v>
      </c>
      <c r="AZ76" s="229">
        <f>+-IS!AZ106</f>
        <v>-4130</v>
      </c>
      <c r="BA76" s="527">
        <f>+-IS!BA106</f>
        <v>-5825</v>
      </c>
      <c r="BB76" s="229">
        <f>+-IS!BB106</f>
        <v>-4674</v>
      </c>
      <c r="BC76" s="229">
        <f>+-IS!BC106</f>
        <v>-5174</v>
      </c>
      <c r="BD76" s="229">
        <f>+-IS!BD106</f>
        <v>-3951</v>
      </c>
      <c r="BE76" s="229">
        <f>-5551+2783</f>
        <v>-2768</v>
      </c>
      <c r="BF76" s="527">
        <f>+-IS!BF106</f>
        <v>-19260</v>
      </c>
      <c r="BG76" s="229">
        <f>+-IS!BG106</f>
        <v>-5694</v>
      </c>
      <c r="BH76" s="229">
        <f>+-IS!BH106</f>
        <v>-5285</v>
      </c>
      <c r="BI76" s="229">
        <f>+-IS!BI106</f>
        <v>-5993</v>
      </c>
      <c r="BJ76" s="229">
        <f>+-IS!BJ106</f>
        <v>-5417</v>
      </c>
      <c r="BK76" s="527">
        <f>+-IS!BK106</f>
        <v>-22389</v>
      </c>
      <c r="BL76" s="229">
        <f>+-IS!BL106</f>
        <v>-4000</v>
      </c>
      <c r="BM76" s="229">
        <f>+-IS!BM106</f>
        <v>-4000</v>
      </c>
      <c r="BN76" s="229">
        <f>+-IS!BN106</f>
        <v>-4000</v>
      </c>
      <c r="BO76" s="229">
        <f>+-IS!BO106</f>
        <v>-4000</v>
      </c>
      <c r="BP76" s="527">
        <f>+-IS!BP106</f>
        <v>-16000</v>
      </c>
      <c r="BQ76" s="229">
        <f>+-IS!BQ106</f>
        <v>-6000</v>
      </c>
      <c r="BR76" s="229">
        <f>+-IS!BR106</f>
        <v>-6000</v>
      </c>
      <c r="BS76" s="229">
        <f>+-IS!BS106</f>
        <v>-6000</v>
      </c>
      <c r="BT76" s="229">
        <f>+-IS!BT106</f>
        <v>-6000</v>
      </c>
      <c r="BU76" s="527">
        <f>+-IS!BU106</f>
        <v>-24000</v>
      </c>
    </row>
    <row r="77" spans="1:73" s="209" customFormat="1" ht="12.75">
      <c r="A77" s="106"/>
      <c r="B77" s="171" t="s">
        <v>161</v>
      </c>
      <c r="C77" s="243"/>
      <c r="D77" s="229"/>
      <c r="E77" s="229"/>
      <c r="F77" s="229"/>
      <c r="G77" s="229"/>
      <c r="H77" s="229">
        <f>+-IS!H107</f>
        <v>305</v>
      </c>
      <c r="I77" s="229">
        <f>+-IS!I107</f>
        <v>305</v>
      </c>
      <c r="J77" s="229">
        <f>+-IS!J107</f>
        <v>-163</v>
      </c>
      <c r="K77" s="229">
        <f>+-IS!K107</f>
        <v>49</v>
      </c>
      <c r="L77" s="229">
        <f>+-IS!L107</f>
        <v>87</v>
      </c>
      <c r="M77" s="527">
        <f>+-IS!M107</f>
        <v>278</v>
      </c>
      <c r="N77" s="229">
        <f>+-IS!N107</f>
        <v>-196</v>
      </c>
      <c r="O77" s="229">
        <f>+-IS!O107</f>
        <v>48</v>
      </c>
      <c r="P77" s="229">
        <f>+-IS!P107</f>
        <v>-36</v>
      </c>
      <c r="Q77" s="229">
        <f>+-IS!Q107</f>
        <v>293</v>
      </c>
      <c r="R77" s="527">
        <f>+-IS!R107</f>
        <v>109</v>
      </c>
      <c r="S77" s="229">
        <f>+-IS!S107</f>
        <v>115</v>
      </c>
      <c r="T77" s="229">
        <f>+-IS!T107</f>
        <v>-229</v>
      </c>
      <c r="U77" s="229">
        <f>+-IS!U107</f>
        <v>-235</v>
      </c>
      <c r="V77" s="229">
        <f>+-IS!V107</f>
        <v>36</v>
      </c>
      <c r="W77" s="527">
        <f>+-IS!W107</f>
        <v>-313</v>
      </c>
      <c r="X77" s="229">
        <f>+-IS!X107</f>
        <v>-78</v>
      </c>
      <c r="Y77" s="229">
        <f>+-IS!Y107</f>
        <v>326</v>
      </c>
      <c r="Z77" s="229">
        <f>+-IS!Z107</f>
        <v>-181</v>
      </c>
      <c r="AA77" s="229">
        <f>+-IS!AA107</f>
        <v>269</v>
      </c>
      <c r="AB77" s="527">
        <f>+-IS!AB107</f>
        <v>336</v>
      </c>
      <c r="AC77" s="229">
        <f>+-IS!AC107</f>
        <v>206</v>
      </c>
      <c r="AD77" s="229">
        <f>+-IS!AD107</f>
        <v>790</v>
      </c>
      <c r="AE77" s="229">
        <f>+-IS!AE107</f>
        <v>492</v>
      </c>
      <c r="AF77" s="229">
        <f>+-IS!AF107</f>
        <v>-294</v>
      </c>
      <c r="AG77" s="527">
        <f>+-IS!AG107</f>
        <v>1194</v>
      </c>
      <c r="AH77" s="229">
        <f>+-IS!AH107</f>
        <v>447</v>
      </c>
      <c r="AI77" s="229">
        <f>+-IS!AI107</f>
        <v>-210</v>
      </c>
      <c r="AJ77" s="229">
        <f>+-IS!AJ107</f>
        <v>-143</v>
      </c>
      <c r="AK77" s="229">
        <f>+-IS!AK107</f>
        <v>-12</v>
      </c>
      <c r="AL77" s="527">
        <f>+-IS!AL107</f>
        <v>82</v>
      </c>
      <c r="AM77" s="229">
        <f>+-IS!AM107</f>
        <v>1068</v>
      </c>
      <c r="AN77" s="229">
        <f>+-IS!AN107</f>
        <v>-148</v>
      </c>
      <c r="AO77" s="229">
        <f>+-IS!AO107</f>
        <v>299</v>
      </c>
      <c r="AP77" s="229">
        <f>+-IS!AP107</f>
        <v>703</v>
      </c>
      <c r="AQ77" s="527">
        <f>+-IS!AQ107</f>
        <v>1922</v>
      </c>
      <c r="AR77" s="229">
        <f>+-IS!AR107</f>
        <v>603</v>
      </c>
      <c r="AS77" s="229">
        <f>+-IS!AS107</f>
        <v>2403</v>
      </c>
      <c r="AT77" s="229">
        <f>+-IS!AT107</f>
        <v>2205</v>
      </c>
      <c r="AU77" s="229">
        <f>+-IS!AU107</f>
        <v>-3690</v>
      </c>
      <c r="AV77" s="527">
        <f>+-IS!AV107</f>
        <v>1521</v>
      </c>
      <c r="AW77" s="229">
        <f>+-IS!AW107</f>
        <v>307</v>
      </c>
      <c r="AX77" s="229">
        <f>+-IS!AX107</f>
        <v>608</v>
      </c>
      <c r="AY77" s="229">
        <f>+-IS!AY107</f>
        <v>1667</v>
      </c>
      <c r="AZ77" s="229">
        <f>+-IS!AZ107</f>
        <v>-3571</v>
      </c>
      <c r="BA77" s="527">
        <f>+-IS!BA107</f>
        <v>-989</v>
      </c>
      <c r="BB77" s="229">
        <f>+-IS!BB107</f>
        <v>1435</v>
      </c>
      <c r="BC77" s="229">
        <f>+-IS!BC107</f>
        <v>695</v>
      </c>
      <c r="BD77" s="229">
        <f>+-IS!BD107</f>
        <v>-2811</v>
      </c>
      <c r="BE77" s="229">
        <f>+-IS!BE107</f>
        <v>4361</v>
      </c>
      <c r="BF77" s="527">
        <f>+-IS!BF107</f>
        <v>3680</v>
      </c>
      <c r="BG77" s="229">
        <f>+-IS!BG107</f>
        <v>-1802</v>
      </c>
      <c r="BH77" s="229">
        <f>+-IS!BH107</f>
        <v>-3957</v>
      </c>
      <c r="BI77" s="229">
        <f>+-IS!BI107</f>
        <v>173</v>
      </c>
      <c r="BJ77" s="229">
        <f>+-IS!BJ107</f>
        <v>-444</v>
      </c>
      <c r="BK77" s="527">
        <f>+-IS!BK107</f>
        <v>-6030</v>
      </c>
      <c r="BL77" s="229">
        <f>+-IS!BL107</f>
        <v>-444</v>
      </c>
      <c r="BM77" s="229">
        <f>+-IS!BM107</f>
        <v>-444</v>
      </c>
      <c r="BN77" s="229">
        <f>+-IS!BN107</f>
        <v>-444</v>
      </c>
      <c r="BO77" s="229">
        <f>+-IS!BO107</f>
        <v>-444</v>
      </c>
      <c r="BP77" s="527">
        <f>+-IS!BP107</f>
        <v>-1776</v>
      </c>
      <c r="BQ77" s="229">
        <f>+-IS!BQ107</f>
        <v>-444</v>
      </c>
      <c r="BR77" s="229">
        <f>+-IS!BR107</f>
        <v>-444</v>
      </c>
      <c r="BS77" s="229">
        <f>+-IS!BS107</f>
        <v>-444</v>
      </c>
      <c r="BT77" s="229">
        <f>+-IS!BT107</f>
        <v>-444</v>
      </c>
      <c r="BU77" s="527">
        <f>+-IS!BU107</f>
        <v>-1776</v>
      </c>
    </row>
    <row r="78" spans="1:73" s="209" customFormat="1" ht="13.15" outlineLevel="1">
      <c r="A78" s="106"/>
      <c r="B78" s="171"/>
      <c r="C78" s="243"/>
      <c r="D78" s="229"/>
      <c r="E78" s="229"/>
      <c r="F78" s="229"/>
      <c r="G78" s="229"/>
      <c r="H78" s="229"/>
      <c r="I78" s="229"/>
      <c r="J78" s="229"/>
      <c r="K78" s="229"/>
      <c r="L78" s="229"/>
      <c r="M78" s="527"/>
      <c r="N78" s="229"/>
      <c r="O78" s="229"/>
      <c r="P78" s="229"/>
      <c r="Q78" s="229"/>
      <c r="R78" s="527"/>
      <c r="S78" s="229"/>
      <c r="T78" s="229"/>
      <c r="U78" s="316"/>
      <c r="V78" s="166"/>
      <c r="W78" s="471"/>
      <c r="X78" s="166"/>
      <c r="Y78" s="166"/>
      <c r="Z78" s="166"/>
      <c r="AA78" s="166"/>
      <c r="AB78" s="471"/>
      <c r="AC78" s="166"/>
      <c r="AD78" s="166"/>
      <c r="AE78" s="166"/>
      <c r="AF78" s="166"/>
      <c r="AG78" s="471"/>
      <c r="AH78" s="166"/>
      <c r="AI78" s="166"/>
      <c r="AJ78" s="166"/>
      <c r="AK78" s="166"/>
      <c r="AL78" s="471"/>
      <c r="AM78" s="166"/>
      <c r="AN78" s="166"/>
      <c r="AO78" s="166"/>
      <c r="AP78" s="166"/>
      <c r="AQ78" s="471"/>
      <c r="AR78" s="166"/>
      <c r="AS78" s="166"/>
      <c r="AT78" s="166"/>
      <c r="AU78" s="166"/>
      <c r="AV78" s="471"/>
      <c r="AW78" s="166"/>
      <c r="AX78" s="166"/>
      <c r="AY78" s="166"/>
      <c r="AZ78" s="166"/>
      <c r="BA78" s="471"/>
      <c r="BB78" s="166"/>
      <c r="BC78" s="166"/>
      <c r="BD78" s="166"/>
      <c r="BE78" s="166"/>
      <c r="BF78" s="471"/>
      <c r="BG78" s="166"/>
      <c r="BH78" s="166"/>
      <c r="BI78" s="166"/>
      <c r="BJ78" s="166"/>
      <c r="BK78" s="471"/>
      <c r="BL78" s="166"/>
      <c r="BM78" s="166"/>
      <c r="BN78" s="166"/>
      <c r="BO78" s="166"/>
      <c r="BP78" s="471"/>
      <c r="BQ78" s="166"/>
      <c r="BR78" s="166"/>
      <c r="BS78" s="166"/>
      <c r="BT78" s="166"/>
      <c r="BU78" s="471"/>
    </row>
    <row r="79" spans="1:73" s="209" customFormat="1" ht="12.75">
      <c r="A79" s="106"/>
      <c r="B79" s="224" t="s">
        <v>303</v>
      </c>
      <c r="C79" s="243"/>
      <c r="D79" s="229"/>
      <c r="E79" s="229"/>
      <c r="F79" s="229"/>
      <c r="G79" s="229"/>
      <c r="H79" s="229">
        <f t="shared" ref="H79:AT79" si="69">+H56</f>
        <v>379</v>
      </c>
      <c r="I79" s="229">
        <f t="shared" si="69"/>
        <v>74</v>
      </c>
      <c r="J79" s="229">
        <f t="shared" si="69"/>
        <v>97</v>
      </c>
      <c r="K79" s="229">
        <f t="shared" si="69"/>
        <v>211</v>
      </c>
      <c r="L79" s="229">
        <f t="shared" si="69"/>
        <v>114</v>
      </c>
      <c r="M79" s="527">
        <f t="shared" si="69"/>
        <v>496</v>
      </c>
      <c r="N79" s="229">
        <f t="shared" si="69"/>
        <v>142</v>
      </c>
      <c r="O79" s="229">
        <f t="shared" si="69"/>
        <v>149</v>
      </c>
      <c r="P79" s="229">
        <f t="shared" si="69"/>
        <v>70</v>
      </c>
      <c r="Q79" s="229">
        <f t="shared" si="69"/>
        <v>-388</v>
      </c>
      <c r="R79" s="527">
        <f t="shared" si="69"/>
        <v>-27</v>
      </c>
      <c r="S79" s="229">
        <f t="shared" si="69"/>
        <v>129</v>
      </c>
      <c r="T79" s="229">
        <f t="shared" si="69"/>
        <v>187</v>
      </c>
      <c r="U79" s="229">
        <f t="shared" si="69"/>
        <v>-2325</v>
      </c>
      <c r="V79" s="229">
        <f t="shared" si="69"/>
        <v>-227</v>
      </c>
      <c r="W79" s="527">
        <f t="shared" si="69"/>
        <v>-2236</v>
      </c>
      <c r="X79" s="229">
        <f t="shared" si="69"/>
        <v>95</v>
      </c>
      <c r="Y79" s="229">
        <f t="shared" si="69"/>
        <v>131</v>
      </c>
      <c r="Z79" s="229">
        <f t="shared" si="69"/>
        <v>-155</v>
      </c>
      <c r="AA79" s="229">
        <f t="shared" si="69"/>
        <v>395</v>
      </c>
      <c r="AB79" s="527">
        <f t="shared" si="69"/>
        <v>466</v>
      </c>
      <c r="AC79" s="229">
        <f t="shared" si="69"/>
        <v>225</v>
      </c>
      <c r="AD79" s="229">
        <f t="shared" si="69"/>
        <v>-519</v>
      </c>
      <c r="AE79" s="229">
        <f t="shared" si="69"/>
        <v>207</v>
      </c>
      <c r="AF79" s="229">
        <f t="shared" si="69"/>
        <v>129</v>
      </c>
      <c r="AG79" s="527">
        <f t="shared" si="69"/>
        <v>42</v>
      </c>
      <c r="AH79" s="229">
        <f t="shared" si="69"/>
        <v>243</v>
      </c>
      <c r="AI79" s="229">
        <f t="shared" si="69"/>
        <v>235</v>
      </c>
      <c r="AJ79" s="229">
        <f t="shared" si="69"/>
        <v>527</v>
      </c>
      <c r="AK79" s="229">
        <f t="shared" si="69"/>
        <v>981</v>
      </c>
      <c r="AL79" s="527">
        <f t="shared" si="69"/>
        <v>1986</v>
      </c>
      <c r="AM79" s="229">
        <f t="shared" si="69"/>
        <v>363</v>
      </c>
      <c r="AN79" s="229">
        <f t="shared" si="69"/>
        <v>484</v>
      </c>
      <c r="AO79" s="229">
        <f t="shared" si="69"/>
        <v>208</v>
      </c>
      <c r="AP79" s="229">
        <f t="shared" si="69"/>
        <v>400</v>
      </c>
      <c r="AQ79" s="527">
        <f t="shared" si="69"/>
        <v>1455</v>
      </c>
      <c r="AR79" s="229">
        <f t="shared" si="69"/>
        <v>1436</v>
      </c>
      <c r="AS79" s="229">
        <f t="shared" si="69"/>
        <v>37</v>
      </c>
      <c r="AT79" s="229">
        <f t="shared" si="69"/>
        <v>660</v>
      </c>
      <c r="AU79" s="229">
        <f>AU53</f>
        <v>-96</v>
      </c>
      <c r="AV79" s="527">
        <f t="shared" ref="AV79:BP79" si="70">+AV56</f>
        <v>2046</v>
      </c>
      <c r="AW79" s="229">
        <f t="shared" si="70"/>
        <v>594</v>
      </c>
      <c r="AX79" s="229">
        <f t="shared" si="70"/>
        <v>869</v>
      </c>
      <c r="AY79" s="229">
        <f t="shared" si="70"/>
        <v>1478</v>
      </c>
      <c r="AZ79" s="229">
        <f t="shared" si="70"/>
        <v>-4063</v>
      </c>
      <c r="BA79" s="527">
        <f t="shared" si="70"/>
        <v>-1122</v>
      </c>
      <c r="BB79" s="229">
        <f t="shared" si="70"/>
        <v>8925</v>
      </c>
      <c r="BC79" s="229">
        <f t="shared" si="70"/>
        <v>2109</v>
      </c>
      <c r="BD79" s="229">
        <f t="shared" si="70"/>
        <v>2952</v>
      </c>
      <c r="BE79" s="229">
        <v>3514</v>
      </c>
      <c r="BF79" s="527">
        <f t="shared" si="70"/>
        <v>15654</v>
      </c>
      <c r="BG79" s="229">
        <f t="shared" si="70"/>
        <v>2700</v>
      </c>
      <c r="BH79" s="229">
        <f t="shared" si="70"/>
        <v>2000</v>
      </c>
      <c r="BI79" s="229">
        <f t="shared" ref="BI79" si="71">+BI56</f>
        <v>-497</v>
      </c>
      <c r="BJ79" s="229">
        <f t="shared" si="70"/>
        <v>2597</v>
      </c>
      <c r="BK79" s="527">
        <f t="shared" si="70"/>
        <v>6800</v>
      </c>
      <c r="BL79" s="229">
        <f t="shared" si="70"/>
        <v>1233.3028187500008</v>
      </c>
      <c r="BM79" s="229">
        <f t="shared" si="70"/>
        <v>1634.8386740000003</v>
      </c>
      <c r="BN79" s="229">
        <f t="shared" si="70"/>
        <v>1796.8866994500008</v>
      </c>
      <c r="BO79" s="229">
        <f t="shared" si="70"/>
        <v>1826.3722072195001</v>
      </c>
      <c r="BP79" s="527">
        <f t="shared" si="70"/>
        <v>6491.4003994195009</v>
      </c>
      <c r="BQ79" s="229">
        <f t="shared" ref="BQ79:BU79" si="72">+BQ56</f>
        <v>1748.6216865197102</v>
      </c>
      <c r="BR79" s="229">
        <f t="shared" si="72"/>
        <v>1753.988931930822</v>
      </c>
      <c r="BS79" s="229">
        <f t="shared" si="72"/>
        <v>1802.8150709981521</v>
      </c>
      <c r="BT79" s="229">
        <f t="shared" si="72"/>
        <v>1813.3881049079371</v>
      </c>
      <c r="BU79" s="527">
        <f t="shared" si="72"/>
        <v>7118.8137943566217</v>
      </c>
    </row>
    <row r="80" spans="1:73" s="106" customFormat="1" ht="12.75" outlineLevel="1">
      <c r="A80" s="106" t="s">
        <v>257</v>
      </c>
      <c r="B80" s="224" t="s">
        <v>302</v>
      </c>
      <c r="C80" s="227"/>
      <c r="D80" s="244"/>
      <c r="E80" s="244"/>
      <c r="F80" s="244"/>
      <c r="G80" s="229"/>
      <c r="H80" s="229">
        <f>+H83-H81</f>
        <v>3271</v>
      </c>
      <c r="I80" s="244">
        <v>931</v>
      </c>
      <c r="J80" s="244">
        <v>951</v>
      </c>
      <c r="K80" s="244">
        <v>1054</v>
      </c>
      <c r="L80" s="244">
        <v>1130</v>
      </c>
      <c r="M80" s="527">
        <f>+SUM(I80:L80)</f>
        <v>4066</v>
      </c>
      <c r="N80" s="244">
        <v>1128</v>
      </c>
      <c r="O80" s="244">
        <v>1125</v>
      </c>
      <c r="P80" s="244">
        <v>1142</v>
      </c>
      <c r="Q80" s="244">
        <v>892</v>
      </c>
      <c r="R80" s="527">
        <f>+SUM(N80:Q80)</f>
        <v>4287</v>
      </c>
      <c r="S80" s="244">
        <v>1138</v>
      </c>
      <c r="T80" s="244">
        <v>1130</v>
      </c>
      <c r="U80" s="244">
        <v>1173</v>
      </c>
      <c r="V80" s="244">
        <v>1374</v>
      </c>
      <c r="W80" s="527">
        <f>+SUM(S80:V80)</f>
        <v>4815</v>
      </c>
      <c r="X80" s="244">
        <v>1383</v>
      </c>
      <c r="Y80" s="244">
        <v>1642</v>
      </c>
      <c r="Z80" s="244">
        <v>1591</v>
      </c>
      <c r="AA80" s="244">
        <v>1870</v>
      </c>
      <c r="AB80" s="527">
        <f>+SUM(X80:AA80)</f>
        <v>6486</v>
      </c>
      <c r="AC80" s="244">
        <v>1850</v>
      </c>
      <c r="AD80" s="244">
        <v>2056</v>
      </c>
      <c r="AE80" s="244">
        <v>2520</v>
      </c>
      <c r="AF80" s="244">
        <v>2537</v>
      </c>
      <c r="AG80" s="527">
        <f>+SUM(AC80:AF80)</f>
        <v>8963</v>
      </c>
      <c r="AH80" s="244">
        <v>2675</v>
      </c>
      <c r="AI80" s="244">
        <v>2740</v>
      </c>
      <c r="AJ80" s="244">
        <f>2706</f>
        <v>2706</v>
      </c>
      <c r="AK80" s="244">
        <f>2915</f>
        <v>2915</v>
      </c>
      <c r="AL80" s="527">
        <f>+SUM(AH80:AK80)</f>
        <v>11036</v>
      </c>
      <c r="AM80" s="229">
        <f>2994</f>
        <v>2994</v>
      </c>
      <c r="AN80" s="229">
        <f>3053</f>
        <v>3053</v>
      </c>
      <c r="AO80" s="229">
        <f>3155</f>
        <v>3155</v>
      </c>
      <c r="AP80" s="229">
        <f>3155</f>
        <v>3155</v>
      </c>
      <c r="AQ80" s="527">
        <f>+BS!AQ85</f>
        <v>12357</v>
      </c>
      <c r="AR80" s="229">
        <f>3303</f>
        <v>3303</v>
      </c>
      <c r="AS80" s="229">
        <f>3226</f>
        <v>3226</v>
      </c>
      <c r="AT80" s="229">
        <f>3479</f>
        <v>3479</v>
      </c>
      <c r="AU80" s="229">
        <f>3563</f>
        <v>3563</v>
      </c>
      <c r="AV80" s="527">
        <f>+BS!AV85</f>
        <v>13571</v>
      </c>
      <c r="AW80" s="229">
        <f>3837</f>
        <v>3837</v>
      </c>
      <c r="AX80" s="229">
        <f>3749</f>
        <v>3749</v>
      </c>
      <c r="AY80" s="229">
        <f>3343</f>
        <v>3343</v>
      </c>
      <c r="AZ80" s="229">
        <f>3118</f>
        <v>3118</v>
      </c>
      <c r="BA80" s="527">
        <f>+BS!BA85</f>
        <v>14047</v>
      </c>
      <c r="BB80" s="229">
        <f>3568</f>
        <v>3568</v>
      </c>
      <c r="BC80" s="229">
        <f>+BS!BC85</f>
        <v>0</v>
      </c>
      <c r="BD80" s="229">
        <f>+BS!BD85</f>
        <v>0</v>
      </c>
      <c r="BE80" s="229">
        <v>2658</v>
      </c>
      <c r="BF80" s="527">
        <f>+BS!BF85</f>
        <v>2908</v>
      </c>
      <c r="BG80" s="229">
        <f>+BS!BG85</f>
        <v>2791</v>
      </c>
      <c r="BH80" s="229">
        <f>+BS!BH85</f>
        <v>2791</v>
      </c>
      <c r="BI80" s="229">
        <f>+BS!BI85</f>
        <v>2339</v>
      </c>
      <c r="BJ80" s="229">
        <f>+BS!BJ85</f>
        <v>2289</v>
      </c>
      <c r="BK80" s="527">
        <f>+BS!BK85</f>
        <v>10210</v>
      </c>
      <c r="BL80" s="229">
        <f>+BS!BL85</f>
        <v>2559.2000000000003</v>
      </c>
      <c r="BM80" s="229">
        <f>+BS!BM85</f>
        <v>2520.8397799999998</v>
      </c>
      <c r="BN80" s="229">
        <f>+BS!BN85</f>
        <v>2486.3196215999997</v>
      </c>
      <c r="BO80" s="229">
        <f>+BS!BO85</f>
        <v>2455.6133318719994</v>
      </c>
      <c r="BP80" s="527">
        <f>+BS!BP85</f>
        <v>10021.972733471999</v>
      </c>
      <c r="BQ80" s="229">
        <f>+BS!BQ85</f>
        <v>2428.5416093222398</v>
      </c>
      <c r="BR80" s="229">
        <f>+BS!BR85</f>
        <v>2403.4763537764607</v>
      </c>
      <c r="BS80" s="229">
        <f>+BS!BS85</f>
        <v>2381.2083328343438</v>
      </c>
      <c r="BT80" s="229">
        <f>+BS!BT85</f>
        <v>2361.6598137275964</v>
      </c>
      <c r="BU80" s="527">
        <f>+BS!BU85</f>
        <v>9574.8861096606397</v>
      </c>
    </row>
    <row r="81" spans="1:73" s="106" customFormat="1" ht="12.75" outlineLevel="1">
      <c r="A81" s="106" t="s">
        <v>257</v>
      </c>
      <c r="B81" s="224" t="s">
        <v>301</v>
      </c>
      <c r="C81" s="227"/>
      <c r="D81" s="244"/>
      <c r="E81" s="244"/>
      <c r="F81" s="244"/>
      <c r="G81" s="229"/>
      <c r="H81" s="244">
        <v>869</v>
      </c>
      <c r="I81" s="244">
        <v>203</v>
      </c>
      <c r="J81" s="244">
        <v>276</v>
      </c>
      <c r="K81" s="244">
        <v>285</v>
      </c>
      <c r="L81" s="244">
        <v>522</v>
      </c>
      <c r="M81" s="527">
        <f>+SUM(I81:L81)</f>
        <v>1286</v>
      </c>
      <c r="N81" s="244">
        <v>583</v>
      </c>
      <c r="O81" s="244">
        <v>583</v>
      </c>
      <c r="P81" s="244">
        <v>769</v>
      </c>
      <c r="Q81" s="244">
        <v>503</v>
      </c>
      <c r="R81" s="527">
        <f>+SUM(N81:Q81)</f>
        <v>2438</v>
      </c>
      <c r="S81" s="244">
        <v>486</v>
      </c>
      <c r="T81" s="244">
        <v>483</v>
      </c>
      <c r="U81" s="244">
        <v>894</v>
      </c>
      <c r="V81" s="244">
        <v>950</v>
      </c>
      <c r="W81" s="527">
        <f>+SUM(S81:V81)</f>
        <v>2813</v>
      </c>
      <c r="X81" s="244">
        <v>1016</v>
      </c>
      <c r="Y81" s="244">
        <v>1036</v>
      </c>
      <c r="Z81" s="244">
        <v>1069</v>
      </c>
      <c r="AA81" s="244">
        <v>1490</v>
      </c>
      <c r="AB81" s="527">
        <f>+SUM(X81:AA81)</f>
        <v>4611</v>
      </c>
      <c r="AC81" s="244">
        <v>1577</v>
      </c>
      <c r="AD81" s="244">
        <v>1888</v>
      </c>
      <c r="AE81" s="244">
        <v>2078</v>
      </c>
      <c r="AF81" s="244">
        <v>2022</v>
      </c>
      <c r="AG81" s="527">
        <f>+SUM(AC81:AF81)</f>
        <v>7565</v>
      </c>
      <c r="AH81" s="244">
        <v>2168</v>
      </c>
      <c r="AI81" s="244">
        <v>2285</v>
      </c>
      <c r="AJ81" s="244">
        <f>3222</f>
        <v>3222</v>
      </c>
      <c r="AK81" s="244">
        <f>3369</f>
        <v>3369</v>
      </c>
      <c r="AL81" s="527">
        <f>+SUM(AH81:AK81)</f>
        <v>11044</v>
      </c>
      <c r="AM81" s="229">
        <f>3746</f>
        <v>3746</v>
      </c>
      <c r="AN81" s="229">
        <f>3975</f>
        <v>3975</v>
      </c>
      <c r="AO81" s="229">
        <f>6590</f>
        <v>6590</v>
      </c>
      <c r="AP81" s="229">
        <f>6590</f>
        <v>6590</v>
      </c>
      <c r="AQ81" s="527">
        <f>+BS!AQ94</f>
        <v>20901</v>
      </c>
      <c r="AR81" s="229">
        <f>6866</f>
        <v>6866</v>
      </c>
      <c r="AS81" s="229">
        <f>6997</f>
        <v>6997</v>
      </c>
      <c r="AT81" s="229">
        <f>6716</f>
        <v>6716</v>
      </c>
      <c r="AU81" s="229">
        <f>6888</f>
        <v>6888</v>
      </c>
      <c r="AV81" s="527">
        <f>+BS!AV94</f>
        <v>27467</v>
      </c>
      <c r="AW81" s="229">
        <f>7213</f>
        <v>7213</v>
      </c>
      <c r="AX81" s="229">
        <f>8080</f>
        <v>8080</v>
      </c>
      <c r="AY81" s="229">
        <f>8306</f>
        <v>8306</v>
      </c>
      <c r="AZ81" s="229">
        <f>8293</f>
        <v>8293</v>
      </c>
      <c r="BA81" s="527">
        <f>+BS!BA94</f>
        <v>31892</v>
      </c>
      <c r="BB81" s="229">
        <f>6618</f>
        <v>6618</v>
      </c>
      <c r="BC81" s="229">
        <f>+BS!BC94</f>
        <v>0</v>
      </c>
      <c r="BD81" s="229">
        <f>+BS!BD94</f>
        <v>0</v>
      </c>
      <c r="BE81" s="229">
        <f>+BS!BE94</f>
        <v>0</v>
      </c>
      <c r="BF81" s="527">
        <f>+BS!BF94</f>
        <v>8440</v>
      </c>
      <c r="BG81" s="229">
        <f>+BS!BG94</f>
        <v>8874</v>
      </c>
      <c r="BH81" s="229">
        <f>+BS!BH94</f>
        <v>8874</v>
      </c>
      <c r="BI81" s="229">
        <f>+BS!BI94</f>
        <v>8861</v>
      </c>
      <c r="BJ81" s="229">
        <f>+BS!BJ94</f>
        <v>8892</v>
      </c>
      <c r="BK81" s="527">
        <f>+BS!BK94</f>
        <v>35501</v>
      </c>
      <c r="BL81" s="229">
        <f>+BS!BL94</f>
        <v>7812.5999999999995</v>
      </c>
      <c r="BM81" s="229">
        <f>+BS!BM94</f>
        <v>6875.0879999999997</v>
      </c>
      <c r="BN81" s="229">
        <f>+BS!BN94</f>
        <v>6050.07744</v>
      </c>
      <c r="BO81" s="229">
        <f>+BS!BO94</f>
        <v>5324.0681472000006</v>
      </c>
      <c r="BP81" s="527">
        <f>+BS!BP94</f>
        <v>26061.833587199999</v>
      </c>
      <c r="BQ81" s="229">
        <f>+BS!BQ94</f>
        <v>4685.1799695360005</v>
      </c>
      <c r="BR81" s="229">
        <f>+BS!BR94</f>
        <v>4122.95837319168</v>
      </c>
      <c r="BS81" s="229">
        <f>+BS!BS94</f>
        <v>3628.2033684086787</v>
      </c>
      <c r="BT81" s="229">
        <f>+BS!BT94</f>
        <v>3192.8189641996373</v>
      </c>
      <c r="BU81" s="527">
        <f>+BS!BU94</f>
        <v>15629.160675335997</v>
      </c>
    </row>
    <row r="82" spans="1:73" s="106" customFormat="1" ht="13.15" outlineLevel="1">
      <c r="B82" s="224"/>
      <c r="C82" s="227"/>
      <c r="D82" s="166"/>
      <c r="E82" s="166"/>
      <c r="F82" s="166"/>
      <c r="G82" s="166"/>
      <c r="H82" s="166"/>
      <c r="I82" s="166"/>
      <c r="J82" s="166"/>
      <c r="K82" s="166"/>
      <c r="L82" s="166"/>
      <c r="M82" s="471"/>
      <c r="N82" s="166"/>
      <c r="O82" s="166"/>
      <c r="P82" s="166"/>
      <c r="Q82" s="166"/>
      <c r="R82" s="471"/>
      <c r="S82" s="166"/>
      <c r="T82" s="166"/>
      <c r="U82" s="166"/>
      <c r="V82" s="166"/>
      <c r="W82" s="471"/>
      <c r="X82" s="166"/>
      <c r="Y82" s="166"/>
      <c r="Z82" s="166"/>
      <c r="AA82" s="166"/>
      <c r="AB82" s="471"/>
      <c r="AC82" s="166"/>
      <c r="AD82" s="166"/>
      <c r="AE82" s="166"/>
      <c r="AF82" s="166"/>
      <c r="AG82" s="471"/>
      <c r="AH82" s="166"/>
      <c r="AI82" s="166"/>
      <c r="AJ82" s="166"/>
      <c r="AK82" s="166"/>
      <c r="AL82" s="471"/>
      <c r="AM82" s="166"/>
      <c r="AN82" s="166"/>
      <c r="AO82" s="166"/>
      <c r="AP82" s="166"/>
      <c r="AQ82" s="471"/>
      <c r="AR82" s="166"/>
      <c r="AS82" s="166"/>
      <c r="AT82" s="166"/>
      <c r="AU82" s="166"/>
      <c r="AV82" s="471"/>
      <c r="AW82" s="166"/>
      <c r="AX82" s="166"/>
      <c r="AY82" s="166"/>
      <c r="AZ82" s="166"/>
      <c r="BA82" s="471"/>
      <c r="BB82" s="166"/>
      <c r="BC82" s="166"/>
      <c r="BD82" s="166"/>
      <c r="BE82" s="166"/>
      <c r="BF82" s="471"/>
      <c r="BG82" s="166"/>
      <c r="BH82" s="166"/>
      <c r="BI82" s="166"/>
      <c r="BJ82" s="166"/>
      <c r="BK82" s="471"/>
      <c r="BL82" s="166"/>
      <c r="BM82" s="166"/>
      <c r="BN82" s="166"/>
      <c r="BO82" s="166"/>
      <c r="BP82" s="471"/>
      <c r="BQ82" s="166"/>
      <c r="BR82" s="166"/>
      <c r="BS82" s="166"/>
      <c r="BT82" s="166"/>
      <c r="BU82" s="471"/>
    </row>
    <row r="83" spans="1:73" s="106" customFormat="1" ht="12.75">
      <c r="B83" s="224" t="s">
        <v>300</v>
      </c>
      <c r="C83" s="229"/>
      <c r="D83" s="229"/>
      <c r="E83" s="229"/>
      <c r="F83" s="229"/>
      <c r="G83" s="229"/>
      <c r="H83" s="229">
        <f>+CF!H8</f>
        <v>4140</v>
      </c>
      <c r="I83" s="229">
        <f>+CF!I8</f>
        <v>1134</v>
      </c>
      <c r="J83" s="229">
        <f>+CF!J8</f>
        <v>1227</v>
      </c>
      <c r="K83" s="229">
        <f>+CF!K8</f>
        <v>1339</v>
      </c>
      <c r="L83" s="229">
        <f>+CF!L8</f>
        <v>1652</v>
      </c>
      <c r="M83" s="527">
        <f>+CF!M8</f>
        <v>5352</v>
      </c>
      <c r="N83" s="229">
        <f>+CF!N8</f>
        <v>1711</v>
      </c>
      <c r="O83" s="229">
        <f>+CF!O8</f>
        <v>1708</v>
      </c>
      <c r="P83" s="229">
        <f>+CF!P8</f>
        <v>1911</v>
      </c>
      <c r="Q83" s="229">
        <f>+CF!Q8</f>
        <v>1395</v>
      </c>
      <c r="R83" s="527">
        <f>+CF!R8</f>
        <v>6725</v>
      </c>
      <c r="S83" s="229">
        <f>+CF!S8</f>
        <v>1624</v>
      </c>
      <c r="T83" s="229">
        <f>+CF!T8</f>
        <v>1613</v>
      </c>
      <c r="U83" s="229">
        <f>+CF!U8</f>
        <v>2067</v>
      </c>
      <c r="V83" s="229">
        <f>+CF!V8</f>
        <v>2324</v>
      </c>
      <c r="W83" s="527">
        <f>+CF!W8</f>
        <v>7628</v>
      </c>
      <c r="X83" s="229">
        <f>+CF!X8</f>
        <v>2399</v>
      </c>
      <c r="Y83" s="229">
        <f>+CF!Y8</f>
        <v>2678</v>
      </c>
      <c r="Z83" s="229">
        <f>+CF!Z8</f>
        <v>2660</v>
      </c>
      <c r="AA83" s="229">
        <f>+CF!AA8</f>
        <v>3360</v>
      </c>
      <c r="AB83" s="527">
        <f>+CF!AB8</f>
        <v>11097</v>
      </c>
      <c r="AC83" s="229">
        <f>+CF!AC8</f>
        <v>3427</v>
      </c>
      <c r="AD83" s="229">
        <f>+CF!AD8</f>
        <v>3944</v>
      </c>
      <c r="AE83" s="229">
        <f>+CF!AE8</f>
        <v>4598</v>
      </c>
      <c r="AF83" s="229">
        <f>+CF!AF8</f>
        <v>4559</v>
      </c>
      <c r="AG83" s="527">
        <f>+CF!AG8</f>
        <v>16528</v>
      </c>
      <c r="AH83" s="229">
        <f>+CF!AH8</f>
        <v>4843</v>
      </c>
      <c r="AI83" s="229">
        <f>+CF!AI8</f>
        <v>5576</v>
      </c>
      <c r="AJ83" s="229">
        <f>+CF!AJ8</f>
        <v>5928</v>
      </c>
      <c r="AK83" s="229">
        <f>+CF!AK8</f>
        <v>6284</v>
      </c>
      <c r="AL83" s="527">
        <f>+SUM(AH83:AK83)</f>
        <v>22631</v>
      </c>
      <c r="AM83" s="229">
        <f>+CF!AM8</f>
        <v>6740</v>
      </c>
      <c r="AN83" s="229">
        <f>+CF!AN8</f>
        <v>7028</v>
      </c>
      <c r="AO83" s="229">
        <f>+CF!AO8</f>
        <v>9745</v>
      </c>
      <c r="AP83" s="229">
        <f>+CF!AP8</f>
        <v>9988</v>
      </c>
      <c r="AQ83" s="527">
        <f>+CF!AQ8</f>
        <v>33501</v>
      </c>
      <c r="AR83" s="229">
        <f>+CF!AR8</f>
        <v>10169</v>
      </c>
      <c r="AS83" s="229">
        <f>+CF!AS8</f>
        <v>10223</v>
      </c>
      <c r="AT83" s="229">
        <f>+CF!AT8</f>
        <v>10195</v>
      </c>
      <c r="AU83" s="229">
        <f>+CF!AU8</f>
        <v>10451</v>
      </c>
      <c r="AV83" s="527">
        <f>+CF!AV8</f>
        <v>41038</v>
      </c>
      <c r="AW83" s="229">
        <f>+CF!AW8</f>
        <v>11050</v>
      </c>
      <c r="AX83" s="229">
        <f>+CF!AX8</f>
        <v>11829</v>
      </c>
      <c r="AY83" s="229">
        <f>+CF!AY8</f>
        <v>11649</v>
      </c>
      <c r="AZ83" s="229">
        <f>+CF!AZ8</f>
        <v>11411</v>
      </c>
      <c r="BA83" s="527">
        <f>+CF!BA8</f>
        <v>45939</v>
      </c>
      <c r="BB83" s="229">
        <f>+CF!BB8</f>
        <v>11348</v>
      </c>
      <c r="BC83" s="229">
        <f>+CF!BC8</f>
        <v>10871</v>
      </c>
      <c r="BD83" s="229">
        <f>+CF!BD8</f>
        <v>11238</v>
      </c>
      <c r="BE83" s="229">
        <f>+CF!BE8</f>
        <v>11436</v>
      </c>
      <c r="BF83" s="527">
        <f>+CF!BF8</f>
        <v>44893</v>
      </c>
      <c r="BG83" s="229">
        <f>+CF!BG8</f>
        <v>11665</v>
      </c>
      <c r="BH83" s="229">
        <f>+CF!BH8</f>
        <v>11390</v>
      </c>
      <c r="BI83" s="229">
        <f>+CF!BI8</f>
        <v>11200</v>
      </c>
      <c r="BJ83" s="229">
        <f>+CF!BJ8</f>
        <v>11181</v>
      </c>
      <c r="BK83" s="527">
        <f>+CF!BK8</f>
        <v>45436</v>
      </c>
      <c r="BL83" s="229">
        <f>+CF!BL8</f>
        <v>10371.799999999999</v>
      </c>
      <c r="BM83" s="229">
        <f>+CF!BM8</f>
        <v>9395.92778</v>
      </c>
      <c r="BN83" s="229">
        <f>+CF!BN8</f>
        <v>8536.3970616000006</v>
      </c>
      <c r="BO83" s="229">
        <f>+CF!BO8</f>
        <v>7779.681479072</v>
      </c>
      <c r="BP83" s="527">
        <f>+CF!BP8</f>
        <v>36083.806320672003</v>
      </c>
      <c r="BQ83" s="229">
        <f>+CF!BQ8</f>
        <v>7113.7215788582398</v>
      </c>
      <c r="BR83" s="229">
        <f>+CF!BR8</f>
        <v>6526.4347269681402</v>
      </c>
      <c r="BS83" s="229">
        <f>+CF!BS8</f>
        <v>6009.4117012430224</v>
      </c>
      <c r="BT83" s="229">
        <f>+CF!BT8</f>
        <v>5554.4787779272338</v>
      </c>
      <c r="BU83" s="527">
        <f>+CF!BU8</f>
        <v>25204.046784996637</v>
      </c>
    </row>
    <row r="84" spans="1:73" s="106" customFormat="1" ht="12.75">
      <c r="B84" s="224" t="s">
        <v>299</v>
      </c>
      <c r="C84" s="227"/>
      <c r="D84" s="229"/>
      <c r="E84" s="229"/>
      <c r="F84" s="229"/>
      <c r="G84" s="229"/>
      <c r="H84" s="229">
        <f t="shared" ref="H84:AM84" si="73">+H67</f>
        <v>0</v>
      </c>
      <c r="I84" s="229">
        <f t="shared" si="73"/>
        <v>56</v>
      </c>
      <c r="J84" s="229">
        <f t="shared" si="73"/>
        <v>360</v>
      </c>
      <c r="K84" s="229">
        <f t="shared" si="73"/>
        <v>551</v>
      </c>
      <c r="L84" s="229">
        <f t="shared" si="73"/>
        <v>375</v>
      </c>
      <c r="M84" s="527">
        <f t="shared" si="73"/>
        <v>1342</v>
      </c>
      <c r="N84" s="229">
        <f t="shared" si="73"/>
        <v>0</v>
      </c>
      <c r="O84" s="229">
        <f t="shared" si="73"/>
        <v>0</v>
      </c>
      <c r="P84" s="229">
        <f t="shared" si="73"/>
        <v>0</v>
      </c>
      <c r="Q84" s="229">
        <f t="shared" si="73"/>
        <v>0</v>
      </c>
      <c r="R84" s="527">
        <f t="shared" si="73"/>
        <v>0</v>
      </c>
      <c r="S84" s="229">
        <f t="shared" si="73"/>
        <v>0</v>
      </c>
      <c r="T84" s="229">
        <f t="shared" si="73"/>
        <v>80</v>
      </c>
      <c r="U84" s="229">
        <f t="shared" si="73"/>
        <v>87</v>
      </c>
      <c r="V84" s="229">
        <f t="shared" si="73"/>
        <v>0</v>
      </c>
      <c r="W84" s="527">
        <f t="shared" si="73"/>
        <v>167</v>
      </c>
      <c r="X84" s="229">
        <f t="shared" si="73"/>
        <v>0</v>
      </c>
      <c r="Y84" s="229">
        <f t="shared" si="73"/>
        <v>0</v>
      </c>
      <c r="Z84" s="229">
        <f t="shared" si="73"/>
        <v>115</v>
      </c>
      <c r="AA84" s="229">
        <f t="shared" si="73"/>
        <v>0</v>
      </c>
      <c r="AB84" s="527">
        <f t="shared" si="73"/>
        <v>115</v>
      </c>
      <c r="AC84" s="229">
        <f t="shared" si="73"/>
        <v>217</v>
      </c>
      <c r="AD84" s="229">
        <f t="shared" si="73"/>
        <v>-464</v>
      </c>
      <c r="AE84" s="229">
        <f t="shared" si="73"/>
        <v>0</v>
      </c>
      <c r="AF84" s="229">
        <f t="shared" si="73"/>
        <v>0</v>
      </c>
      <c r="AG84" s="527">
        <f t="shared" si="73"/>
        <v>-247</v>
      </c>
      <c r="AH84" s="229">
        <f t="shared" si="73"/>
        <v>307</v>
      </c>
      <c r="AI84" s="229">
        <f t="shared" si="73"/>
        <v>831</v>
      </c>
      <c r="AJ84" s="229">
        <f t="shared" si="73"/>
        <v>0</v>
      </c>
      <c r="AK84" s="229">
        <f t="shared" si="73"/>
        <v>205</v>
      </c>
      <c r="AL84" s="527">
        <f t="shared" si="73"/>
        <v>1343</v>
      </c>
      <c r="AM84" s="229">
        <f t="shared" si="73"/>
        <v>1168</v>
      </c>
      <c r="AN84" s="229">
        <f t="shared" ref="AN84:BP84" si="74">+AN67</f>
        <v>9828</v>
      </c>
      <c r="AO84" s="229">
        <f t="shared" si="74"/>
        <v>5180</v>
      </c>
      <c r="AP84" s="229">
        <f t="shared" si="74"/>
        <v>0</v>
      </c>
      <c r="AQ84" s="527">
        <f t="shared" si="74"/>
        <v>16176</v>
      </c>
      <c r="AR84" s="229">
        <f t="shared" si="74"/>
        <v>0</v>
      </c>
      <c r="AS84" s="229">
        <f t="shared" si="74"/>
        <v>0</v>
      </c>
      <c r="AT84" s="229">
        <f t="shared" si="74"/>
        <v>0</v>
      </c>
      <c r="AU84" s="229">
        <f t="shared" si="74"/>
        <v>0</v>
      </c>
      <c r="AV84" s="527">
        <f t="shared" si="74"/>
        <v>0</v>
      </c>
      <c r="AW84" s="229">
        <f t="shared" si="74"/>
        <v>0</v>
      </c>
      <c r="AX84" s="229">
        <f t="shared" si="74"/>
        <v>0</v>
      </c>
      <c r="AY84" s="229">
        <f t="shared" si="74"/>
        <v>0</v>
      </c>
      <c r="AZ84" s="229">
        <f t="shared" si="74"/>
        <v>0</v>
      </c>
      <c r="BA84" s="527">
        <f t="shared" si="74"/>
        <v>0</v>
      </c>
      <c r="BB84" s="229">
        <f t="shared" si="74"/>
        <v>0</v>
      </c>
      <c r="BC84" s="229">
        <f t="shared" si="74"/>
        <v>278</v>
      </c>
      <c r="BD84" s="229">
        <f t="shared" si="74"/>
        <v>290</v>
      </c>
      <c r="BE84" s="229">
        <f t="shared" si="74"/>
        <v>183</v>
      </c>
      <c r="BF84" s="527">
        <f t="shared" si="74"/>
        <v>751</v>
      </c>
      <c r="BG84" s="229">
        <f t="shared" si="74"/>
        <v>183</v>
      </c>
      <c r="BH84" s="229">
        <f t="shared" si="74"/>
        <v>183</v>
      </c>
      <c r="BI84" s="229">
        <f t="shared" ref="BI84" si="75">+BI67</f>
        <v>84</v>
      </c>
      <c r="BJ84" s="229">
        <f t="shared" si="74"/>
        <v>83</v>
      </c>
      <c r="BK84" s="527">
        <f t="shared" si="74"/>
        <v>533</v>
      </c>
      <c r="BL84" s="229">
        <f t="shared" si="74"/>
        <v>83</v>
      </c>
      <c r="BM84" s="229">
        <f t="shared" si="74"/>
        <v>83</v>
      </c>
      <c r="BN84" s="229">
        <f t="shared" si="74"/>
        <v>83</v>
      </c>
      <c r="BO84" s="229">
        <f t="shared" si="74"/>
        <v>83</v>
      </c>
      <c r="BP84" s="527">
        <f t="shared" si="74"/>
        <v>332</v>
      </c>
      <c r="BQ84" s="229">
        <f t="shared" ref="BQ84:BU84" si="76">+BQ67</f>
        <v>83</v>
      </c>
      <c r="BR84" s="229">
        <f t="shared" si="76"/>
        <v>83</v>
      </c>
      <c r="BS84" s="229">
        <f t="shared" si="76"/>
        <v>83</v>
      </c>
      <c r="BT84" s="229">
        <f t="shared" si="76"/>
        <v>83</v>
      </c>
      <c r="BU84" s="527">
        <f t="shared" si="76"/>
        <v>332</v>
      </c>
    </row>
    <row r="85" spans="1:73" s="106" customFormat="1" ht="12.75" outlineLevel="1">
      <c r="B85" s="224"/>
      <c r="C85" s="227"/>
      <c r="D85" s="229"/>
      <c r="E85" s="229"/>
      <c r="F85" s="229"/>
      <c r="G85" s="229"/>
      <c r="H85" s="244"/>
      <c r="I85" s="244"/>
      <c r="J85" s="244"/>
      <c r="K85" s="244"/>
      <c r="L85" s="244"/>
      <c r="M85" s="527"/>
      <c r="N85" s="244"/>
      <c r="O85" s="244"/>
      <c r="P85" s="244"/>
      <c r="Q85" s="244"/>
      <c r="R85" s="527"/>
      <c r="S85" s="244"/>
      <c r="T85" s="244"/>
      <c r="U85" s="244"/>
      <c r="V85" s="244"/>
      <c r="W85" s="527"/>
      <c r="X85" s="244"/>
      <c r="Y85" s="244"/>
      <c r="Z85" s="244"/>
      <c r="AA85" s="244"/>
      <c r="AB85" s="527"/>
      <c r="AC85" s="244"/>
      <c r="AD85" s="244"/>
      <c r="AE85" s="244"/>
      <c r="AF85" s="244"/>
      <c r="AG85" s="527"/>
      <c r="AH85" s="244"/>
      <c r="AI85" s="244"/>
      <c r="AJ85" s="244"/>
      <c r="AK85" s="244"/>
      <c r="AL85" s="527"/>
      <c r="AM85" s="244"/>
      <c r="AN85" s="244"/>
      <c r="AO85" s="244"/>
      <c r="AP85" s="244"/>
      <c r="AQ85" s="527"/>
      <c r="AR85" s="244"/>
      <c r="AS85" s="244"/>
      <c r="AT85" s="244"/>
      <c r="AU85" s="244"/>
      <c r="AV85" s="527"/>
      <c r="AW85" s="244"/>
      <c r="AX85" s="244"/>
      <c r="AY85" s="244"/>
      <c r="AZ85" s="244"/>
      <c r="BA85" s="527"/>
      <c r="BB85" s="244"/>
      <c r="BC85" s="244"/>
      <c r="BD85" s="244"/>
      <c r="BE85" s="244"/>
      <c r="BF85" s="527"/>
      <c r="BG85" s="244"/>
      <c r="BH85" s="244"/>
      <c r="BI85" s="244"/>
      <c r="BJ85" s="244"/>
      <c r="BK85" s="527"/>
      <c r="BL85" s="244"/>
      <c r="BM85" s="244"/>
      <c r="BN85" s="244"/>
      <c r="BO85" s="244"/>
      <c r="BP85" s="527"/>
      <c r="BQ85" s="244"/>
      <c r="BR85" s="244"/>
      <c r="BS85" s="244"/>
      <c r="BT85" s="244"/>
      <c r="BU85" s="527"/>
    </row>
    <row r="86" spans="1:73" s="106" customFormat="1" ht="12.75">
      <c r="B86" s="262" t="s">
        <v>265</v>
      </c>
      <c r="C86" s="227"/>
      <c r="D86" s="229"/>
      <c r="E86" s="229"/>
      <c r="F86" s="229"/>
      <c r="G86" s="229"/>
      <c r="H86" s="229">
        <f>+H111</f>
        <v>2159</v>
      </c>
      <c r="I86" s="229">
        <f t="shared" ref="I86:AB86" si="77">+I111</f>
        <v>575</v>
      </c>
      <c r="J86" s="229">
        <f t="shared" si="77"/>
        <v>831</v>
      </c>
      <c r="K86" s="229">
        <f t="shared" si="77"/>
        <v>1427</v>
      </c>
      <c r="L86" s="229">
        <f t="shared" si="77"/>
        <v>7852</v>
      </c>
      <c r="M86" s="527">
        <f t="shared" si="77"/>
        <v>10685</v>
      </c>
      <c r="N86" s="229">
        <f t="shared" si="77"/>
        <v>5519</v>
      </c>
      <c r="O86" s="229">
        <f t="shared" si="77"/>
        <v>3641</v>
      </c>
      <c r="P86" s="229">
        <f t="shared" si="77"/>
        <v>4177</v>
      </c>
      <c r="Q86" s="229">
        <f t="shared" si="77"/>
        <v>3979</v>
      </c>
      <c r="R86" s="527">
        <f t="shared" si="77"/>
        <v>17316</v>
      </c>
      <c r="S86" s="229">
        <f t="shared" si="77"/>
        <v>4279</v>
      </c>
      <c r="T86" s="229">
        <f t="shared" si="77"/>
        <v>5171</v>
      </c>
      <c r="U86" s="229">
        <f t="shared" si="77"/>
        <v>5288</v>
      </c>
      <c r="V86" s="229">
        <f t="shared" si="77"/>
        <v>4803</v>
      </c>
      <c r="W86" s="527">
        <f t="shared" si="77"/>
        <v>19541</v>
      </c>
      <c r="X86" s="229">
        <f t="shared" si="77"/>
        <v>6225</v>
      </c>
      <c r="Y86" s="229">
        <f t="shared" si="77"/>
        <v>7350</v>
      </c>
      <c r="Z86" s="229">
        <f t="shared" si="77"/>
        <v>7424</v>
      </c>
      <c r="AA86" s="229">
        <f t="shared" si="77"/>
        <v>6594</v>
      </c>
      <c r="AB86" s="527">
        <f t="shared" si="77"/>
        <v>27593</v>
      </c>
      <c r="AC86" s="229">
        <f t="shared" ref="AC86:BP86" si="78">+AC111</f>
        <v>8634</v>
      </c>
      <c r="AD86" s="229">
        <f t="shared" si="78"/>
        <v>10430</v>
      </c>
      <c r="AE86" s="229">
        <f t="shared" si="78"/>
        <v>10426</v>
      </c>
      <c r="AF86" s="229">
        <f t="shared" si="78"/>
        <v>11174</v>
      </c>
      <c r="AG86" s="527">
        <f t="shared" si="78"/>
        <v>40664</v>
      </c>
      <c r="AH86" s="229">
        <f t="shared" si="78"/>
        <v>13347</v>
      </c>
      <c r="AI86" s="229">
        <f t="shared" si="78"/>
        <v>16446</v>
      </c>
      <c r="AJ86" s="229">
        <f t="shared" si="78"/>
        <v>17128</v>
      </c>
      <c r="AK86" s="229">
        <f t="shared" si="78"/>
        <v>16967</v>
      </c>
      <c r="AL86" s="527">
        <f t="shared" si="78"/>
        <v>63888</v>
      </c>
      <c r="AM86" s="229">
        <f t="shared" si="78"/>
        <v>20862</v>
      </c>
      <c r="AN86" s="229">
        <f t="shared" si="78"/>
        <v>23814</v>
      </c>
      <c r="AO86" s="229">
        <f t="shared" si="78"/>
        <v>29196</v>
      </c>
      <c r="AP86" s="229">
        <f t="shared" si="78"/>
        <v>28707</v>
      </c>
      <c r="AQ86" s="527">
        <f t="shared" si="78"/>
        <v>102579</v>
      </c>
      <c r="AR86" s="229">
        <f t="shared" si="78"/>
        <v>28922</v>
      </c>
      <c r="AS86" s="229">
        <f t="shared" si="78"/>
        <v>32411</v>
      </c>
      <c r="AT86" s="229">
        <f t="shared" si="78"/>
        <v>30971</v>
      </c>
      <c r="AU86" s="229">
        <f t="shared" si="78"/>
        <v>27598</v>
      </c>
      <c r="AV86" s="527">
        <f t="shared" si="78"/>
        <v>119902</v>
      </c>
      <c r="AW86" s="229">
        <f t="shared" si="78"/>
        <v>29373</v>
      </c>
      <c r="AX86" s="229">
        <f t="shared" si="78"/>
        <v>31695</v>
      </c>
      <c r="AY86" s="229">
        <f t="shared" si="78"/>
        <v>23768</v>
      </c>
      <c r="AZ86" s="229">
        <f t="shared" si="78"/>
        <v>23245</v>
      </c>
      <c r="BA86" s="527">
        <f t="shared" si="78"/>
        <v>108081</v>
      </c>
      <c r="BB86" s="229">
        <f t="shared" si="78"/>
        <v>24893</v>
      </c>
      <c r="BC86" s="229">
        <f t="shared" si="78"/>
        <v>27409</v>
      </c>
      <c r="BD86" s="229">
        <f t="shared" si="78"/>
        <v>24594</v>
      </c>
      <c r="BE86" s="229">
        <f t="shared" si="78"/>
        <v>27412</v>
      </c>
      <c r="BF86" s="527">
        <f t="shared" si="78"/>
        <v>104308</v>
      </c>
      <c r="BG86" s="229">
        <f t="shared" si="78"/>
        <v>27151</v>
      </c>
      <c r="BH86" s="229">
        <f t="shared" si="78"/>
        <v>27581</v>
      </c>
      <c r="BI86" s="229">
        <f t="shared" ref="BI86" si="79">+BI111</f>
        <v>26327</v>
      </c>
      <c r="BJ86" s="229">
        <f t="shared" si="78"/>
        <v>23276</v>
      </c>
      <c r="BK86" s="527">
        <f t="shared" si="78"/>
        <v>104335</v>
      </c>
      <c r="BL86" s="229">
        <f t="shared" si="78"/>
        <v>29115.761500000004</v>
      </c>
      <c r="BM86" s="229">
        <f t="shared" si="78"/>
        <v>27161.3914</v>
      </c>
      <c r="BN86" s="229">
        <f t="shared" si="78"/>
        <v>29434.874000000003</v>
      </c>
      <c r="BO86" s="229">
        <f t="shared" si="78"/>
        <v>29641.035200000002</v>
      </c>
      <c r="BP86" s="527">
        <f t="shared" si="78"/>
        <v>115353.0621</v>
      </c>
      <c r="BQ86" s="229">
        <f t="shared" ref="BQ86:BU86" si="80">+BQ111</f>
        <v>29613.162810000005</v>
      </c>
      <c r="BR86" s="229">
        <f t="shared" si="80"/>
        <v>27626.639196</v>
      </c>
      <c r="BS86" s="229">
        <f t="shared" si="80"/>
        <v>29915.925816000003</v>
      </c>
      <c r="BT86" s="229">
        <f t="shared" si="80"/>
        <v>30120.327888000003</v>
      </c>
      <c r="BU86" s="527">
        <f t="shared" si="80"/>
        <v>117276.05571000002</v>
      </c>
    </row>
    <row r="87" spans="1:73" s="106" customFormat="1" ht="12.75">
      <c r="B87" s="262" t="s">
        <v>267</v>
      </c>
      <c r="C87" s="227"/>
      <c r="D87" s="229"/>
      <c r="E87" s="229"/>
      <c r="F87" s="229"/>
      <c r="G87" s="229"/>
      <c r="H87" s="229">
        <f t="shared" ref="H87:AM87" si="81">+H61</f>
        <v>0</v>
      </c>
      <c r="I87" s="229">
        <f t="shared" si="81"/>
        <v>0</v>
      </c>
      <c r="J87" s="229">
        <f t="shared" si="81"/>
        <v>0</v>
      </c>
      <c r="K87" s="229">
        <f t="shared" si="81"/>
        <v>483</v>
      </c>
      <c r="L87" s="229">
        <f t="shared" si="81"/>
        <v>0</v>
      </c>
      <c r="M87" s="527">
        <f t="shared" si="81"/>
        <v>483</v>
      </c>
      <c r="N87" s="229">
        <f t="shared" si="81"/>
        <v>0</v>
      </c>
      <c r="O87" s="229">
        <f t="shared" si="81"/>
        <v>0</v>
      </c>
      <c r="P87" s="229">
        <f t="shared" si="81"/>
        <v>0</v>
      </c>
      <c r="Q87" s="229">
        <f t="shared" si="81"/>
        <v>0</v>
      </c>
      <c r="R87" s="527">
        <f t="shared" si="81"/>
        <v>0</v>
      </c>
      <c r="S87" s="229">
        <f t="shared" si="81"/>
        <v>0</v>
      </c>
      <c r="T87" s="229">
        <f t="shared" si="81"/>
        <v>0</v>
      </c>
      <c r="U87" s="229">
        <f t="shared" si="81"/>
        <v>0</v>
      </c>
      <c r="V87" s="229">
        <f t="shared" si="81"/>
        <v>0</v>
      </c>
      <c r="W87" s="527">
        <f t="shared" si="81"/>
        <v>0</v>
      </c>
      <c r="X87" s="229">
        <f t="shared" si="81"/>
        <v>0</v>
      </c>
      <c r="Y87" s="229">
        <f t="shared" si="81"/>
        <v>0</v>
      </c>
      <c r="Z87" s="229">
        <f t="shared" si="81"/>
        <v>0</v>
      </c>
      <c r="AA87" s="229">
        <f t="shared" si="81"/>
        <v>0</v>
      </c>
      <c r="AB87" s="527">
        <f t="shared" si="81"/>
        <v>0</v>
      </c>
      <c r="AC87" s="229">
        <f t="shared" si="81"/>
        <v>0</v>
      </c>
      <c r="AD87" s="229">
        <f t="shared" si="81"/>
        <v>0</v>
      </c>
      <c r="AE87" s="229">
        <f t="shared" si="81"/>
        <v>0</v>
      </c>
      <c r="AF87" s="229">
        <f t="shared" si="81"/>
        <v>0</v>
      </c>
      <c r="AG87" s="527">
        <f t="shared" si="81"/>
        <v>0</v>
      </c>
      <c r="AH87" s="229">
        <f t="shared" si="81"/>
        <v>0</v>
      </c>
      <c r="AI87" s="229">
        <f t="shared" si="81"/>
        <v>0</v>
      </c>
      <c r="AJ87" s="229">
        <f t="shared" si="81"/>
        <v>0</v>
      </c>
      <c r="AK87" s="229">
        <f t="shared" si="81"/>
        <v>0</v>
      </c>
      <c r="AL87" s="527">
        <f t="shared" si="81"/>
        <v>0</v>
      </c>
      <c r="AM87" s="229">
        <f t="shared" si="81"/>
        <v>0</v>
      </c>
      <c r="AN87" s="229">
        <f t="shared" ref="AN87:BP87" si="82">+AN61</f>
        <v>0</v>
      </c>
      <c r="AO87" s="229">
        <f t="shared" si="82"/>
        <v>0</v>
      </c>
      <c r="AP87" s="229">
        <f t="shared" si="82"/>
        <v>0</v>
      </c>
      <c r="AQ87" s="527">
        <f t="shared" si="82"/>
        <v>0</v>
      </c>
      <c r="AR87" s="229">
        <f t="shared" si="82"/>
        <v>0</v>
      </c>
      <c r="AS87" s="229">
        <f t="shared" si="82"/>
        <v>0</v>
      </c>
      <c r="AT87" s="229">
        <f t="shared" si="82"/>
        <v>0</v>
      </c>
      <c r="AU87" s="229">
        <f t="shared" si="82"/>
        <v>0</v>
      </c>
      <c r="AV87" s="527">
        <f t="shared" si="82"/>
        <v>0</v>
      </c>
      <c r="AW87" s="229">
        <f t="shared" si="82"/>
        <v>0</v>
      </c>
      <c r="AX87" s="229">
        <f t="shared" si="82"/>
        <v>0</v>
      </c>
      <c r="AY87" s="229">
        <f t="shared" si="82"/>
        <v>0</v>
      </c>
      <c r="AZ87" s="229">
        <f t="shared" si="82"/>
        <v>0</v>
      </c>
      <c r="BA87" s="527">
        <f t="shared" si="82"/>
        <v>0</v>
      </c>
      <c r="BB87" s="229">
        <f t="shared" si="82"/>
        <v>-190</v>
      </c>
      <c r="BC87" s="229">
        <f t="shared" si="82"/>
        <v>0</v>
      </c>
      <c r="BD87" s="229">
        <f t="shared" si="82"/>
        <v>0</v>
      </c>
      <c r="BE87" s="229">
        <f t="shared" si="82"/>
        <v>0</v>
      </c>
      <c r="BF87" s="527">
        <f t="shared" si="82"/>
        <v>-190</v>
      </c>
      <c r="BG87" s="229">
        <f t="shared" si="82"/>
        <v>0</v>
      </c>
      <c r="BH87" s="229">
        <f t="shared" si="82"/>
        <v>0</v>
      </c>
      <c r="BI87" s="229">
        <f t="shared" ref="BI87" si="83">+BI61</f>
        <v>0</v>
      </c>
      <c r="BJ87" s="229">
        <f t="shared" si="82"/>
        <v>0</v>
      </c>
      <c r="BK87" s="527">
        <f t="shared" si="82"/>
        <v>0</v>
      </c>
      <c r="BL87" s="229">
        <f t="shared" si="82"/>
        <v>0</v>
      </c>
      <c r="BM87" s="229">
        <f t="shared" si="82"/>
        <v>0</v>
      </c>
      <c r="BN87" s="229">
        <f t="shared" si="82"/>
        <v>0</v>
      </c>
      <c r="BO87" s="229">
        <f t="shared" si="82"/>
        <v>0</v>
      </c>
      <c r="BP87" s="527">
        <f t="shared" si="82"/>
        <v>0</v>
      </c>
      <c r="BQ87" s="229">
        <f t="shared" ref="BQ87:BU87" si="84">+BQ61</f>
        <v>0</v>
      </c>
      <c r="BR87" s="229">
        <f t="shared" si="84"/>
        <v>0</v>
      </c>
      <c r="BS87" s="229">
        <f t="shared" si="84"/>
        <v>0</v>
      </c>
      <c r="BT87" s="229">
        <f t="shared" si="84"/>
        <v>0</v>
      </c>
      <c r="BU87" s="527">
        <f t="shared" si="84"/>
        <v>0</v>
      </c>
    </row>
    <row r="88" spans="1:73" s="106" customFormat="1" ht="12.75">
      <c r="B88" s="262" t="s">
        <v>297</v>
      </c>
      <c r="C88" s="227"/>
      <c r="D88" s="229"/>
      <c r="E88" s="229"/>
      <c r="F88" s="229"/>
      <c r="G88" s="229"/>
      <c r="H88" s="229">
        <f t="shared" ref="H88:AM88" si="85">+H63</f>
        <v>0</v>
      </c>
      <c r="I88" s="229">
        <f t="shared" si="85"/>
        <v>0</v>
      </c>
      <c r="J88" s="229">
        <f t="shared" si="85"/>
        <v>0</v>
      </c>
      <c r="K88" s="229">
        <f t="shared" si="85"/>
        <v>0</v>
      </c>
      <c r="L88" s="229">
        <f t="shared" si="85"/>
        <v>0</v>
      </c>
      <c r="M88" s="527">
        <f t="shared" si="85"/>
        <v>0</v>
      </c>
      <c r="N88" s="229">
        <f t="shared" si="85"/>
        <v>0</v>
      </c>
      <c r="O88" s="229">
        <f t="shared" si="85"/>
        <v>0</v>
      </c>
      <c r="P88" s="229">
        <f t="shared" si="85"/>
        <v>0</v>
      </c>
      <c r="Q88" s="229">
        <f t="shared" si="85"/>
        <v>0</v>
      </c>
      <c r="R88" s="527">
        <f t="shared" si="85"/>
        <v>0</v>
      </c>
      <c r="S88" s="229">
        <f t="shared" si="85"/>
        <v>0</v>
      </c>
      <c r="T88" s="229">
        <f t="shared" si="85"/>
        <v>0</v>
      </c>
      <c r="U88" s="229">
        <f t="shared" si="85"/>
        <v>0</v>
      </c>
      <c r="V88" s="229">
        <f t="shared" si="85"/>
        <v>0</v>
      </c>
      <c r="W88" s="527">
        <f t="shared" si="85"/>
        <v>0</v>
      </c>
      <c r="X88" s="229">
        <f t="shared" si="85"/>
        <v>140</v>
      </c>
      <c r="Y88" s="229">
        <f t="shared" si="85"/>
        <v>65</v>
      </c>
      <c r="Z88" s="229">
        <f t="shared" si="85"/>
        <v>0</v>
      </c>
      <c r="AA88" s="229">
        <f t="shared" si="85"/>
        <v>0</v>
      </c>
      <c r="AB88" s="527">
        <f t="shared" si="85"/>
        <v>205</v>
      </c>
      <c r="AC88" s="229">
        <f t="shared" si="85"/>
        <v>0</v>
      </c>
      <c r="AD88" s="229">
        <f t="shared" si="85"/>
        <v>0</v>
      </c>
      <c r="AE88" s="229">
        <f t="shared" si="85"/>
        <v>0</v>
      </c>
      <c r="AF88" s="229">
        <f t="shared" si="85"/>
        <v>0</v>
      </c>
      <c r="AG88" s="527">
        <f t="shared" si="85"/>
        <v>0</v>
      </c>
      <c r="AH88" s="229">
        <f t="shared" si="85"/>
        <v>0</v>
      </c>
      <c r="AI88" s="229">
        <f t="shared" si="85"/>
        <v>0</v>
      </c>
      <c r="AJ88" s="229">
        <f t="shared" si="85"/>
        <v>0</v>
      </c>
      <c r="AK88" s="229">
        <f t="shared" si="85"/>
        <v>0</v>
      </c>
      <c r="AL88" s="527">
        <f t="shared" si="85"/>
        <v>0</v>
      </c>
      <c r="AM88" s="229">
        <f t="shared" si="85"/>
        <v>0</v>
      </c>
      <c r="AN88" s="229">
        <f t="shared" ref="AN88:BP88" si="86">+AN63</f>
        <v>0</v>
      </c>
      <c r="AO88" s="229">
        <f t="shared" si="86"/>
        <v>0</v>
      </c>
      <c r="AP88" s="229">
        <f t="shared" si="86"/>
        <v>0</v>
      </c>
      <c r="AQ88" s="527">
        <f t="shared" si="86"/>
        <v>0</v>
      </c>
      <c r="AR88" s="229">
        <f t="shared" si="86"/>
        <v>0</v>
      </c>
      <c r="AS88" s="229">
        <f t="shared" si="86"/>
        <v>0</v>
      </c>
      <c r="AT88" s="229">
        <f t="shared" si="86"/>
        <v>0</v>
      </c>
      <c r="AU88" s="229">
        <f t="shared" si="86"/>
        <v>0</v>
      </c>
      <c r="AV88" s="527">
        <f t="shared" si="86"/>
        <v>0</v>
      </c>
      <c r="AW88" s="229">
        <f t="shared" si="86"/>
        <v>0</v>
      </c>
      <c r="AX88" s="229">
        <f t="shared" si="86"/>
        <v>0</v>
      </c>
      <c r="AY88" s="229">
        <f t="shared" si="86"/>
        <v>0</v>
      </c>
      <c r="AZ88" s="229">
        <f t="shared" si="86"/>
        <v>0</v>
      </c>
      <c r="BA88" s="527">
        <f t="shared" si="86"/>
        <v>0</v>
      </c>
      <c r="BB88" s="229">
        <f t="shared" si="86"/>
        <v>0</v>
      </c>
      <c r="BC88" s="229">
        <f t="shared" si="86"/>
        <v>0</v>
      </c>
      <c r="BD88" s="229">
        <f t="shared" si="86"/>
        <v>0</v>
      </c>
      <c r="BE88" s="229">
        <f t="shared" si="86"/>
        <v>0</v>
      </c>
      <c r="BF88" s="527">
        <f t="shared" si="86"/>
        <v>0</v>
      </c>
      <c r="BG88" s="229">
        <f t="shared" si="86"/>
        <v>0</v>
      </c>
      <c r="BH88" s="229">
        <f t="shared" si="86"/>
        <v>0</v>
      </c>
      <c r="BI88" s="229">
        <f t="shared" ref="BI88" si="87">+BI63</f>
        <v>0</v>
      </c>
      <c r="BJ88" s="229">
        <f t="shared" si="86"/>
        <v>0</v>
      </c>
      <c r="BK88" s="527">
        <f t="shared" si="86"/>
        <v>0</v>
      </c>
      <c r="BL88" s="229">
        <f t="shared" si="86"/>
        <v>0</v>
      </c>
      <c r="BM88" s="229">
        <f t="shared" si="86"/>
        <v>0</v>
      </c>
      <c r="BN88" s="229">
        <f t="shared" si="86"/>
        <v>0</v>
      </c>
      <c r="BO88" s="229">
        <f t="shared" si="86"/>
        <v>0</v>
      </c>
      <c r="BP88" s="527">
        <f t="shared" si="86"/>
        <v>0</v>
      </c>
      <c r="BQ88" s="229">
        <f t="shared" ref="BQ88:BU88" si="88">+BQ63</f>
        <v>0</v>
      </c>
      <c r="BR88" s="229">
        <f t="shared" si="88"/>
        <v>0</v>
      </c>
      <c r="BS88" s="229">
        <f t="shared" si="88"/>
        <v>0</v>
      </c>
      <c r="BT88" s="229">
        <f t="shared" si="88"/>
        <v>0</v>
      </c>
      <c r="BU88" s="527">
        <f t="shared" si="88"/>
        <v>0</v>
      </c>
    </row>
    <row r="89" spans="1:73" s="106" customFormat="1" ht="12.75">
      <c r="B89" s="262" t="s">
        <v>298</v>
      </c>
      <c r="C89" s="227"/>
      <c r="D89" s="229"/>
      <c r="E89" s="229"/>
      <c r="F89" s="229"/>
      <c r="G89" s="229"/>
      <c r="H89" s="229">
        <f t="shared" ref="H89:AM89" si="89">+H65</f>
        <v>0</v>
      </c>
      <c r="I89" s="229">
        <f t="shared" si="89"/>
        <v>0</v>
      </c>
      <c r="J89" s="229">
        <f t="shared" si="89"/>
        <v>0</v>
      </c>
      <c r="K89" s="229">
        <f t="shared" si="89"/>
        <v>0</v>
      </c>
      <c r="L89" s="229">
        <f t="shared" si="89"/>
        <v>0</v>
      </c>
      <c r="M89" s="527">
        <f t="shared" si="89"/>
        <v>0</v>
      </c>
      <c r="N89" s="229">
        <f t="shared" si="89"/>
        <v>0</v>
      </c>
      <c r="O89" s="229">
        <f t="shared" si="89"/>
        <v>0</v>
      </c>
      <c r="P89" s="229">
        <f t="shared" si="89"/>
        <v>0</v>
      </c>
      <c r="Q89" s="229">
        <f t="shared" si="89"/>
        <v>0</v>
      </c>
      <c r="R89" s="527">
        <f t="shared" si="89"/>
        <v>0</v>
      </c>
      <c r="S89" s="229">
        <f t="shared" si="89"/>
        <v>0</v>
      </c>
      <c r="T89" s="229">
        <f t="shared" si="89"/>
        <v>0</v>
      </c>
      <c r="U89" s="229">
        <f t="shared" si="89"/>
        <v>0</v>
      </c>
      <c r="V89" s="229">
        <f t="shared" si="89"/>
        <v>0</v>
      </c>
      <c r="W89" s="527">
        <f t="shared" si="89"/>
        <v>0</v>
      </c>
      <c r="X89" s="229">
        <f t="shared" si="89"/>
        <v>400</v>
      </c>
      <c r="Y89" s="229">
        <f t="shared" si="89"/>
        <v>0</v>
      </c>
      <c r="Z89" s="229">
        <f t="shared" si="89"/>
        <v>0</v>
      </c>
      <c r="AA89" s="229">
        <f t="shared" si="89"/>
        <v>200</v>
      </c>
      <c r="AB89" s="527">
        <f t="shared" si="89"/>
        <v>600</v>
      </c>
      <c r="AC89" s="229">
        <f t="shared" si="89"/>
        <v>73</v>
      </c>
      <c r="AD89" s="229">
        <f t="shared" si="89"/>
        <v>255</v>
      </c>
      <c r="AE89" s="229">
        <f t="shared" si="89"/>
        <v>178</v>
      </c>
      <c r="AF89" s="229">
        <f t="shared" si="89"/>
        <v>236</v>
      </c>
      <c r="AG89" s="527">
        <f t="shared" si="89"/>
        <v>742</v>
      </c>
      <c r="AH89" s="229">
        <f t="shared" si="89"/>
        <v>543</v>
      </c>
      <c r="AI89" s="229">
        <f t="shared" si="89"/>
        <v>435</v>
      </c>
      <c r="AJ89" s="229">
        <f t="shared" si="89"/>
        <v>651</v>
      </c>
      <c r="AK89" s="229">
        <f t="shared" si="89"/>
        <v>133</v>
      </c>
      <c r="AL89" s="527">
        <f t="shared" si="89"/>
        <v>1762</v>
      </c>
      <c r="AM89" s="229">
        <f t="shared" si="89"/>
        <v>103</v>
      </c>
      <c r="AN89" s="229">
        <f t="shared" ref="AN89:BP89" si="90">+AN65</f>
        <v>251</v>
      </c>
      <c r="AO89" s="229">
        <f t="shared" si="90"/>
        <v>105</v>
      </c>
      <c r="AP89" s="229">
        <f t="shared" si="90"/>
        <v>110</v>
      </c>
      <c r="AQ89" s="527">
        <f t="shared" si="90"/>
        <v>569</v>
      </c>
      <c r="AR89" s="229">
        <f t="shared" si="90"/>
        <v>115</v>
      </c>
      <c r="AS89" s="229">
        <f t="shared" si="90"/>
        <v>0</v>
      </c>
      <c r="AT89" s="229">
        <f t="shared" si="90"/>
        <v>0</v>
      </c>
      <c r="AU89" s="229">
        <f t="shared" si="90"/>
        <v>0</v>
      </c>
      <c r="AV89" s="527">
        <f t="shared" si="90"/>
        <v>115</v>
      </c>
      <c r="AW89" s="229">
        <f t="shared" si="90"/>
        <v>0</v>
      </c>
      <c r="AX89" s="229">
        <f t="shared" si="90"/>
        <v>0</v>
      </c>
      <c r="AY89" s="229">
        <f t="shared" si="90"/>
        <v>0</v>
      </c>
      <c r="AZ89" s="229">
        <f t="shared" si="90"/>
        <v>0</v>
      </c>
      <c r="BA89" s="527">
        <f t="shared" si="90"/>
        <v>0</v>
      </c>
      <c r="BB89" s="229">
        <f t="shared" si="90"/>
        <v>0</v>
      </c>
      <c r="BC89" s="229">
        <f t="shared" si="90"/>
        <v>0</v>
      </c>
      <c r="BD89" s="229">
        <f t="shared" si="90"/>
        <v>0</v>
      </c>
      <c r="BE89" s="229">
        <f t="shared" si="90"/>
        <v>0</v>
      </c>
      <c r="BF89" s="527">
        <f t="shared" si="90"/>
        <v>0</v>
      </c>
      <c r="BG89" s="229">
        <f t="shared" si="90"/>
        <v>0</v>
      </c>
      <c r="BH89" s="229">
        <f t="shared" si="90"/>
        <v>0</v>
      </c>
      <c r="BI89" s="229">
        <f t="shared" ref="BI89" si="91">+BI65</f>
        <v>0</v>
      </c>
      <c r="BJ89" s="229">
        <f t="shared" si="90"/>
        <v>0</v>
      </c>
      <c r="BK89" s="527">
        <f t="shared" si="90"/>
        <v>0</v>
      </c>
      <c r="BL89" s="229">
        <f t="shared" si="90"/>
        <v>0</v>
      </c>
      <c r="BM89" s="229">
        <f t="shared" si="90"/>
        <v>0</v>
      </c>
      <c r="BN89" s="229">
        <f t="shared" si="90"/>
        <v>0</v>
      </c>
      <c r="BO89" s="229">
        <f t="shared" si="90"/>
        <v>0</v>
      </c>
      <c r="BP89" s="527">
        <f t="shared" si="90"/>
        <v>0</v>
      </c>
      <c r="BQ89" s="229">
        <f t="shared" ref="BQ89:BU89" si="92">+BQ65</f>
        <v>0</v>
      </c>
      <c r="BR89" s="229">
        <f t="shared" si="92"/>
        <v>0</v>
      </c>
      <c r="BS89" s="229">
        <f t="shared" si="92"/>
        <v>0</v>
      </c>
      <c r="BT89" s="229">
        <f t="shared" si="92"/>
        <v>0</v>
      </c>
      <c r="BU89" s="527">
        <f t="shared" si="92"/>
        <v>0</v>
      </c>
    </row>
    <row r="90" spans="1:73" s="106" customFormat="1" ht="12.75">
      <c r="B90" s="224" t="s">
        <v>329</v>
      </c>
      <c r="C90" s="227"/>
      <c r="D90" s="229"/>
      <c r="E90" s="229"/>
      <c r="F90" s="229"/>
      <c r="G90" s="229"/>
      <c r="H90" s="229">
        <f t="shared" ref="H90:AW90" si="93">+H69</f>
        <v>0</v>
      </c>
      <c r="I90" s="229">
        <f t="shared" si="93"/>
        <v>0</v>
      </c>
      <c r="J90" s="229">
        <f t="shared" si="93"/>
        <v>0</v>
      </c>
      <c r="K90" s="229">
        <f t="shared" si="93"/>
        <v>0</v>
      </c>
      <c r="L90" s="229">
        <f t="shared" si="93"/>
        <v>0</v>
      </c>
      <c r="M90" s="527">
        <f t="shared" si="93"/>
        <v>0</v>
      </c>
      <c r="N90" s="229">
        <f t="shared" si="93"/>
        <v>0</v>
      </c>
      <c r="O90" s="229">
        <f t="shared" si="93"/>
        <v>0</v>
      </c>
      <c r="P90" s="229">
        <f t="shared" si="93"/>
        <v>0</v>
      </c>
      <c r="Q90" s="229">
        <f t="shared" si="93"/>
        <v>0</v>
      </c>
      <c r="R90" s="527">
        <f t="shared" si="93"/>
        <v>0</v>
      </c>
      <c r="S90" s="229">
        <f t="shared" si="93"/>
        <v>0</v>
      </c>
      <c r="T90" s="229">
        <f t="shared" si="93"/>
        <v>0</v>
      </c>
      <c r="U90" s="229">
        <f t="shared" si="93"/>
        <v>0</v>
      </c>
      <c r="V90" s="229">
        <f t="shared" si="93"/>
        <v>0</v>
      </c>
      <c r="W90" s="527">
        <f t="shared" si="93"/>
        <v>0</v>
      </c>
      <c r="X90" s="229">
        <f t="shared" si="93"/>
        <v>0</v>
      </c>
      <c r="Y90" s="229">
        <f t="shared" si="93"/>
        <v>0</v>
      </c>
      <c r="Z90" s="229">
        <f t="shared" si="93"/>
        <v>1296</v>
      </c>
      <c r="AA90" s="229">
        <f t="shared" si="93"/>
        <v>2535</v>
      </c>
      <c r="AB90" s="527">
        <f t="shared" si="93"/>
        <v>3831</v>
      </c>
      <c r="AC90" s="229">
        <f t="shared" si="93"/>
        <v>2510</v>
      </c>
      <c r="AD90" s="229">
        <f t="shared" si="93"/>
        <v>2594</v>
      </c>
      <c r="AE90" s="229">
        <f t="shared" si="93"/>
        <v>2679</v>
      </c>
      <c r="AF90" s="229">
        <f t="shared" si="93"/>
        <v>2730</v>
      </c>
      <c r="AG90" s="527">
        <f t="shared" si="93"/>
        <v>10513</v>
      </c>
      <c r="AH90" s="229">
        <f t="shared" si="93"/>
        <v>2743</v>
      </c>
      <c r="AI90" s="229">
        <f t="shared" si="93"/>
        <v>4264</v>
      </c>
      <c r="AJ90" s="229">
        <f t="shared" si="93"/>
        <v>5206</v>
      </c>
      <c r="AK90" s="229">
        <f t="shared" si="93"/>
        <v>5305</v>
      </c>
      <c r="AL90" s="527">
        <f t="shared" si="93"/>
        <v>17518</v>
      </c>
      <c r="AM90" s="229">
        <f t="shared" si="93"/>
        <v>3398</v>
      </c>
      <c r="AN90" s="229">
        <f t="shared" si="93"/>
        <v>1133</v>
      </c>
      <c r="AO90" s="229">
        <f t="shared" si="93"/>
        <v>1095</v>
      </c>
      <c r="AP90" s="229">
        <f t="shared" si="93"/>
        <v>1096</v>
      </c>
      <c r="AQ90" s="527">
        <f t="shared" si="93"/>
        <v>6722</v>
      </c>
      <c r="AR90" s="229">
        <f t="shared" si="93"/>
        <v>979</v>
      </c>
      <c r="AS90" s="229">
        <f t="shared" si="93"/>
        <v>1011</v>
      </c>
      <c r="AT90" s="229">
        <f t="shared" si="93"/>
        <v>1046</v>
      </c>
      <c r="AU90" s="229">
        <f t="shared" si="93"/>
        <v>1049</v>
      </c>
      <c r="AV90" s="527">
        <f t="shared" si="93"/>
        <v>4085</v>
      </c>
      <c r="AW90" s="229">
        <f t="shared" si="93"/>
        <v>994</v>
      </c>
      <c r="AX90" s="229">
        <v>526</v>
      </c>
      <c r="AY90" s="229">
        <f t="shared" ref="AY90:BP90" si="94">+AY69</f>
        <v>1041</v>
      </c>
      <c r="AZ90" s="229">
        <f t="shared" si="94"/>
        <v>1077</v>
      </c>
      <c r="BA90" s="527">
        <f t="shared" si="94"/>
        <v>4153</v>
      </c>
      <c r="BB90" s="229">
        <f t="shared" si="94"/>
        <v>2624</v>
      </c>
      <c r="BC90" s="229">
        <f t="shared" si="94"/>
        <v>1055</v>
      </c>
      <c r="BD90" s="229">
        <f t="shared" si="94"/>
        <v>1217</v>
      </c>
      <c r="BE90" s="229">
        <v>0</v>
      </c>
      <c r="BF90" s="527">
        <f t="shared" si="94"/>
        <v>4896</v>
      </c>
      <c r="BG90" s="229">
        <f t="shared" si="94"/>
        <v>2590</v>
      </c>
      <c r="BH90" s="229">
        <f t="shared" si="94"/>
        <v>2398</v>
      </c>
      <c r="BI90" s="229">
        <f t="shared" ref="BI90" si="95">+BI69</f>
        <v>2411</v>
      </c>
      <c r="BJ90" s="229">
        <f t="shared" si="94"/>
        <v>2407</v>
      </c>
      <c r="BK90" s="527">
        <f t="shared" si="94"/>
        <v>9806</v>
      </c>
      <c r="BL90" s="229">
        <f t="shared" si="94"/>
        <v>2407</v>
      </c>
      <c r="BM90" s="229">
        <f t="shared" si="94"/>
        <v>2407</v>
      </c>
      <c r="BN90" s="229">
        <f t="shared" si="94"/>
        <v>2407</v>
      </c>
      <c r="BO90" s="229">
        <f t="shared" si="94"/>
        <v>2407</v>
      </c>
      <c r="BP90" s="527">
        <f t="shared" si="94"/>
        <v>9628</v>
      </c>
      <c r="BQ90" s="229">
        <f t="shared" ref="BQ90:BU90" si="96">+BQ69</f>
        <v>2407</v>
      </c>
      <c r="BR90" s="229">
        <f t="shared" si="96"/>
        <v>2407</v>
      </c>
      <c r="BS90" s="229">
        <f t="shared" si="96"/>
        <v>2407</v>
      </c>
      <c r="BT90" s="229">
        <f t="shared" si="96"/>
        <v>2407</v>
      </c>
      <c r="BU90" s="527">
        <f t="shared" si="96"/>
        <v>9628</v>
      </c>
    </row>
    <row r="91" spans="1:73" ht="6" customHeight="1">
      <c r="B91" s="224"/>
      <c r="C91" s="227"/>
      <c r="D91" s="230" t="s">
        <v>1</v>
      </c>
      <c r="E91" s="230" t="s">
        <v>1</v>
      </c>
      <c r="F91" s="230" t="s">
        <v>1</v>
      </c>
      <c r="G91" s="230" t="s">
        <v>1</v>
      </c>
      <c r="H91" s="230" t="s">
        <v>1</v>
      </c>
      <c r="I91" s="230" t="s">
        <v>1</v>
      </c>
      <c r="J91" s="230" t="s">
        <v>1</v>
      </c>
      <c r="K91" s="230" t="s">
        <v>1</v>
      </c>
      <c r="L91" s="230" t="s">
        <v>1</v>
      </c>
      <c r="M91" s="529" t="s">
        <v>1</v>
      </c>
      <c r="N91" s="230" t="s">
        <v>1</v>
      </c>
      <c r="O91" s="230" t="s">
        <v>1</v>
      </c>
      <c r="P91" s="230" t="s">
        <v>1</v>
      </c>
      <c r="Q91" s="230" t="s">
        <v>1</v>
      </c>
      <c r="R91" s="529" t="s">
        <v>1</v>
      </c>
      <c r="S91" s="230" t="s">
        <v>1</v>
      </c>
      <c r="T91" s="230" t="s">
        <v>1</v>
      </c>
      <c r="U91" s="230" t="s">
        <v>1</v>
      </c>
      <c r="V91" s="230" t="s">
        <v>1</v>
      </c>
      <c r="W91" s="529" t="s">
        <v>1</v>
      </c>
      <c r="X91" s="230" t="s">
        <v>1</v>
      </c>
      <c r="Y91" s="230" t="s">
        <v>1</v>
      </c>
      <c r="Z91" s="230" t="s">
        <v>1</v>
      </c>
      <c r="AA91" s="230" t="s">
        <v>1</v>
      </c>
      <c r="AB91" s="529" t="s">
        <v>1</v>
      </c>
      <c r="AC91" s="230" t="s">
        <v>1</v>
      </c>
      <c r="AD91" s="230" t="s">
        <v>1</v>
      </c>
      <c r="AE91" s="230" t="s">
        <v>1</v>
      </c>
      <c r="AF91" s="230" t="s">
        <v>1</v>
      </c>
      <c r="AG91" s="529" t="s">
        <v>1</v>
      </c>
      <c r="AH91" s="230" t="s">
        <v>1</v>
      </c>
      <c r="AI91" s="230" t="s">
        <v>1</v>
      </c>
      <c r="AJ91" s="230" t="s">
        <v>1</v>
      </c>
      <c r="AK91" s="230" t="s">
        <v>1</v>
      </c>
      <c r="AL91" s="529" t="s">
        <v>1</v>
      </c>
      <c r="AM91" s="230" t="s">
        <v>1</v>
      </c>
      <c r="AN91" s="230" t="s">
        <v>1</v>
      </c>
      <c r="AO91" s="230" t="s">
        <v>1</v>
      </c>
      <c r="AP91" s="230" t="s">
        <v>1</v>
      </c>
      <c r="AQ91" s="529" t="s">
        <v>1</v>
      </c>
      <c r="AR91" s="230" t="s">
        <v>1</v>
      </c>
      <c r="AS91" s="230" t="s">
        <v>1</v>
      </c>
      <c r="AT91" s="230" t="s">
        <v>1</v>
      </c>
      <c r="AU91" s="230" t="s">
        <v>1</v>
      </c>
      <c r="AV91" s="529" t="s">
        <v>1</v>
      </c>
      <c r="AW91" s="230" t="s">
        <v>1</v>
      </c>
      <c r="AX91" s="230" t="s">
        <v>1</v>
      </c>
      <c r="AY91" s="230" t="s">
        <v>1</v>
      </c>
      <c r="AZ91" s="230" t="s">
        <v>1</v>
      </c>
      <c r="BA91" s="529" t="s">
        <v>1</v>
      </c>
      <c r="BB91" s="230" t="s">
        <v>1</v>
      </c>
      <c r="BC91" s="230" t="s">
        <v>1</v>
      </c>
      <c r="BD91" s="230" t="s">
        <v>1</v>
      </c>
      <c r="BE91" s="230" t="s">
        <v>1</v>
      </c>
      <c r="BF91" s="529" t="s">
        <v>1</v>
      </c>
      <c r="BG91" s="230" t="s">
        <v>1</v>
      </c>
      <c r="BH91" s="230" t="s">
        <v>1</v>
      </c>
      <c r="BI91" s="230" t="s">
        <v>1</v>
      </c>
      <c r="BJ91" s="230" t="s">
        <v>1</v>
      </c>
      <c r="BK91" s="529" t="s">
        <v>1</v>
      </c>
      <c r="BL91" s="230" t="s">
        <v>1</v>
      </c>
      <c r="BM91" s="230" t="s">
        <v>1</v>
      </c>
      <c r="BN91" s="230" t="s">
        <v>1</v>
      </c>
      <c r="BO91" s="230" t="s">
        <v>1</v>
      </c>
      <c r="BP91" s="529" t="s">
        <v>1</v>
      </c>
      <c r="BQ91" s="230" t="s">
        <v>1</v>
      </c>
      <c r="BR91" s="230" t="s">
        <v>1</v>
      </c>
      <c r="BS91" s="230" t="s">
        <v>1</v>
      </c>
      <c r="BT91" s="230" t="s">
        <v>1</v>
      </c>
      <c r="BU91" s="529" t="s">
        <v>1</v>
      </c>
    </row>
    <row r="92" spans="1:73" s="112" customFormat="1" ht="13.15">
      <c r="B92" s="225" t="s">
        <v>140</v>
      </c>
      <c r="C92" s="232"/>
      <c r="D92" s="232"/>
      <c r="E92" s="232"/>
      <c r="F92" s="232"/>
      <c r="G92" s="232"/>
      <c r="H92" s="232">
        <f t="shared" ref="H92:AT92" si="97">+SUM(H74:H90)-H80-H81-H82-H75-H78-H85</f>
        <v>-22842</v>
      </c>
      <c r="I92" s="232">
        <f t="shared" si="97"/>
        <v>-4853</v>
      </c>
      <c r="J92" s="232">
        <f t="shared" si="97"/>
        <v>-6155</v>
      </c>
      <c r="K92" s="232">
        <f t="shared" si="97"/>
        <v>-6698</v>
      </c>
      <c r="L92" s="232">
        <f t="shared" si="97"/>
        <v>-10992</v>
      </c>
      <c r="M92" s="543">
        <f t="shared" si="97"/>
        <v>-28698</v>
      </c>
      <c r="N92" s="232">
        <f t="shared" si="97"/>
        <v>-8389</v>
      </c>
      <c r="O92" s="232">
        <f t="shared" si="97"/>
        <v>-7932</v>
      </c>
      <c r="P92" s="232">
        <f t="shared" si="97"/>
        <v>-4116</v>
      </c>
      <c r="Q92" s="232">
        <f t="shared" si="97"/>
        <v>-4571</v>
      </c>
      <c r="R92" s="543">
        <f t="shared" si="97"/>
        <v>-25008</v>
      </c>
      <c r="S92" s="232">
        <f t="shared" si="97"/>
        <v>-4567</v>
      </c>
      <c r="T92" s="232">
        <f t="shared" si="97"/>
        <v>-5033</v>
      </c>
      <c r="U92" s="232">
        <f t="shared" si="97"/>
        <v>-5600</v>
      </c>
      <c r="V92" s="232">
        <f t="shared" si="97"/>
        <v>-6258</v>
      </c>
      <c r="W92" s="543">
        <f t="shared" si="97"/>
        <v>-21458</v>
      </c>
      <c r="X92" s="232">
        <f t="shared" si="97"/>
        <v>-7421</v>
      </c>
      <c r="Y92" s="232">
        <f t="shared" si="97"/>
        <v>-4247</v>
      </c>
      <c r="Z92" s="232">
        <f t="shared" si="97"/>
        <v>-1102</v>
      </c>
      <c r="AA92" s="232">
        <f t="shared" si="97"/>
        <v>-658</v>
      </c>
      <c r="AB92" s="543">
        <f t="shared" si="97"/>
        <v>-13428</v>
      </c>
      <c r="AC92" s="232">
        <f t="shared" si="97"/>
        <v>2607</v>
      </c>
      <c r="AD92" s="232">
        <f t="shared" si="97"/>
        <v>2746</v>
      </c>
      <c r="AE92" s="232">
        <f t="shared" si="97"/>
        <v>3446</v>
      </c>
      <c r="AF92" s="232">
        <f t="shared" si="97"/>
        <v>3654</v>
      </c>
      <c r="AG92" s="543">
        <f t="shared" si="97"/>
        <v>12453</v>
      </c>
      <c r="AH92" s="232">
        <f t="shared" si="97"/>
        <v>-780</v>
      </c>
      <c r="AI92" s="232">
        <f t="shared" si="97"/>
        <v>7556</v>
      </c>
      <c r="AJ92" s="232">
        <f t="shared" si="97"/>
        <v>5791</v>
      </c>
      <c r="AK92" s="232">
        <f t="shared" si="97"/>
        <v>2958</v>
      </c>
      <c r="AL92" s="543">
        <f t="shared" si="97"/>
        <v>15525</v>
      </c>
      <c r="AM92" s="232">
        <f t="shared" si="97"/>
        <v>5757</v>
      </c>
      <c r="AN92" s="232">
        <f t="shared" si="97"/>
        <v>10030</v>
      </c>
      <c r="AO92" s="232">
        <f t="shared" si="97"/>
        <v>9911</v>
      </c>
      <c r="AP92" s="232">
        <f t="shared" si="97"/>
        <v>-1903</v>
      </c>
      <c r="AQ92" s="543">
        <f t="shared" si="97"/>
        <v>23795</v>
      </c>
      <c r="AR92" s="232">
        <f t="shared" si="97"/>
        <v>-1173</v>
      </c>
      <c r="AS92" s="232">
        <f t="shared" si="97"/>
        <v>7983</v>
      </c>
      <c r="AT92" s="232">
        <f t="shared" si="97"/>
        <v>17930</v>
      </c>
      <c r="AU92" s="232">
        <f>+SUM(AU74:AU89)-AU80-AU81</f>
        <v>24700</v>
      </c>
      <c r="AV92" s="543">
        <f t="shared" ref="AV92:BF92" si="98">+SUM(AV74:AV90)-AV80-AV81-AV82-AV75-AV78-AV85</f>
        <v>47780</v>
      </c>
      <c r="AW92" s="232">
        <f>+SUM(AW74:AW90)-AW80-AW81-AW82-AW75-AW78-AW85</f>
        <v>16821</v>
      </c>
      <c r="AX92" s="232">
        <f t="shared" si="98"/>
        <v>19049</v>
      </c>
      <c r="AY92" s="232">
        <f t="shared" si="98"/>
        <v>42925</v>
      </c>
      <c r="AZ92" s="232">
        <f t="shared" si="98"/>
        <v>47412</v>
      </c>
      <c r="BA92" s="543">
        <f t="shared" si="98"/>
        <v>126722</v>
      </c>
      <c r="BB92" s="232">
        <f t="shared" si="98"/>
        <v>46619</v>
      </c>
      <c r="BC92" s="232">
        <f t="shared" si="98"/>
        <v>45438</v>
      </c>
      <c r="BD92" s="232">
        <f t="shared" si="98"/>
        <v>50083</v>
      </c>
      <c r="BE92" s="232">
        <f>+SUM(BE74:BE90)-BE80-BE81-BE82-BE75-BE78-BE85</f>
        <v>46310</v>
      </c>
      <c r="BF92" s="543">
        <f t="shared" si="98"/>
        <v>183911</v>
      </c>
      <c r="BG92" s="232">
        <f t="shared" ref="BG92:BP92" si="99">+SUM(BG74:BG90)-BG80-BG81-BG82-BG75-BG78-BG85</f>
        <v>38898</v>
      </c>
      <c r="BH92" s="232">
        <f t="shared" si="99"/>
        <v>42648</v>
      </c>
      <c r="BI92" s="232">
        <f t="shared" ref="BI92" si="100">+SUM(BI74:BI90)-BI80-BI81-BI82-BI75-BI78-BI85</f>
        <v>43514</v>
      </c>
      <c r="BJ92" s="232">
        <f t="shared" si="99"/>
        <v>36812</v>
      </c>
      <c r="BK92" s="543">
        <f t="shared" si="99"/>
        <v>161872</v>
      </c>
      <c r="BL92" s="232">
        <f t="shared" si="99"/>
        <v>26099.856375000018</v>
      </c>
      <c r="BM92" s="232">
        <f t="shared" si="99"/>
        <v>33154.701260000002</v>
      </c>
      <c r="BN92" s="232">
        <f t="shared" si="99"/>
        <v>35536.131050600015</v>
      </c>
      <c r="BO92" s="232">
        <f t="shared" si="99"/>
        <v>35369.125623461994</v>
      </c>
      <c r="BP92" s="543">
        <f t="shared" si="99"/>
        <v>130159.81430906203</v>
      </c>
      <c r="BQ92" s="232">
        <f t="shared" ref="BQ92:BU92" si="101">+SUM(BQ74:BQ90)-BQ80-BQ81-BQ82-BQ75-BQ78-BQ85</f>
        <v>31148.155309252441</v>
      </c>
      <c r="BR92" s="232">
        <f t="shared" si="101"/>
        <v>30668.213365584583</v>
      </c>
      <c r="BS92" s="232">
        <f t="shared" si="101"/>
        <v>31127.71312120607</v>
      </c>
      <c r="BT92" s="232">
        <f t="shared" si="101"/>
        <v>30884.240876085976</v>
      </c>
      <c r="BU92" s="543">
        <f t="shared" si="101"/>
        <v>123828.32267212906</v>
      </c>
    </row>
    <row r="93" spans="1:73" s="106" customFormat="1" ht="12.75">
      <c r="B93" s="224" t="s">
        <v>126</v>
      </c>
      <c r="C93" s="227"/>
      <c r="D93" s="233"/>
      <c r="E93" s="233"/>
      <c r="F93" s="233"/>
      <c r="G93" s="233"/>
      <c r="H93" s="233"/>
      <c r="I93" s="233"/>
      <c r="J93" s="233"/>
      <c r="K93" s="233"/>
      <c r="L93" s="233"/>
      <c r="M93" s="502">
        <f t="shared" ref="M93:AQ93" si="102">+M92/H92-1</f>
        <v>0.25636984502232729</v>
      </c>
      <c r="N93" s="233">
        <f t="shared" si="102"/>
        <v>0.72862147125489396</v>
      </c>
      <c r="O93" s="233">
        <f t="shared" si="102"/>
        <v>0.28870836718115345</v>
      </c>
      <c r="P93" s="233">
        <f t="shared" si="102"/>
        <v>-0.38548820543445805</v>
      </c>
      <c r="Q93" s="233">
        <f t="shared" si="102"/>
        <v>-0.58415211062590977</v>
      </c>
      <c r="R93" s="502">
        <f t="shared" si="102"/>
        <v>-0.12858038887727363</v>
      </c>
      <c r="S93" s="233">
        <f t="shared" si="102"/>
        <v>-0.45559661461437595</v>
      </c>
      <c r="T93" s="233">
        <f t="shared" si="102"/>
        <v>-0.36548159354513365</v>
      </c>
      <c r="U93" s="233">
        <f t="shared" si="102"/>
        <v>0.36054421768707479</v>
      </c>
      <c r="V93" s="233">
        <f t="shared" si="102"/>
        <v>0.36906584992343028</v>
      </c>
      <c r="W93" s="502">
        <f t="shared" si="102"/>
        <v>-0.14195457453614846</v>
      </c>
      <c r="X93" s="233">
        <f t="shared" si="102"/>
        <v>0.62491788920516744</v>
      </c>
      <c r="Y93" s="233">
        <f t="shared" si="102"/>
        <v>-0.15616928273395592</v>
      </c>
      <c r="Z93" s="233">
        <f t="shared" si="102"/>
        <v>-0.80321428571428566</v>
      </c>
      <c r="AA93" s="233">
        <f t="shared" si="102"/>
        <v>-0.89485458612975388</v>
      </c>
      <c r="AB93" s="502">
        <f t="shared" si="102"/>
        <v>-0.37421940534998599</v>
      </c>
      <c r="AC93" s="233">
        <f t="shared" si="102"/>
        <v>-1.3513003638323675</v>
      </c>
      <c r="AD93" s="233">
        <f t="shared" si="102"/>
        <v>-1.6465740522721921</v>
      </c>
      <c r="AE93" s="233">
        <f t="shared" si="102"/>
        <v>-4.1270417422867514</v>
      </c>
      <c r="AF93" s="233">
        <f t="shared" si="102"/>
        <v>-6.5531914893617023</v>
      </c>
      <c r="AG93" s="502">
        <f t="shared" si="102"/>
        <v>-1.9273905272564789</v>
      </c>
      <c r="AH93" s="233">
        <f t="shared" si="102"/>
        <v>-1.2991944764096663</v>
      </c>
      <c r="AI93" s="233">
        <f t="shared" si="102"/>
        <v>1.7516387472687547</v>
      </c>
      <c r="AJ93" s="233">
        <f t="shared" si="102"/>
        <v>0.68049912942542079</v>
      </c>
      <c r="AK93" s="233">
        <f t="shared" si="102"/>
        <v>-0.19047619047619047</v>
      </c>
      <c r="AL93" s="502">
        <f t="shared" si="102"/>
        <v>0.24668754516983848</v>
      </c>
      <c r="AM93" s="233">
        <f t="shared" si="102"/>
        <v>-8.3807692307692321</v>
      </c>
      <c r="AN93" s="233">
        <f t="shared" si="102"/>
        <v>0.32742191635786133</v>
      </c>
      <c r="AO93" s="233">
        <f t="shared" si="102"/>
        <v>0.71144879986185461</v>
      </c>
      <c r="AP93" s="233">
        <f t="shared" si="102"/>
        <v>-1.6433400946585532</v>
      </c>
      <c r="AQ93" s="502">
        <f t="shared" si="102"/>
        <v>0.53268921095008048</v>
      </c>
      <c r="AR93" s="233">
        <f t="shared" ref="AR93:BP93" si="103">+AR92/AM92-1</f>
        <v>-1.2037519541427826</v>
      </c>
      <c r="AS93" s="233">
        <f t="shared" si="103"/>
        <v>-0.2040877367896311</v>
      </c>
      <c r="AT93" s="233">
        <f t="shared" si="103"/>
        <v>0.8091009988901221</v>
      </c>
      <c r="AU93" s="233">
        <f t="shared" si="103"/>
        <v>-13.979506043089858</v>
      </c>
      <c r="AV93" s="502">
        <f t="shared" si="103"/>
        <v>1.0079848707711703</v>
      </c>
      <c r="AW93" s="233">
        <f t="shared" si="103"/>
        <v>-15.340153452685422</v>
      </c>
      <c r="AX93" s="233">
        <f t="shared" si="103"/>
        <v>1.3861956657898031</v>
      </c>
      <c r="AY93" s="233">
        <f t="shared" si="103"/>
        <v>1.3940323480200782</v>
      </c>
      <c r="AZ93" s="233">
        <f t="shared" si="103"/>
        <v>0.91951417004048586</v>
      </c>
      <c r="BA93" s="502">
        <f t="shared" si="103"/>
        <v>1.6521975722059441</v>
      </c>
      <c r="BB93" s="233">
        <f t="shared" si="103"/>
        <v>1.7714761310266929</v>
      </c>
      <c r="BC93" s="233">
        <f t="shared" si="103"/>
        <v>1.385322064150349</v>
      </c>
      <c r="BD93" s="233">
        <f t="shared" si="103"/>
        <v>0.16675596971461859</v>
      </c>
      <c r="BE93" s="233">
        <f t="shared" si="103"/>
        <v>-2.3243060828482265E-2</v>
      </c>
      <c r="BF93" s="502">
        <f t="shared" si="103"/>
        <v>0.45129496062246499</v>
      </c>
      <c r="BG93" s="233">
        <f t="shared" si="103"/>
        <v>-0.16561916815032496</v>
      </c>
      <c r="BH93" s="233">
        <f t="shared" si="103"/>
        <v>-6.1402350455565857E-2</v>
      </c>
      <c r="BI93" s="233">
        <f t="shared" si="103"/>
        <v>-0.13116227063075292</v>
      </c>
      <c r="BJ93" s="233">
        <f t="shared" si="103"/>
        <v>-0.20509609155689912</v>
      </c>
      <c r="BK93" s="502">
        <f t="shared" si="103"/>
        <v>-0.1198351376481015</v>
      </c>
      <c r="BL93" s="233">
        <f t="shared" si="103"/>
        <v>-0.32901803755977121</v>
      </c>
      <c r="BM93" s="233">
        <f t="shared" si="103"/>
        <v>-0.22259657522040888</v>
      </c>
      <c r="BN93" s="233">
        <f t="shared" si="103"/>
        <v>-0.18334028012593617</v>
      </c>
      <c r="BO93" s="233">
        <f t="shared" si="103"/>
        <v>-3.9195761614093438E-2</v>
      </c>
      <c r="BP93" s="502">
        <f t="shared" si="103"/>
        <v>-0.19590902497614149</v>
      </c>
      <c r="BQ93" s="233">
        <f t="shared" ref="BQ93" si="104">+BQ92/BL92-1</f>
        <v>0.19342247948490554</v>
      </c>
      <c r="BR93" s="233">
        <f t="shared" ref="BR93" si="105">+BR92/BM92-1</f>
        <v>-7.4996540457907268E-2</v>
      </c>
      <c r="BS93" s="233">
        <f t="shared" ref="BS93" si="106">+BS92/BN92-1</f>
        <v>-0.12405452701411934</v>
      </c>
      <c r="BT93" s="233">
        <f t="shared" ref="BT93" si="107">+BT92/BO92-1</f>
        <v>-0.12680225106840026</v>
      </c>
      <c r="BU93" s="502">
        <f t="shared" ref="BU93" si="108">+BU92/BP92-1</f>
        <v>-4.864398178917928E-2</v>
      </c>
    </row>
    <row r="94" spans="1:73" s="106" customFormat="1" ht="12.75">
      <c r="B94" s="224" t="s">
        <v>127</v>
      </c>
      <c r="C94" s="227"/>
      <c r="D94" s="228"/>
      <c r="E94" s="228"/>
      <c r="F94" s="228"/>
      <c r="G94" s="228"/>
      <c r="H94" s="228"/>
      <c r="I94" s="228"/>
      <c r="J94" s="228">
        <f>+J92/I92-1</f>
        <v>0.26828765711930758</v>
      </c>
      <c r="K94" s="228">
        <f>+K92/J92-1</f>
        <v>8.8220958570268015E-2</v>
      </c>
      <c r="L94" s="228">
        <f>+L92/K92-1</f>
        <v>0.64108689160943566</v>
      </c>
      <c r="M94" s="526"/>
      <c r="N94" s="228">
        <f>+N92/L92-1</f>
        <v>-0.23680858806404659</v>
      </c>
      <c r="O94" s="228">
        <f>+O92/N92-1</f>
        <v>-5.4476099654309218E-2</v>
      </c>
      <c r="P94" s="228">
        <f>+P92/O92-1</f>
        <v>-0.48108925869894104</v>
      </c>
      <c r="Q94" s="228">
        <f>+Q92/P92-1</f>
        <v>0.11054421768707479</v>
      </c>
      <c r="R94" s="526"/>
      <c r="S94" s="228">
        <f>+S92/Q92-1</f>
        <v>-8.750820389411551E-4</v>
      </c>
      <c r="T94" s="228">
        <f>+T92/S92-1</f>
        <v>0.10203634771184578</v>
      </c>
      <c r="U94" s="228">
        <f>+U92/T92-1</f>
        <v>0.11265646731571621</v>
      </c>
      <c r="V94" s="228">
        <f>+V92/U92-1</f>
        <v>0.11749999999999994</v>
      </c>
      <c r="W94" s="526"/>
      <c r="X94" s="228">
        <f>+X92/V92-1</f>
        <v>0.18584212208373274</v>
      </c>
      <c r="Y94" s="228">
        <f>+Y92/X92-1</f>
        <v>-0.42770516102951084</v>
      </c>
      <c r="Z94" s="228">
        <f>+Z92/Y92-1</f>
        <v>-0.74052272192135626</v>
      </c>
      <c r="AA94" s="228">
        <f>+AA92/Z92-1</f>
        <v>-0.4029038112522686</v>
      </c>
      <c r="AB94" s="526"/>
      <c r="AC94" s="228">
        <f>+AC92/AA92-1</f>
        <v>-4.9620060790273559</v>
      </c>
      <c r="AD94" s="228">
        <f>+AD92/AC92-1</f>
        <v>5.3317990026850781E-2</v>
      </c>
      <c r="AE94" s="228">
        <f>+AE92/AD92-1</f>
        <v>0.2549162418062636</v>
      </c>
      <c r="AF94" s="228">
        <f>+AF92/AE92-1</f>
        <v>6.0359837492745205E-2</v>
      </c>
      <c r="AG94" s="526"/>
      <c r="AH94" s="228">
        <f>+AH92/AF92-1</f>
        <v>-1.2134646962233169</v>
      </c>
      <c r="AI94" s="228">
        <f>+AI92/AH92-1</f>
        <v>-10.687179487179487</v>
      </c>
      <c r="AJ94" s="228">
        <f>+AJ92/AI92-1</f>
        <v>-0.23358920063525679</v>
      </c>
      <c r="AK94" s="228">
        <f>+AK92/AJ92-1</f>
        <v>-0.48920739077879472</v>
      </c>
      <c r="AL94" s="526"/>
      <c r="AM94" s="228">
        <f>+AM92/AK92-1</f>
        <v>0.94624746450304253</v>
      </c>
      <c r="AN94" s="228">
        <f>+AN92/AM92-1</f>
        <v>0.74222685426437374</v>
      </c>
      <c r="AO94" s="228">
        <f>+AO92/AN92-1</f>
        <v>-1.1864406779661052E-2</v>
      </c>
      <c r="AP94" s="228">
        <f>+AP92/AO92-1</f>
        <v>-1.1920088790233074</v>
      </c>
      <c r="AQ94" s="526"/>
      <c r="AR94" s="228">
        <f>+AR92/AP92-1</f>
        <v>-0.38360483447188654</v>
      </c>
      <c r="AS94" s="228">
        <f>+AS92/AR92-1</f>
        <v>-7.8056265984654729</v>
      </c>
      <c r="AT94" s="228">
        <f>+AT92/AS92-1</f>
        <v>1.2460227984466994</v>
      </c>
      <c r="AU94" s="228">
        <f>+AU92/AT92-1</f>
        <v>0.37757947573898498</v>
      </c>
      <c r="AV94" s="526"/>
      <c r="AW94" s="228">
        <f>+AW92/AU92-1</f>
        <v>-0.31898785425101217</v>
      </c>
      <c r="AX94" s="228">
        <f>+AX92/AW92-1</f>
        <v>0.13245348076808749</v>
      </c>
      <c r="AY94" s="228">
        <f>+AY92/AX92-1</f>
        <v>1.2533991285631791</v>
      </c>
      <c r="AZ94" s="228">
        <f>+AZ92/AY92-1</f>
        <v>0.10453115899825272</v>
      </c>
      <c r="BA94" s="526"/>
      <c r="BB94" s="228">
        <f>+BB92/AZ92-1</f>
        <v>-1.6725723445541241E-2</v>
      </c>
      <c r="BC94" s="228">
        <f>+BC92/BB92-1</f>
        <v>-2.5333018726270362E-2</v>
      </c>
      <c r="BD94" s="228">
        <f>+BD92/BC92-1</f>
        <v>0.10222721070469643</v>
      </c>
      <c r="BE94" s="228">
        <f>+BE92/BD92-1</f>
        <v>-7.5334943992971692E-2</v>
      </c>
      <c r="BF94" s="526"/>
      <c r="BG94" s="228">
        <f>+BG92/BE92-1</f>
        <v>-0.16005182465990064</v>
      </c>
      <c r="BH94" s="228">
        <f>+BH92/BG92-1</f>
        <v>9.6405984883541462E-2</v>
      </c>
      <c r="BI94" s="228">
        <f>+BI92/BH92-1</f>
        <v>2.0305758769461724E-2</v>
      </c>
      <c r="BJ94" s="228">
        <f>+BJ92/BI92-1</f>
        <v>-0.15401939605644166</v>
      </c>
      <c r="BK94" s="526"/>
      <c r="BL94" s="228">
        <f>+BL92/BJ92-1</f>
        <v>-0.29099596938498273</v>
      </c>
      <c r="BM94" s="228">
        <f>+BM92/BL92-1</f>
        <v>0.27030205774456029</v>
      </c>
      <c r="BN94" s="228">
        <f>+BN92/BM92-1</f>
        <v>7.1827816270301437E-2</v>
      </c>
      <c r="BO94" s="228">
        <f>+BO92/BN92-1</f>
        <v>-4.6995950937996911E-3</v>
      </c>
      <c r="BP94" s="526"/>
      <c r="BQ94" s="228">
        <f>+BQ92/BO92-1</f>
        <v>-0.11934053329861194</v>
      </c>
      <c r="BR94" s="228">
        <f>+BR92/BQ92-1</f>
        <v>-1.5408358501580177E-2</v>
      </c>
      <c r="BS94" s="228">
        <f>+BS92/BR92-1</f>
        <v>1.4982932006633698E-2</v>
      </c>
      <c r="BT94" s="228">
        <f>+BT92/BS92-1</f>
        <v>-7.8217196416600077E-3</v>
      </c>
      <c r="BU94" s="526"/>
    </row>
    <row r="95" spans="1:73" s="106" customFormat="1" ht="12.75">
      <c r="B95" s="224" t="s">
        <v>204</v>
      </c>
      <c r="C95" s="227"/>
      <c r="D95" s="228"/>
      <c r="E95" s="228"/>
      <c r="F95" s="228"/>
      <c r="G95" s="228"/>
      <c r="H95" s="228">
        <f t="shared" ref="H95:AQ95" si="109">+H92/H97</f>
        <v>-0.29711238293444331</v>
      </c>
      <c r="I95" s="228">
        <f t="shared" si="109"/>
        <v>-0.20588859191379238</v>
      </c>
      <c r="J95" s="228">
        <f t="shared" si="109"/>
        <v>-0.23865839472663825</v>
      </c>
      <c r="K95" s="228">
        <f t="shared" si="109"/>
        <v>-0.23657812941508902</v>
      </c>
      <c r="L95" s="228">
        <f t="shared" si="109"/>
        <v>-0.33458131677472375</v>
      </c>
      <c r="M95" s="526">
        <f t="shared" si="109"/>
        <v>-0.25964931328375224</v>
      </c>
      <c r="N95" s="228">
        <f t="shared" si="109"/>
        <v>-0.24109092999195308</v>
      </c>
      <c r="O95" s="228">
        <f t="shared" si="109"/>
        <v>-0.21283675002683267</v>
      </c>
      <c r="P95" s="228">
        <f t="shared" si="109"/>
        <v>-0.10203525124569275</v>
      </c>
      <c r="Q95" s="228">
        <f t="shared" si="109"/>
        <v>-0.10150108806679398</v>
      </c>
      <c r="R95" s="526">
        <f t="shared" si="109"/>
        <v>-0.15884449017702318</v>
      </c>
      <c r="S95" s="228">
        <f t="shared" si="109"/>
        <v>-0.10093933031274174</v>
      </c>
      <c r="T95" s="228">
        <f t="shared" si="109"/>
        <v>-0.10608519697320996</v>
      </c>
      <c r="U95" s="228">
        <f t="shared" si="109"/>
        <v>-0.11084499515053146</v>
      </c>
      <c r="V95" s="228">
        <f t="shared" si="109"/>
        <v>-0.10839930020266408</v>
      </c>
      <c r="W95" s="526">
        <f t="shared" si="109"/>
        <v>-0.10678809594903951</v>
      </c>
      <c r="X95" s="228">
        <f t="shared" si="109"/>
        <v>-0.13612767128313308</v>
      </c>
      <c r="Y95" s="228">
        <f t="shared" si="109"/>
        <v>-7.2671583306240475E-2</v>
      </c>
      <c r="Z95" s="228">
        <f t="shared" si="109"/>
        <v>-1.7670167561933778E-2</v>
      </c>
      <c r="AA95" s="228">
        <f t="shared" si="109"/>
        <v>-9.5681256361785667E-3</v>
      </c>
      <c r="AB95" s="526">
        <f t="shared" si="109"/>
        <v>-5.5012270014052136E-2</v>
      </c>
      <c r="AC95" s="228">
        <f t="shared" si="109"/>
        <v>3.5622053699528589E-2</v>
      </c>
      <c r="AD95" s="228">
        <f t="shared" si="109"/>
        <v>3.4777542775364427E-2</v>
      </c>
      <c r="AE95" s="228">
        <f t="shared" si="109"/>
        <v>4.1440683061752151E-2</v>
      </c>
      <c r="AF95" s="228">
        <f>+AF92/AF97</f>
        <v>3.9869937150837989E-2</v>
      </c>
      <c r="AG95" s="526">
        <f>+AG92/AG97</f>
        <v>3.8088742212040484E-2</v>
      </c>
      <c r="AH95" s="228">
        <f t="shared" si="109"/>
        <v>-8.2679669281322879E-3</v>
      </c>
      <c r="AI95" s="228">
        <f t="shared" si="109"/>
        <v>7.639113555483662E-2</v>
      </c>
      <c r="AJ95" s="228">
        <f t="shared" si="109"/>
        <v>5.5113014513442776E-2</v>
      </c>
      <c r="AK95" s="228">
        <f t="shared" si="109"/>
        <v>2.6140209793299694E-2</v>
      </c>
      <c r="AL95" s="526">
        <f t="shared" si="109"/>
        <v>3.7729108645251599E-2</v>
      </c>
      <c r="AM95" s="228">
        <f t="shared" si="109"/>
        <v>4.9016185473090904E-2</v>
      </c>
      <c r="AN95" s="228">
        <f t="shared" si="109"/>
        <v>7.9338084653657229E-2</v>
      </c>
      <c r="AO95" s="228">
        <f t="shared" si="109"/>
        <v>7.0846498062818994E-2</v>
      </c>
      <c r="AP95" s="228">
        <f t="shared" si="109"/>
        <v>-1.2549624764241154E-2</v>
      </c>
      <c r="AQ95" s="526">
        <f t="shared" si="109"/>
        <v>4.4443074762235621E-2</v>
      </c>
      <c r="AR95" s="228">
        <f t="shared" ref="AR95:BP95" si="110">+AR92/AR97</f>
        <v>-7.4531083210491534E-3</v>
      </c>
      <c r="AS95" s="228">
        <f t="shared" si="110"/>
        <v>4.7672509032277328E-2</v>
      </c>
      <c r="AT95" s="228">
        <f t="shared" si="110"/>
        <v>0.10201120814724206</v>
      </c>
      <c r="AU95" s="228">
        <f t="shared" si="110"/>
        <v>0.13389057833140899</v>
      </c>
      <c r="AV95" s="526">
        <f t="shared" si="110"/>
        <v>6.9743374160503177E-2</v>
      </c>
      <c r="AW95" s="228">
        <f t="shared" si="110"/>
        <v>9.183071833338792E-2</v>
      </c>
      <c r="AX95" s="228">
        <f t="shared" si="110"/>
        <v>0.10003571015954039</v>
      </c>
      <c r="AY95" s="228">
        <f t="shared" si="110"/>
        <v>0.21587383010716998</v>
      </c>
      <c r="AZ95" s="228">
        <f t="shared" si="110"/>
        <v>0.23097608979480483</v>
      </c>
      <c r="BA95" s="526">
        <f t="shared" si="110"/>
        <v>0.16294311353761765</v>
      </c>
      <c r="BB95" s="228">
        <f t="shared" si="110"/>
        <v>0.22729777036679488</v>
      </c>
      <c r="BC95" s="228">
        <f t="shared" si="110"/>
        <v>0.21846137573260382</v>
      </c>
      <c r="BD95" s="228">
        <f t="shared" si="110"/>
        <v>0.2333196679307164</v>
      </c>
      <c r="BE95" s="228">
        <f t="shared" si="110"/>
        <v>0.2141393963775253</v>
      </c>
      <c r="BF95" s="526">
        <f t="shared" si="110"/>
        <v>0.2179022211901086</v>
      </c>
      <c r="BG95" s="228">
        <f t="shared" si="110"/>
        <v>0.18500568362877104</v>
      </c>
      <c r="BH95" s="228">
        <f t="shared" si="110"/>
        <v>0.19911014832417492</v>
      </c>
      <c r="BI95" s="228">
        <f t="shared" ref="BI95" si="111">+BI92/BI97</f>
        <v>0.19964213617177465</v>
      </c>
      <c r="BJ95" s="228">
        <f t="shared" si="110"/>
        <v>0.1693377739341638</v>
      </c>
      <c r="BK95" s="526">
        <f t="shared" si="110"/>
        <v>0.1882683526519143</v>
      </c>
      <c r="BL95" s="228">
        <f t="shared" si="110"/>
        <v>0.12549834537214499</v>
      </c>
      <c r="BM95" s="228">
        <f t="shared" si="110"/>
        <v>0.15868521241514896</v>
      </c>
      <c r="BN95" s="228">
        <f t="shared" si="110"/>
        <v>0.16901918272468236</v>
      </c>
      <c r="BO95" s="228">
        <f t="shared" si="110"/>
        <v>0.16705481282531859</v>
      </c>
      <c r="BP95" s="526">
        <f t="shared" si="110"/>
        <v>0.15516009566208366</v>
      </c>
      <c r="BQ95" s="228">
        <f t="shared" ref="BQ95:BU95" si="112">+BQ92/BQ97</f>
        <v>0.14725687260338072</v>
      </c>
      <c r="BR95" s="228">
        <f t="shared" si="112"/>
        <v>0.144312440946608</v>
      </c>
      <c r="BS95" s="228">
        <f t="shared" si="112"/>
        <v>0.14567089996720461</v>
      </c>
      <c r="BT95" s="228">
        <f t="shared" si="112"/>
        <v>0.14355068572725083</v>
      </c>
      <c r="BU95" s="526">
        <f t="shared" si="112"/>
        <v>0.14519090106533339</v>
      </c>
    </row>
    <row r="96" spans="1:73" s="106" customFormat="1" ht="12.75">
      <c r="B96" s="224"/>
      <c r="C96" s="227"/>
      <c r="D96" s="228"/>
      <c r="E96" s="228"/>
      <c r="F96" s="228"/>
      <c r="G96" s="228"/>
      <c r="H96" s="228"/>
      <c r="I96" s="228"/>
      <c r="J96" s="228"/>
      <c r="K96" s="228"/>
      <c r="L96" s="228"/>
      <c r="M96" s="526"/>
      <c r="N96" s="228"/>
      <c r="O96" s="228"/>
      <c r="P96" s="228"/>
      <c r="Q96" s="228"/>
      <c r="R96" s="526"/>
      <c r="S96" s="228"/>
      <c r="T96" s="228"/>
      <c r="U96" s="228"/>
      <c r="V96" s="228"/>
      <c r="W96" s="526"/>
      <c r="X96" s="228"/>
      <c r="Y96" s="228"/>
      <c r="Z96" s="228"/>
      <c r="AA96" s="228"/>
      <c r="AB96" s="526"/>
      <c r="AC96" s="228"/>
      <c r="AD96" s="228"/>
      <c r="AE96" s="228"/>
      <c r="AF96" s="228"/>
      <c r="AG96" s="526"/>
      <c r="AH96" s="228"/>
      <c r="AI96" s="228"/>
      <c r="AJ96" s="228"/>
      <c r="AK96" s="228"/>
      <c r="AL96" s="526"/>
      <c r="AM96" s="228"/>
      <c r="AN96" s="228"/>
      <c r="AO96" s="228"/>
      <c r="AP96" s="228"/>
      <c r="AQ96" s="526"/>
      <c r="AR96" s="228"/>
      <c r="AS96" s="703"/>
      <c r="AT96" s="228"/>
      <c r="AU96" s="228"/>
      <c r="AV96" s="526"/>
      <c r="AW96" s="228"/>
      <c r="AX96" s="228"/>
      <c r="AY96" s="714">
        <f>42925-AY92</f>
        <v>0</v>
      </c>
      <c r="AZ96" s="228"/>
      <c r="BA96" s="526"/>
      <c r="BB96" s="228"/>
      <c r="BC96" s="228"/>
      <c r="BD96" s="228"/>
      <c r="BE96" s="228"/>
      <c r="BF96" s="526"/>
      <c r="BG96" s="228"/>
      <c r="BH96" s="228"/>
      <c r="BI96" s="228"/>
      <c r="BJ96" s="228"/>
      <c r="BK96" s="526"/>
      <c r="BL96" s="228"/>
      <c r="BM96" s="228"/>
      <c r="BN96" s="228"/>
      <c r="BO96" s="228"/>
      <c r="BP96" s="526"/>
      <c r="BQ96" s="228"/>
      <c r="BR96" s="228"/>
      <c r="BS96" s="228"/>
      <c r="BT96" s="228"/>
      <c r="BU96" s="526"/>
    </row>
    <row r="97" spans="1:73" s="106" customFormat="1" ht="12.75">
      <c r="B97" s="224" t="s">
        <v>4</v>
      </c>
      <c r="C97" s="227"/>
      <c r="D97" s="313"/>
      <c r="E97" s="313"/>
      <c r="F97" s="313"/>
      <c r="G97" s="313"/>
      <c r="H97" s="313">
        <f>+IS!H52</f>
        <v>76880</v>
      </c>
      <c r="I97" s="313">
        <f>+IS!I52</f>
        <v>23571</v>
      </c>
      <c r="J97" s="313">
        <f>+IS!J52</f>
        <v>25790</v>
      </c>
      <c r="K97" s="313">
        <f>+IS!K52</f>
        <v>28312</v>
      </c>
      <c r="L97" s="313">
        <f>+IS!L52</f>
        <v>32853</v>
      </c>
      <c r="M97" s="538">
        <f>+IS!M52</f>
        <v>110526</v>
      </c>
      <c r="N97" s="313">
        <f>+IS!N52</f>
        <v>34796</v>
      </c>
      <c r="O97" s="313">
        <f>+IS!O52</f>
        <v>37268</v>
      </c>
      <c r="P97" s="313">
        <f>+IS!P52</f>
        <v>40339</v>
      </c>
      <c r="Q97" s="313">
        <f>+IS!Q52</f>
        <v>45034</v>
      </c>
      <c r="R97" s="538">
        <f>+IS!R52</f>
        <v>157437</v>
      </c>
      <c r="S97" s="313">
        <f>+IS!S52</f>
        <v>45245</v>
      </c>
      <c r="T97" s="313">
        <f>+IS!T52</f>
        <v>47443</v>
      </c>
      <c r="U97" s="313">
        <f>+IS!U52</f>
        <v>50521</v>
      </c>
      <c r="V97" s="313">
        <f>+IS!V52</f>
        <v>57731</v>
      </c>
      <c r="W97" s="538">
        <f>+IS!W52</f>
        <v>200940</v>
      </c>
      <c r="X97" s="313">
        <f>+IS!X52</f>
        <v>54515</v>
      </c>
      <c r="Y97" s="313">
        <f>+IS!Y52</f>
        <v>58441</v>
      </c>
      <c r="Z97" s="313">
        <f>+IS!Z52</f>
        <v>62365</v>
      </c>
      <c r="AA97" s="313">
        <f>+IS!AA52</f>
        <v>68770</v>
      </c>
      <c r="AB97" s="538">
        <f>+IS!AB52</f>
        <v>244091</v>
      </c>
      <c r="AC97" s="313">
        <f>+IS!AC52</f>
        <v>73185</v>
      </c>
      <c r="AD97" s="313">
        <f>+IS!AD52</f>
        <v>78959</v>
      </c>
      <c r="AE97" s="313">
        <f>+IS!AE52</f>
        <v>83155</v>
      </c>
      <c r="AF97" s="313">
        <f>+IS!AF52</f>
        <v>91648</v>
      </c>
      <c r="AG97" s="538">
        <f>+IS!AG52</f>
        <v>326947</v>
      </c>
      <c r="AH97" s="313">
        <f>+IS!AH52</f>
        <v>94340</v>
      </c>
      <c r="AI97" s="313">
        <f>+IS!AI52</f>
        <v>98912</v>
      </c>
      <c r="AJ97" s="313">
        <f>+IS!AJ52</f>
        <v>105075</v>
      </c>
      <c r="AK97" s="313">
        <f>+IS!AK52</f>
        <v>113159</v>
      </c>
      <c r="AL97" s="538">
        <f>+IS!AL52</f>
        <v>411486</v>
      </c>
      <c r="AM97" s="313">
        <f>+IS!AM52</f>
        <v>117451</v>
      </c>
      <c r="AN97" s="313">
        <f>+IS!AN52</f>
        <v>126421</v>
      </c>
      <c r="AO97" s="313">
        <f>+IS!AO52</f>
        <v>139894</v>
      </c>
      <c r="AP97" s="313">
        <f>+IS!AP52</f>
        <v>151638</v>
      </c>
      <c r="AQ97" s="538">
        <f>+IS!AQ52</f>
        <v>535404</v>
      </c>
      <c r="AR97" s="313">
        <f>+IS!AR52</f>
        <v>157384</v>
      </c>
      <c r="AS97" s="313">
        <f>+IS!AS52</f>
        <v>167455</v>
      </c>
      <c r="AT97" s="313">
        <f>+IS!AT52</f>
        <v>175765</v>
      </c>
      <c r="AU97" s="313">
        <f>+IS!AU52</f>
        <v>184479</v>
      </c>
      <c r="AV97" s="538">
        <f>+IS!AV52</f>
        <v>685083</v>
      </c>
      <c r="AW97" s="313">
        <f>+IS!AW52</f>
        <v>183174</v>
      </c>
      <c r="AX97" s="313">
        <f>+IS!AX52</f>
        <v>190422</v>
      </c>
      <c r="AY97" s="313">
        <f>+IS!AY52</f>
        <v>198843</v>
      </c>
      <c r="AZ97" s="313">
        <f>+IS!AZ52</f>
        <v>205268</v>
      </c>
      <c r="BA97" s="538">
        <f>+IS!BA52</f>
        <v>777707</v>
      </c>
      <c r="BB97" s="313">
        <f>+IS!BB52</f>
        <v>205101</v>
      </c>
      <c r="BC97" s="313">
        <f>+IS!BC52</f>
        <v>207991</v>
      </c>
      <c r="BD97" s="313">
        <f>+IS!BD52</f>
        <v>214654</v>
      </c>
      <c r="BE97" s="313">
        <f>+IS!BE52</f>
        <v>216261</v>
      </c>
      <c r="BF97" s="538">
        <f>+IS!BF52</f>
        <v>844007</v>
      </c>
      <c r="BG97" s="313">
        <f>+IS!BG52</f>
        <v>210253</v>
      </c>
      <c r="BH97" s="313">
        <f>+IS!BH52</f>
        <v>214193</v>
      </c>
      <c r="BI97" s="313">
        <f>+IS!BI52</f>
        <v>217960</v>
      </c>
      <c r="BJ97" s="313">
        <f>+IS!BJ52</f>
        <v>217388</v>
      </c>
      <c r="BK97" s="538">
        <f>+IS!BK52</f>
        <v>859794</v>
      </c>
      <c r="BL97" s="313">
        <f>+IS!BL52</f>
        <v>207969.72500000001</v>
      </c>
      <c r="BM97" s="313">
        <f>+IS!BM52</f>
        <v>208933.78</v>
      </c>
      <c r="BN97" s="313">
        <f>+IS!BN52</f>
        <v>210249.1</v>
      </c>
      <c r="BO97" s="313">
        <f>+IS!BO52</f>
        <v>211721.68</v>
      </c>
      <c r="BP97" s="538">
        <f>+IS!BP52</f>
        <v>838874.28500000003</v>
      </c>
      <c r="BQ97" s="313">
        <f>+IS!BQ52</f>
        <v>211522.59150000001</v>
      </c>
      <c r="BR97" s="313">
        <f>+IS!BR52</f>
        <v>212512.60920000001</v>
      </c>
      <c r="BS97" s="313">
        <f>+IS!BS52</f>
        <v>213685.1844</v>
      </c>
      <c r="BT97" s="313">
        <f>+IS!BT52</f>
        <v>215145.1992</v>
      </c>
      <c r="BU97" s="538">
        <f>+IS!BU52</f>
        <v>852865.58429999999</v>
      </c>
    </row>
    <row r="98" spans="1:73" s="106" customFormat="1" ht="13.15">
      <c r="B98" s="224"/>
      <c r="C98" s="227"/>
      <c r="D98" s="313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405" t="s">
        <v>320</v>
      </c>
      <c r="T98" s="406" t="s">
        <v>323</v>
      </c>
      <c r="U98" s="405"/>
      <c r="V98" s="405"/>
      <c r="W98" s="405"/>
      <c r="X98" s="405" t="s">
        <v>321</v>
      </c>
      <c r="Y98" s="406" t="s">
        <v>322</v>
      </c>
      <c r="Z98" s="313"/>
      <c r="AA98" s="313"/>
      <c r="AB98" s="313"/>
      <c r="AC98" s="313"/>
      <c r="AD98" s="313"/>
      <c r="AE98" s="313"/>
      <c r="AF98" s="313"/>
      <c r="AG98" s="313"/>
      <c r="AH98" s="313"/>
      <c r="AI98" s="313"/>
      <c r="AJ98" s="313"/>
      <c r="AK98" s="313"/>
      <c r="AL98" s="313"/>
      <c r="AM98" s="313"/>
      <c r="AN98" s="313"/>
      <c r="AO98" s="313"/>
      <c r="AP98" s="313"/>
      <c r="AQ98" s="313"/>
      <c r="AR98" s="313"/>
      <c r="AS98" s="313"/>
      <c r="AT98" s="313"/>
      <c r="AU98" s="313"/>
      <c r="AV98" s="313"/>
      <c r="AW98" s="313"/>
      <c r="AX98" s="313"/>
      <c r="AY98" s="313"/>
      <c r="AZ98" s="313"/>
      <c r="BA98" s="313"/>
      <c r="BB98" s="313"/>
      <c r="BC98" s="313"/>
      <c r="BD98" s="313"/>
      <c r="BE98" s="313"/>
      <c r="BF98" s="313"/>
      <c r="BG98" s="313"/>
      <c r="BH98" s="313"/>
      <c r="BI98" s="313"/>
      <c r="BJ98" s="313"/>
      <c r="BK98" s="313"/>
      <c r="BL98" s="313"/>
      <c r="BM98" s="313"/>
      <c r="BN98" s="313"/>
      <c r="BO98" s="313"/>
      <c r="BP98" s="313"/>
      <c r="BQ98" s="313"/>
      <c r="BR98" s="313"/>
      <c r="BS98" s="313"/>
      <c r="BT98" s="313"/>
      <c r="BU98" s="313"/>
    </row>
    <row r="99" spans="1:73" s="106" customFormat="1" ht="13.15">
      <c r="B99" s="224"/>
      <c r="C99" s="227"/>
      <c r="D99" s="313"/>
      <c r="E99" s="313"/>
      <c r="F99" s="313"/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195"/>
      <c r="T99" s="403"/>
      <c r="U99" s="195"/>
      <c r="V99" s="195"/>
      <c r="W99" s="195"/>
      <c r="X99" s="195"/>
      <c r="Y99" s="403"/>
      <c r="Z99" s="313"/>
      <c r="AA99" s="313"/>
      <c r="AB99" s="313"/>
      <c r="AC99" s="313"/>
      <c r="AD99" s="313"/>
      <c r="AE99" s="313"/>
      <c r="AF99" s="313"/>
      <c r="AG99" s="313"/>
      <c r="AH99" s="313"/>
      <c r="AI99" s="313"/>
      <c r="AJ99" s="313"/>
      <c r="AK99" s="313"/>
      <c r="AL99" s="313"/>
      <c r="AM99" s="313"/>
      <c r="AN99" s="313"/>
      <c r="AO99" s="313"/>
      <c r="AP99" s="313"/>
      <c r="AQ99" s="313"/>
      <c r="AR99" s="313"/>
      <c r="AS99" s="313"/>
      <c r="AT99" s="313"/>
      <c r="AU99" s="313"/>
      <c r="AV99" s="313"/>
      <c r="AW99" s="313"/>
      <c r="AX99" s="313"/>
      <c r="AY99" s="313"/>
      <c r="AZ99" s="313"/>
      <c r="BA99" s="313"/>
      <c r="BB99" s="313"/>
      <c r="BC99" s="313"/>
      <c r="BD99" s="313"/>
      <c r="BE99" s="313"/>
      <c r="BF99" s="313"/>
      <c r="BG99" s="313"/>
      <c r="BH99" s="313"/>
      <c r="BI99" s="313"/>
      <c r="BJ99" s="313"/>
      <c r="BK99" s="313"/>
      <c r="BL99" s="313"/>
      <c r="BM99" s="313"/>
      <c r="BN99" s="313"/>
      <c r="BO99" s="313"/>
      <c r="BP99" s="313"/>
      <c r="BQ99" s="313"/>
      <c r="BR99" s="313"/>
      <c r="BS99" s="313"/>
      <c r="BT99" s="313"/>
      <c r="BU99" s="313"/>
    </row>
    <row r="100" spans="1:73" s="106" customFormat="1" ht="13.15">
      <c r="B100" s="225"/>
      <c r="C100" s="227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 s="228"/>
      <c r="AX100" s="228"/>
      <c r="AY100" s="228"/>
      <c r="AZ100" s="228"/>
      <c r="BA100" s="228"/>
      <c r="BB100" s="228"/>
      <c r="BC100" s="228"/>
      <c r="BD100" s="228"/>
      <c r="BE100" s="703">
        <f>46310-BE92</f>
        <v>0</v>
      </c>
      <c r="BF100" s="228"/>
      <c r="BG100" s="228"/>
      <c r="BH100" s="228"/>
      <c r="BI100" s="228"/>
      <c r="BJ100" s="228"/>
      <c r="BK100" s="228"/>
      <c r="BL100" s="228"/>
      <c r="BM100" s="228"/>
      <c r="BN100" s="228"/>
      <c r="BO100" s="228"/>
      <c r="BP100" s="228"/>
      <c r="BQ100" s="228"/>
      <c r="BR100" s="228"/>
      <c r="BS100" s="228"/>
      <c r="BT100" s="228"/>
      <c r="BU100" s="228"/>
    </row>
    <row r="101" spans="1:73" s="106" customFormat="1" ht="13.15" thickBot="1">
      <c r="B101" s="178" t="s">
        <v>356</v>
      </c>
      <c r="C101" s="240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  <c r="AA101" s="241"/>
      <c r="AB101" s="241"/>
      <c r="AC101" s="241"/>
      <c r="AD101" s="241"/>
      <c r="AE101" s="241"/>
      <c r="AF101" s="241"/>
      <c r="AG101" s="241"/>
      <c r="AH101" s="241"/>
      <c r="AI101" s="241"/>
      <c r="AJ101" s="241"/>
      <c r="AK101" s="241"/>
      <c r="AL101" s="241"/>
      <c r="AM101" s="241"/>
      <c r="AN101" s="241"/>
      <c r="AO101" s="241"/>
      <c r="AP101" s="241"/>
      <c r="AQ101" s="241"/>
      <c r="AR101" s="241"/>
      <c r="AS101" s="241"/>
      <c r="AT101" s="241"/>
      <c r="AU101" s="241"/>
      <c r="AV101" s="241"/>
      <c r="AW101" s="241"/>
      <c r="AX101" s="241"/>
      <c r="AY101" s="241"/>
      <c r="AZ101" s="241"/>
      <c r="BA101" s="241"/>
      <c r="BB101" s="241"/>
      <c r="BC101" s="241"/>
      <c r="BD101" s="241"/>
      <c r="BE101" s="241"/>
      <c r="BF101" s="241"/>
      <c r="BG101" s="241"/>
      <c r="BH101" s="241"/>
      <c r="BI101" s="241"/>
      <c r="BJ101" s="241"/>
      <c r="BK101" s="241"/>
      <c r="BL101" s="241"/>
      <c r="BM101" s="241"/>
      <c r="BN101" s="241"/>
      <c r="BO101" s="241"/>
      <c r="BP101" s="241"/>
      <c r="BQ101" s="241"/>
      <c r="BR101" s="241"/>
      <c r="BS101" s="241"/>
      <c r="BT101" s="241"/>
      <c r="BU101" s="241"/>
    </row>
    <row r="102" spans="1:73" s="106" customFormat="1" ht="12.75">
      <c r="B102" s="577"/>
      <c r="C102" s="577"/>
      <c r="D102" s="593"/>
      <c r="E102" s="593"/>
      <c r="F102" s="593"/>
      <c r="G102" s="593"/>
      <c r="H102" s="593"/>
      <c r="I102" s="593"/>
      <c r="J102" s="593"/>
      <c r="K102" s="593"/>
      <c r="L102" s="593"/>
      <c r="M102" s="593"/>
      <c r="N102" s="593"/>
      <c r="O102" s="593"/>
      <c r="P102" s="593"/>
      <c r="Q102" s="593"/>
      <c r="R102" s="593"/>
      <c r="S102" s="593"/>
      <c r="T102" s="593"/>
      <c r="U102" s="593"/>
      <c r="V102" s="593"/>
      <c r="W102" s="593"/>
      <c r="X102" s="593"/>
      <c r="Y102" s="593"/>
      <c r="Z102" s="593"/>
      <c r="AA102" s="593"/>
      <c r="AB102" s="593"/>
      <c r="AC102" s="593"/>
      <c r="AD102" s="593"/>
      <c r="AE102" s="593"/>
      <c r="AF102" s="593"/>
      <c r="AG102" s="593"/>
      <c r="AH102" s="593"/>
      <c r="AI102" s="593"/>
      <c r="AJ102" s="593"/>
      <c r="AK102" s="593"/>
      <c r="AL102" s="593"/>
      <c r="AM102" s="593"/>
      <c r="AN102" s="593"/>
      <c r="AO102" s="593"/>
      <c r="AP102" s="593"/>
      <c r="AQ102" s="593"/>
      <c r="AR102" s="593"/>
      <c r="AS102" s="593"/>
      <c r="AT102" s="593"/>
      <c r="AU102" s="593"/>
      <c r="AV102" s="593"/>
      <c r="AW102" s="593"/>
      <c r="AX102" s="593"/>
      <c r="AY102" s="593"/>
      <c r="AZ102" s="593"/>
      <c r="BA102" s="593"/>
      <c r="BB102" s="593"/>
      <c r="BC102" s="593"/>
      <c r="BD102" s="593"/>
      <c r="BE102" s="593"/>
      <c r="BF102" s="593"/>
      <c r="BG102" s="593"/>
      <c r="BH102" s="593"/>
      <c r="BI102" s="593"/>
      <c r="BJ102" s="593"/>
      <c r="BK102" s="593"/>
      <c r="BL102" s="593"/>
      <c r="BM102" s="593"/>
      <c r="BN102" s="593"/>
      <c r="BO102" s="593"/>
      <c r="BP102" s="593"/>
      <c r="BQ102" s="593"/>
      <c r="BR102" s="593"/>
      <c r="BS102" s="593"/>
      <c r="BT102" s="593"/>
      <c r="BU102" s="593"/>
    </row>
    <row r="103" spans="1:73" ht="14.65" thickBot="1">
      <c r="BB103" s="220"/>
      <c r="BC103" s="220"/>
      <c r="BD103" s="220"/>
      <c r="BE103" s="220"/>
      <c r="BF103" s="220"/>
      <c r="BG103" s="220"/>
      <c r="BH103" s="220"/>
      <c r="BI103" s="220"/>
      <c r="BJ103" s="220"/>
      <c r="BK103" s="220"/>
      <c r="BL103" s="220"/>
      <c r="BM103" s="220"/>
      <c r="BN103" s="220"/>
      <c r="BO103" s="220"/>
      <c r="BP103" s="220"/>
      <c r="BQ103" s="220"/>
      <c r="BR103" s="220"/>
      <c r="BS103" s="220"/>
      <c r="BT103" s="220"/>
      <c r="BU103" s="220"/>
    </row>
    <row r="104" spans="1:73">
      <c r="B104" s="309" t="s">
        <v>239</v>
      </c>
      <c r="C104" s="343"/>
      <c r="D104" s="345"/>
      <c r="E104" s="345"/>
      <c r="F104" s="345"/>
      <c r="G104" s="345"/>
      <c r="H104" s="345"/>
      <c r="I104" s="345"/>
      <c r="J104" s="345"/>
      <c r="K104" s="345"/>
      <c r="L104" s="345"/>
      <c r="M104" s="345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45"/>
      <c r="Y104" s="345"/>
      <c r="Z104" s="345"/>
      <c r="AA104" s="345"/>
      <c r="AB104" s="345"/>
      <c r="AC104" s="345"/>
      <c r="AD104" s="345"/>
      <c r="AE104" s="345"/>
      <c r="AF104" s="345"/>
      <c r="AG104" s="345"/>
      <c r="AH104" s="345"/>
      <c r="AI104" s="345"/>
      <c r="AJ104" s="345"/>
      <c r="AK104" s="345"/>
      <c r="AL104" s="345"/>
      <c r="AM104" s="345"/>
      <c r="AN104" s="345"/>
      <c r="AO104" s="345"/>
      <c r="AP104" s="344"/>
      <c r="AQ104" s="344"/>
      <c r="AR104" s="344"/>
      <c r="AS104" s="344"/>
      <c r="AT104" s="344"/>
      <c r="AU104" s="344"/>
      <c r="AV104" s="344"/>
      <c r="AW104" s="344"/>
      <c r="AX104" s="344"/>
      <c r="AY104" s="344"/>
      <c r="AZ104" s="344"/>
      <c r="BA104" s="344"/>
      <c r="BB104" s="344"/>
      <c r="BC104" s="344"/>
      <c r="BD104" s="344"/>
      <c r="BE104" s="344"/>
      <c r="BF104" s="344"/>
      <c r="BG104" s="344"/>
      <c r="BH104" s="344"/>
      <c r="BI104" s="344"/>
      <c r="BJ104" s="344"/>
      <c r="BK104" s="344"/>
      <c r="BL104" s="344"/>
      <c r="BM104" s="344"/>
      <c r="BN104" s="344"/>
      <c r="BO104" s="344"/>
      <c r="BP104" s="344"/>
      <c r="BQ104" s="344"/>
      <c r="BR104" s="344"/>
      <c r="BS104" s="344"/>
      <c r="BT104" s="344"/>
      <c r="BU104" s="344"/>
    </row>
    <row r="105" spans="1:73">
      <c r="B105" s="155" t="s">
        <v>4</v>
      </c>
      <c r="C105" s="355"/>
      <c r="D105" s="356"/>
      <c r="E105" s="356"/>
      <c r="F105" s="356"/>
      <c r="G105" s="356"/>
      <c r="H105" s="356">
        <f>+IS!H52</f>
        <v>76880</v>
      </c>
      <c r="I105" s="356">
        <f>+IS!I52</f>
        <v>23571</v>
      </c>
      <c r="J105" s="356">
        <f>+IS!J52</f>
        <v>25790</v>
      </c>
      <c r="K105" s="356">
        <f>+IS!K52</f>
        <v>28312</v>
      </c>
      <c r="L105" s="356">
        <f>+IS!L52</f>
        <v>32853</v>
      </c>
      <c r="M105" s="549">
        <f>+IS!M52</f>
        <v>110526</v>
      </c>
      <c r="N105" s="356">
        <f>+IS!N52</f>
        <v>34796</v>
      </c>
      <c r="O105" s="356">
        <f>+IS!O52</f>
        <v>37268</v>
      </c>
      <c r="P105" s="356">
        <f>+IS!P52</f>
        <v>40339</v>
      </c>
      <c r="Q105" s="356">
        <f>+IS!Q52</f>
        <v>45034</v>
      </c>
      <c r="R105" s="549">
        <f>+IS!R52</f>
        <v>157437</v>
      </c>
      <c r="S105" s="356">
        <f>+IS!S52</f>
        <v>45245</v>
      </c>
      <c r="T105" s="356">
        <f>+IS!T52</f>
        <v>47443</v>
      </c>
      <c r="U105" s="356">
        <f>+IS!U52</f>
        <v>50521</v>
      </c>
      <c r="V105" s="356">
        <f>+IS!V52</f>
        <v>57731</v>
      </c>
      <c r="W105" s="549">
        <f>+IS!W52</f>
        <v>200940</v>
      </c>
      <c r="X105" s="356">
        <f>+IS!X52</f>
        <v>54515</v>
      </c>
      <c r="Y105" s="356">
        <f>+IS!Y52</f>
        <v>58441</v>
      </c>
      <c r="Z105" s="356">
        <f>+IS!Z52</f>
        <v>62365</v>
      </c>
      <c r="AA105" s="356">
        <f>+IS!AA52</f>
        <v>68770</v>
      </c>
      <c r="AB105" s="549">
        <f>+IS!AB52</f>
        <v>244091</v>
      </c>
      <c r="AC105" s="356">
        <f>+IS!AC52</f>
        <v>73185</v>
      </c>
      <c r="AD105" s="356">
        <f>+IS!AD52</f>
        <v>78959</v>
      </c>
      <c r="AE105" s="356">
        <f>+IS!AE52</f>
        <v>83155</v>
      </c>
      <c r="AF105" s="356">
        <f>+IS!AF52</f>
        <v>91648</v>
      </c>
      <c r="AG105" s="549">
        <f>+IS!AG52</f>
        <v>326947</v>
      </c>
      <c r="AH105" s="356">
        <f>+IS!AH52</f>
        <v>94340</v>
      </c>
      <c r="AI105" s="356">
        <f>+IS!AI52</f>
        <v>98912</v>
      </c>
      <c r="AJ105" s="356">
        <f>+IS!AJ52</f>
        <v>105075</v>
      </c>
      <c r="AK105" s="356">
        <f>+IS!AK52</f>
        <v>113159</v>
      </c>
      <c r="AL105" s="549">
        <f>+IS!AL52</f>
        <v>411486</v>
      </c>
      <c r="AM105" s="356">
        <f>+IS!AM52</f>
        <v>117451</v>
      </c>
      <c r="AN105" s="356">
        <f>+IS!AN52</f>
        <v>126421</v>
      </c>
      <c r="AO105" s="356">
        <f>+IS!AO52</f>
        <v>139894</v>
      </c>
      <c r="AP105" s="355">
        <f>+IS!AP52</f>
        <v>151638</v>
      </c>
      <c r="AQ105" s="479">
        <f>+IS!AQ52</f>
        <v>535404</v>
      </c>
      <c r="AR105" s="355">
        <f>+IS!AR52</f>
        <v>157384</v>
      </c>
      <c r="AS105" s="355">
        <f>+IS!AS52</f>
        <v>167455</v>
      </c>
      <c r="AT105" s="355">
        <f>+IS!AT52</f>
        <v>175765</v>
      </c>
      <c r="AU105" s="355">
        <f>+IS!AU52</f>
        <v>184479</v>
      </c>
      <c r="AV105" s="479">
        <f>+IS!AV52</f>
        <v>685083</v>
      </c>
      <c r="AW105" s="355">
        <f>+IS!AW52</f>
        <v>183174</v>
      </c>
      <c r="AX105" s="355">
        <f>+IS!AX52</f>
        <v>190422</v>
      </c>
      <c r="AY105" s="355">
        <f>+IS!AY52</f>
        <v>198843</v>
      </c>
      <c r="AZ105" s="355">
        <f>+IS!AZ52</f>
        <v>205268</v>
      </c>
      <c r="BA105" s="479">
        <f>+IS!BA52</f>
        <v>777707</v>
      </c>
      <c r="BB105" s="355">
        <f>+IS!BB52</f>
        <v>205101</v>
      </c>
      <c r="BC105" s="355">
        <f>+IS!BC52</f>
        <v>207991</v>
      </c>
      <c r="BD105" s="355">
        <f>+IS!BD52</f>
        <v>214654</v>
      </c>
      <c r="BE105" s="355">
        <f>+IS!BE52</f>
        <v>216261</v>
      </c>
      <c r="BF105" s="479">
        <f>+IS!BF52</f>
        <v>844007</v>
      </c>
      <c r="BG105" s="355">
        <f>+IS!BG52</f>
        <v>210253</v>
      </c>
      <c r="BH105" s="355">
        <f>+IS!BH52</f>
        <v>214193</v>
      </c>
      <c r="BI105" s="355">
        <f>+IS!BI52</f>
        <v>217960</v>
      </c>
      <c r="BJ105" s="355">
        <f>+IS!BJ52</f>
        <v>217388</v>
      </c>
      <c r="BK105" s="479">
        <f>+IS!BK52</f>
        <v>859794</v>
      </c>
      <c r="BL105" s="355">
        <f>+IS!BL52</f>
        <v>207969.72500000001</v>
      </c>
      <c r="BM105" s="355">
        <f>+IS!BM52</f>
        <v>208933.78</v>
      </c>
      <c r="BN105" s="355">
        <f>+IS!BN52</f>
        <v>210249.1</v>
      </c>
      <c r="BO105" s="355">
        <f>+IS!BO52</f>
        <v>211721.68</v>
      </c>
      <c r="BP105" s="479">
        <f>+IS!BP52</f>
        <v>838874.28500000003</v>
      </c>
      <c r="BQ105" s="355">
        <f>+IS!BQ52</f>
        <v>211522.59150000001</v>
      </c>
      <c r="BR105" s="355">
        <f>+IS!BR52</f>
        <v>212512.60920000001</v>
      </c>
      <c r="BS105" s="355">
        <f>+IS!BS52</f>
        <v>213685.1844</v>
      </c>
      <c r="BT105" s="355">
        <f>+IS!BT52</f>
        <v>215145.1992</v>
      </c>
      <c r="BU105" s="479">
        <f>+IS!BU52</f>
        <v>852865.58429999999</v>
      </c>
    </row>
    <row r="106" spans="1:73">
      <c r="B106" s="224" t="s">
        <v>126</v>
      </c>
      <c r="C106" s="155"/>
      <c r="D106" s="332"/>
      <c r="E106" s="332"/>
      <c r="F106" s="332"/>
      <c r="G106" s="332"/>
      <c r="H106" s="332"/>
      <c r="I106" s="329"/>
      <c r="J106" s="329"/>
      <c r="K106" s="329"/>
      <c r="L106" s="329"/>
      <c r="M106" s="489">
        <f t="shared" ref="M106:AJ106" si="113">+M105/H105-1</f>
        <v>0.43764308012486985</v>
      </c>
      <c r="N106" s="329">
        <f t="shared" si="113"/>
        <v>0.47622077977175348</v>
      </c>
      <c r="O106" s="329">
        <f t="shared" si="113"/>
        <v>0.44505622334238071</v>
      </c>
      <c r="P106" s="329">
        <f t="shared" si="113"/>
        <v>0.42480220401243285</v>
      </c>
      <c r="Q106" s="329">
        <f t="shared" si="113"/>
        <v>0.37077283657504645</v>
      </c>
      <c r="R106" s="489">
        <f t="shared" si="113"/>
        <v>0.42443406981162801</v>
      </c>
      <c r="S106" s="329">
        <f t="shared" si="113"/>
        <v>0.30029313714220018</v>
      </c>
      <c r="T106" s="329">
        <f t="shared" si="113"/>
        <v>0.27302243211334121</v>
      </c>
      <c r="U106" s="329">
        <f t="shared" si="113"/>
        <v>0.25241081831478218</v>
      </c>
      <c r="V106" s="329">
        <f t="shared" si="113"/>
        <v>0.28194253230892219</v>
      </c>
      <c r="W106" s="489">
        <f t="shared" si="113"/>
        <v>0.27632005183025599</v>
      </c>
      <c r="X106" s="329">
        <f t="shared" si="113"/>
        <v>0.20488451762625703</v>
      </c>
      <c r="Y106" s="329">
        <f t="shared" si="113"/>
        <v>0.23181502012941846</v>
      </c>
      <c r="Z106" s="329">
        <f t="shared" si="113"/>
        <v>0.23443716474337406</v>
      </c>
      <c r="AA106" s="329">
        <f t="shared" si="113"/>
        <v>0.19121442552528101</v>
      </c>
      <c r="AB106" s="489">
        <f t="shared" si="113"/>
        <v>0.21474569523240761</v>
      </c>
      <c r="AC106" s="329">
        <f t="shared" si="113"/>
        <v>0.34247454828946156</v>
      </c>
      <c r="AD106" s="329">
        <f t="shared" si="113"/>
        <v>0.3510891326294896</v>
      </c>
      <c r="AE106" s="329">
        <f t="shared" si="113"/>
        <v>0.33336005772468535</v>
      </c>
      <c r="AF106" s="329">
        <f t="shared" si="113"/>
        <v>0.33267413116184374</v>
      </c>
      <c r="AG106" s="489">
        <f t="shared" si="113"/>
        <v>0.33944717339025199</v>
      </c>
      <c r="AH106" s="329">
        <f t="shared" si="113"/>
        <v>0.28906196624991454</v>
      </c>
      <c r="AI106" s="329">
        <f t="shared" si="113"/>
        <v>0.25270076875340375</v>
      </c>
      <c r="AJ106" s="329">
        <f t="shared" si="113"/>
        <v>0.26360411280139506</v>
      </c>
      <c r="AK106" s="329">
        <f t="shared" ref="AK106:BP106" si="114">+AK105/AF105-1</f>
        <v>0.23471325069832405</v>
      </c>
      <c r="AL106" s="489">
        <f t="shared" si="114"/>
        <v>0.25857096104261545</v>
      </c>
      <c r="AM106" s="329">
        <f t="shared" si="114"/>
        <v>0.24497562009751972</v>
      </c>
      <c r="AN106" s="329">
        <f t="shared" si="114"/>
        <v>0.27811590100291173</v>
      </c>
      <c r="AO106" s="329">
        <f t="shared" si="114"/>
        <v>0.33137282893171549</v>
      </c>
      <c r="AP106" s="339">
        <f t="shared" si="114"/>
        <v>0.3400436553875521</v>
      </c>
      <c r="AQ106" s="484">
        <f t="shared" si="114"/>
        <v>0.30114754815473677</v>
      </c>
      <c r="AR106" s="339">
        <f t="shared" si="114"/>
        <v>0.33999710517577553</v>
      </c>
      <c r="AS106" s="339">
        <f t="shared" si="114"/>
        <v>0.32458215011746461</v>
      </c>
      <c r="AT106" s="339">
        <f t="shared" si="114"/>
        <v>0.25641557179006957</v>
      </c>
      <c r="AU106" s="339">
        <f t="shared" si="114"/>
        <v>0.21657500098919802</v>
      </c>
      <c r="AV106" s="484">
        <f t="shared" si="114"/>
        <v>0.27956272272900473</v>
      </c>
      <c r="AW106" s="339">
        <f t="shared" si="114"/>
        <v>0.16386672088649412</v>
      </c>
      <c r="AX106" s="339">
        <f t="shared" si="114"/>
        <v>0.13715326505628367</v>
      </c>
      <c r="AY106" s="339">
        <f t="shared" si="114"/>
        <v>0.13130031576252388</v>
      </c>
      <c r="AZ106" s="339">
        <f t="shared" si="114"/>
        <v>0.11269033331707123</v>
      </c>
      <c r="BA106" s="484">
        <f t="shared" si="114"/>
        <v>0.13520113621269259</v>
      </c>
      <c r="BB106" s="339">
        <f t="shared" si="114"/>
        <v>0.1197058534508173</v>
      </c>
      <c r="BC106" s="339">
        <f t="shared" si="114"/>
        <v>9.2263498965455604E-2</v>
      </c>
      <c r="BD106" s="339">
        <f t="shared" si="114"/>
        <v>7.9514994241688175E-2</v>
      </c>
      <c r="BE106" s="339">
        <f t="shared" si="114"/>
        <v>5.3554377691603205E-2</v>
      </c>
      <c r="BF106" s="484">
        <f t="shared" si="114"/>
        <v>8.5250614948817471E-2</v>
      </c>
      <c r="BG106" s="339">
        <f t="shared" si="114"/>
        <v>2.5119331451333826E-2</v>
      </c>
      <c r="BH106" s="339">
        <f t="shared" si="114"/>
        <v>2.9818597920102219E-2</v>
      </c>
      <c r="BI106" s="339">
        <f t="shared" si="114"/>
        <v>1.5401529903938505E-2</v>
      </c>
      <c r="BJ106" s="339">
        <f t="shared" si="114"/>
        <v>5.2112956103966823E-3</v>
      </c>
      <c r="BK106" s="484">
        <f t="shared" si="114"/>
        <v>1.8704821168544772E-2</v>
      </c>
      <c r="BL106" s="339">
        <f t="shared" si="114"/>
        <v>-1.0859654796839924E-2</v>
      </c>
      <c r="BM106" s="339">
        <f t="shared" si="114"/>
        <v>-2.4553650212658651E-2</v>
      </c>
      <c r="BN106" s="339">
        <f t="shared" si="114"/>
        <v>-3.5377592218755693E-2</v>
      </c>
      <c r="BO106" s="339">
        <f t="shared" si="114"/>
        <v>-2.606546819511657E-2</v>
      </c>
      <c r="BP106" s="484">
        <f t="shared" si="114"/>
        <v>-2.433107814197355E-2</v>
      </c>
      <c r="BQ106" s="339">
        <f t="shared" ref="BQ106" si="115">+BQ105/BL105-1</f>
        <v>1.7083575506002147E-2</v>
      </c>
      <c r="BR106" s="339">
        <f t="shared" ref="BR106" si="116">+BR105/BM105-1</f>
        <v>1.7129011881180656E-2</v>
      </c>
      <c r="BS106" s="339">
        <f t="shared" ref="BS106" si="117">+BS105/BN105-1</f>
        <v>1.6342920849601761E-2</v>
      </c>
      <c r="BT106" s="339">
        <f t="shared" ref="BT106" si="118">+BT105/BO105-1</f>
        <v>1.616990380956751E-2</v>
      </c>
      <c r="BU106" s="484">
        <f t="shared" ref="BU106" si="119">+BU105/BP105-1</f>
        <v>1.6678660378771637E-2</v>
      </c>
    </row>
    <row r="107" spans="1:73">
      <c r="B107" s="224" t="s">
        <v>127</v>
      </c>
      <c r="C107" s="155"/>
      <c r="D107" s="346"/>
      <c r="E107" s="329"/>
      <c r="F107" s="329"/>
      <c r="G107" s="329"/>
      <c r="H107" s="346"/>
      <c r="I107" s="329"/>
      <c r="J107" s="329">
        <f>+J105/I105-1</f>
        <v>9.414110559585942E-2</v>
      </c>
      <c r="K107" s="329">
        <f>+K105/J105-1</f>
        <v>9.7789841023652624E-2</v>
      </c>
      <c r="L107" s="329">
        <f>+L105/K105-1</f>
        <v>0.16039135348968636</v>
      </c>
      <c r="M107" s="552"/>
      <c r="N107" s="329">
        <f>+N105/L105-1</f>
        <v>5.9142239673698027E-2</v>
      </c>
      <c r="O107" s="329">
        <f>+O105/N105-1</f>
        <v>7.104264858029663E-2</v>
      </c>
      <c r="P107" s="329">
        <f>+P105/O105-1</f>
        <v>8.2403134056026728E-2</v>
      </c>
      <c r="Q107" s="329">
        <f>+Q105/P105-1</f>
        <v>0.11638860655940908</v>
      </c>
      <c r="R107" s="552"/>
      <c r="S107" s="329">
        <f>+S105/Q105-1</f>
        <v>4.6853488475373517E-3</v>
      </c>
      <c r="T107" s="329">
        <f>+T105/S105-1</f>
        <v>4.8579953586031621E-2</v>
      </c>
      <c r="U107" s="329">
        <f>+U105/T105-1</f>
        <v>6.4877853424109011E-2</v>
      </c>
      <c r="V107" s="329">
        <f>+V105/U105-1</f>
        <v>0.14271293125630935</v>
      </c>
      <c r="W107" s="489">
        <f>+W105/V105-1</f>
        <v>2.4806256603904315</v>
      </c>
      <c r="X107" s="329">
        <f>+X105/V105-1</f>
        <v>-5.5706639413833137E-2</v>
      </c>
      <c r="Y107" s="329">
        <f>+Y105/X105-1</f>
        <v>7.2016876089149751E-2</v>
      </c>
      <c r="Z107" s="329">
        <f>+Z105/Y105-1</f>
        <v>6.7144641604353072E-2</v>
      </c>
      <c r="AA107" s="329">
        <f>+AA105/Z105-1</f>
        <v>0.10270183596568594</v>
      </c>
      <c r="AB107" s="489">
        <f>+AB105/AA105-1</f>
        <v>2.5493819979642285</v>
      </c>
      <c r="AC107" s="329">
        <f>+AC105/AA105-1</f>
        <v>6.4199505598371287E-2</v>
      </c>
      <c r="AD107" s="329">
        <f>+AD105/AC105-1</f>
        <v>7.8895948623351808E-2</v>
      </c>
      <c r="AE107" s="329">
        <f>+AE105/AD105-1</f>
        <v>5.3141503818437519E-2</v>
      </c>
      <c r="AF107" s="329">
        <f>+AF105/AE105-1</f>
        <v>0.10213456797546749</v>
      </c>
      <c r="AG107" s="489">
        <f>+AG105/AF105-1</f>
        <v>2.5674210020949721</v>
      </c>
      <c r="AH107" s="329">
        <f>+AH105/AF105-1</f>
        <v>2.9373254189944076E-2</v>
      </c>
      <c r="AI107" s="329">
        <f>+AI105/AH105-1</f>
        <v>4.8463006147975385E-2</v>
      </c>
      <c r="AJ107" s="329">
        <f>+AJ105/AI105-1</f>
        <v>6.2307910061468741E-2</v>
      </c>
      <c r="AK107" s="329">
        <f>+AK105/AJ105-1</f>
        <v>7.6935522246014854E-2</v>
      </c>
      <c r="AL107" s="489">
        <f>+AL105/AK105-1</f>
        <v>2.6363523891161993</v>
      </c>
      <c r="AM107" s="329">
        <f>+AM105/AK105-1</f>
        <v>3.7928931856944681E-2</v>
      </c>
      <c r="AN107" s="329">
        <f>+AN105/AL105-1</f>
        <v>-0.69276962035160372</v>
      </c>
      <c r="AO107" s="329">
        <f>+AO105/AM105-1</f>
        <v>0.19108394138832363</v>
      </c>
      <c r="AP107" s="339">
        <f>+AP105/AO105-1</f>
        <v>8.3949275880309315E-2</v>
      </c>
      <c r="AQ107" s="545"/>
      <c r="AR107" s="339">
        <f>+AR105/AP105-1</f>
        <v>3.7892876455769553E-2</v>
      </c>
      <c r="AS107" s="339">
        <f>+AS105/AR105-1</f>
        <v>6.3989986275606148E-2</v>
      </c>
      <c r="AT107" s="339">
        <f>+AT105/AS105-1</f>
        <v>4.9625272461258252E-2</v>
      </c>
      <c r="AU107" s="339">
        <f>+AU105/AT105-1</f>
        <v>4.9577560947856592E-2</v>
      </c>
      <c r="AV107" s="545"/>
      <c r="AW107" s="339">
        <f>+AW105/AU105-1</f>
        <v>-7.073975899695939E-3</v>
      </c>
      <c r="AX107" s="339">
        <f>+AX105/AW105-1</f>
        <v>3.9568934455763483E-2</v>
      </c>
      <c r="AY107" s="339">
        <f>+AY105/AX105-1</f>
        <v>4.4222831395531959E-2</v>
      </c>
      <c r="AZ107" s="339">
        <f>+AZ105/AY105-1</f>
        <v>3.2311924483134913E-2</v>
      </c>
      <c r="BA107" s="545"/>
      <c r="BB107" s="339">
        <f>+BB105/AZ105-1</f>
        <v>-8.1357055166908498E-4</v>
      </c>
      <c r="BC107" s="339">
        <f>+BC105/BB105-1</f>
        <v>1.4090618768314078E-2</v>
      </c>
      <c r="BD107" s="339">
        <f>+BD105/BC105-1</f>
        <v>3.2035039977691415E-2</v>
      </c>
      <c r="BE107" s="339">
        <f>+BE105/BD105-1</f>
        <v>7.486466592749208E-3</v>
      </c>
      <c r="BF107" s="545"/>
      <c r="BG107" s="339">
        <f>+BG105/BE105-1</f>
        <v>-2.778124580946173E-2</v>
      </c>
      <c r="BH107" s="339">
        <f>+BH105/BG105-1</f>
        <v>1.8739328333008398E-2</v>
      </c>
      <c r="BI107" s="339">
        <f>+BI105/BH105-1</f>
        <v>1.7586942617172419E-2</v>
      </c>
      <c r="BJ107" s="339">
        <f>+BJ105/BI105-1</f>
        <v>-2.6243347403193118E-3</v>
      </c>
      <c r="BK107" s="545"/>
      <c r="BL107" s="339">
        <f>+BL105/BJ105-1</f>
        <v>-4.3324723535797749E-2</v>
      </c>
      <c r="BM107" s="339">
        <f>+BM105/BL105-1</f>
        <v>4.6355545260252651E-3</v>
      </c>
      <c r="BN107" s="339">
        <f>+BN105/BM105-1</f>
        <v>6.295391774369774E-3</v>
      </c>
      <c r="BO107" s="339">
        <f>+BO105/BN105-1</f>
        <v>7.0039776626866779E-3</v>
      </c>
      <c r="BP107" s="545"/>
      <c r="BQ107" s="339">
        <f>+BQ105/BO105-1</f>
        <v>-9.4033119329106629E-4</v>
      </c>
      <c r="BR107" s="339">
        <f>+BR105/BQ105-1</f>
        <v>4.6804348083073766E-3</v>
      </c>
      <c r="BS107" s="339">
        <f>+BS105/BR105-1</f>
        <v>5.5176735367097329E-3</v>
      </c>
      <c r="BT107" s="339">
        <f>+BT105/BS105-1</f>
        <v>6.8325504367536816E-3</v>
      </c>
      <c r="BU107" s="545"/>
    </row>
    <row r="108" spans="1:73">
      <c r="B108" s="155" t="s">
        <v>196</v>
      </c>
      <c r="C108" s="168"/>
      <c r="D108" s="328"/>
      <c r="E108" s="328"/>
      <c r="F108" s="328"/>
      <c r="G108" s="328"/>
      <c r="H108" s="328">
        <f>+IS!H119</f>
        <v>12770.915999999999</v>
      </c>
      <c r="I108" s="328">
        <f>+IS!I119</f>
        <v>12642.188</v>
      </c>
      <c r="J108" s="328">
        <f>+IS!J119</f>
        <v>12745.050999999999</v>
      </c>
      <c r="K108" s="328">
        <f>+IS!K119</f>
        <v>33020.483999999997</v>
      </c>
      <c r="L108" s="328">
        <f>+IS!L119</f>
        <v>40115.821900000003</v>
      </c>
      <c r="M108" s="488">
        <f>+IS!M119</f>
        <v>24630.886225000002</v>
      </c>
      <c r="N108" s="328">
        <f>+IS!N119</f>
        <v>40547.669000000002</v>
      </c>
      <c r="O108" s="328">
        <f>+IS!O119</f>
        <v>41063.612999999998</v>
      </c>
      <c r="P108" s="328">
        <f>+IS!P119</f>
        <v>41482.173000000003</v>
      </c>
      <c r="Q108" s="328">
        <f>+IS!Q119</f>
        <v>41893.762000000002</v>
      </c>
      <c r="R108" s="488">
        <f>+IS!R119</f>
        <v>41246.804250000001</v>
      </c>
      <c r="S108" s="328">
        <f>+IS!S119</f>
        <v>42016.830999999998</v>
      </c>
      <c r="T108" s="328">
        <f>+IS!T119</f>
        <v>42681.286999999997</v>
      </c>
      <c r="U108" s="328">
        <f>+IS!U119</f>
        <v>43279.025000000001</v>
      </c>
      <c r="V108" s="328">
        <f>+IS!V119</f>
        <v>43723.696000000004</v>
      </c>
      <c r="W108" s="488">
        <f>+IS!W119</f>
        <v>42925.209749999995</v>
      </c>
      <c r="X108" s="328">
        <f>+IS!X119</f>
        <v>45210.25</v>
      </c>
      <c r="Y108" s="328">
        <f>+IS!Y119</f>
        <v>46279.947</v>
      </c>
      <c r="Z108" s="328">
        <f>+IS!Z119</f>
        <v>46914.076999999997</v>
      </c>
      <c r="AA108" s="328">
        <f>+IS!AA119</f>
        <v>47397.034</v>
      </c>
      <c r="AB108" s="488">
        <f>+IS!AB119</f>
        <v>46450.327000000005</v>
      </c>
      <c r="AC108" s="328">
        <f>+IS!AC119</f>
        <v>51184.402000000002</v>
      </c>
      <c r="AD108" s="328">
        <f>+IS!AD119</f>
        <v>52035.868000000002</v>
      </c>
      <c r="AE108" s="328">
        <f>+IS!AE119</f>
        <v>52404.656999999999</v>
      </c>
      <c r="AF108" s="328">
        <f>+IS!AF119</f>
        <v>52584.790999999997</v>
      </c>
      <c r="AG108" s="488">
        <f>+IS!AG119</f>
        <v>52058.103000000003</v>
      </c>
      <c r="AH108" s="328">
        <f>+IS!AH119</f>
        <v>50127.31</v>
      </c>
      <c r="AI108" s="328">
        <f>+IS!AI119</f>
        <v>53063.260999999999</v>
      </c>
      <c r="AJ108" s="328">
        <f>+IS!AJ119</f>
        <v>53894.201999999997</v>
      </c>
      <c r="AK108" s="328">
        <f>+IS!AK119</f>
        <v>52017.472999999904</v>
      </c>
      <c r="AL108" s="488">
        <f>+IS!AL119</f>
        <v>51036.824000000001</v>
      </c>
      <c r="AM108" s="328">
        <f>+IS!AM119</f>
        <v>52904.881000000001</v>
      </c>
      <c r="AN108" s="328">
        <f>+IS!AN119</f>
        <v>57731.694000000003</v>
      </c>
      <c r="AO108" s="328">
        <f>+IS!AO119</f>
        <v>58376.991999999998</v>
      </c>
      <c r="AP108" s="167">
        <f>+IS!AP119</f>
        <v>56752.294999999998</v>
      </c>
      <c r="AQ108" s="472">
        <f>+IS!AQ119</f>
        <v>55200</v>
      </c>
      <c r="AR108" s="167">
        <f>+IS!AR119</f>
        <v>57724.821000000004</v>
      </c>
      <c r="AS108" s="167">
        <f>+IS!AS119</f>
        <v>58239.957999999999</v>
      </c>
      <c r="AT108" s="167">
        <f>+IS!AT119</f>
        <v>65597.870999999999</v>
      </c>
      <c r="AU108" s="167">
        <f>+IS!AU119</f>
        <v>69610.95</v>
      </c>
      <c r="AV108" s="472">
        <f>+IS!AV119</f>
        <v>62793.400000000009</v>
      </c>
      <c r="AW108" s="167">
        <f>+IS!AW119</f>
        <v>66400.126000000004</v>
      </c>
      <c r="AX108" s="167">
        <f>+IS!AX119</f>
        <v>67231.505000000005</v>
      </c>
      <c r="AY108" s="167">
        <f>+IS!AY119</f>
        <v>68899.221000000005</v>
      </c>
      <c r="AZ108" s="167">
        <f>+IS!AZ119</f>
        <v>73728.911999999997</v>
      </c>
      <c r="BA108" s="472">
        <f>+IS!BA119</f>
        <v>72064.941000000006</v>
      </c>
      <c r="BB108" s="167">
        <f>+IS!BB119</f>
        <v>74021.703999999998</v>
      </c>
      <c r="BC108" s="167">
        <f>+IS!BC119</f>
        <v>74250.36</v>
      </c>
      <c r="BD108" s="167">
        <f>+IS!BD119</f>
        <v>74537.085000000006</v>
      </c>
      <c r="BE108" s="167">
        <f>+IS!BE119</f>
        <v>75084.888000000006</v>
      </c>
      <c r="BF108" s="472">
        <f>+IS!BF119</f>
        <v>74473.509250000003</v>
      </c>
      <c r="BG108" s="167">
        <f>+IS!BG119</f>
        <v>75408.027000000002</v>
      </c>
      <c r="BH108" s="167">
        <f>+IS!BH119</f>
        <v>75383.645000000004</v>
      </c>
      <c r="BI108" s="167">
        <f>+IS!BI119</f>
        <v>75611.831999999995</v>
      </c>
      <c r="BJ108" s="167">
        <f>+IS!BJ119</f>
        <v>76311.584000000003</v>
      </c>
      <c r="BK108" s="472">
        <f>+IS!BK119</f>
        <v>75678.771999999997</v>
      </c>
      <c r="BL108" s="167">
        <f>+IS!BL119</f>
        <v>77100</v>
      </c>
      <c r="BM108" s="167">
        <f>+IS!BM119</f>
        <v>77871</v>
      </c>
      <c r="BN108" s="167">
        <f>+IS!BN119</f>
        <v>78649.710000000006</v>
      </c>
      <c r="BO108" s="167">
        <f>+IS!BO119</f>
        <v>79200.257969999991</v>
      </c>
      <c r="BP108" s="472">
        <f>+IS!BP119</f>
        <v>78205.241992499999</v>
      </c>
      <c r="BQ108" s="167">
        <f>+IS!BQ119</f>
        <v>79279.458227969983</v>
      </c>
      <c r="BR108" s="167">
        <f>+IS!BR119</f>
        <v>79358.737686197943</v>
      </c>
      <c r="BS108" s="167">
        <f>+IS!BS119</f>
        <v>79438.096423884126</v>
      </c>
      <c r="BT108" s="167">
        <f>+IS!BT119</f>
        <v>79517.534520308007</v>
      </c>
      <c r="BU108" s="472">
        <f>+IS!BU119</f>
        <v>79398.456714590007</v>
      </c>
    </row>
    <row r="109" spans="1:73">
      <c r="B109" s="158"/>
      <c r="C109" s="317"/>
      <c r="D109" s="347"/>
      <c r="E109" s="347"/>
      <c r="F109" s="347"/>
      <c r="G109" s="347"/>
      <c r="H109" s="347"/>
      <c r="I109" s="347"/>
      <c r="J109" s="347"/>
      <c r="K109" s="347"/>
      <c r="L109" s="347"/>
      <c r="M109" s="550"/>
      <c r="N109" s="347"/>
      <c r="O109" s="347"/>
      <c r="P109" s="347"/>
      <c r="Q109" s="347"/>
      <c r="R109" s="550"/>
      <c r="S109" s="347"/>
      <c r="T109" s="347"/>
      <c r="U109" s="347"/>
      <c r="V109" s="347"/>
      <c r="W109" s="550"/>
      <c r="X109" s="347"/>
      <c r="Y109" s="347"/>
      <c r="Z109" s="347"/>
      <c r="AA109" s="347"/>
      <c r="AB109" s="550"/>
      <c r="AC109" s="347"/>
      <c r="AD109" s="347"/>
      <c r="AE109" s="347"/>
      <c r="AF109" s="347"/>
      <c r="AG109" s="550"/>
      <c r="AH109" s="347"/>
      <c r="AI109" s="347"/>
      <c r="AJ109" s="347"/>
      <c r="AK109" s="347"/>
      <c r="AL109" s="550"/>
      <c r="AM109" s="347"/>
      <c r="AN109" s="347"/>
      <c r="AO109" s="347"/>
      <c r="AQ109" s="546"/>
      <c r="AV109" s="546"/>
      <c r="BA109" s="546"/>
      <c r="BB109" s="220"/>
      <c r="BC109" s="220"/>
      <c r="BD109" s="220"/>
      <c r="BE109" s="220"/>
      <c r="BF109" s="546"/>
      <c r="BG109" s="220"/>
      <c r="BH109" s="220"/>
      <c r="BI109" s="220"/>
      <c r="BJ109" s="220"/>
      <c r="BK109" s="546"/>
      <c r="BL109" s="220"/>
      <c r="BM109" s="220"/>
      <c r="BN109" s="220"/>
      <c r="BO109" s="220"/>
      <c r="BP109" s="546"/>
      <c r="BQ109" s="220"/>
      <c r="BR109" s="220"/>
      <c r="BS109" s="220"/>
      <c r="BT109" s="220"/>
      <c r="BU109" s="546"/>
    </row>
    <row r="110" spans="1:73">
      <c r="B110" s="342" t="s">
        <v>241</v>
      </c>
      <c r="C110" s="317"/>
      <c r="D110" s="347"/>
      <c r="E110" s="347"/>
      <c r="F110" s="347"/>
      <c r="G110" s="347"/>
      <c r="H110" s="347"/>
      <c r="I110" s="347"/>
      <c r="J110" s="347"/>
      <c r="K110" s="347"/>
      <c r="L110" s="347"/>
      <c r="M110" s="550"/>
      <c r="N110" s="347"/>
      <c r="O110" s="347"/>
      <c r="P110" s="347"/>
      <c r="Q110" s="347"/>
      <c r="R110" s="550"/>
      <c r="S110" s="347"/>
      <c r="T110" s="347"/>
      <c r="U110" s="347"/>
      <c r="V110" s="347"/>
      <c r="W110" s="550"/>
      <c r="X110" s="347"/>
      <c r="Y110" s="347"/>
      <c r="Z110" s="347"/>
      <c r="AA110" s="347"/>
      <c r="AB110" s="550"/>
      <c r="AC110" s="347"/>
      <c r="AD110" s="347"/>
      <c r="AE110" s="347"/>
      <c r="AF110" s="347"/>
      <c r="AG110" s="550"/>
      <c r="AH110" s="347"/>
      <c r="AI110" s="347"/>
      <c r="AJ110" s="347"/>
      <c r="AK110" s="347"/>
      <c r="AL110" s="550"/>
      <c r="AM110" s="347"/>
      <c r="AN110" s="347"/>
      <c r="AO110" s="347"/>
      <c r="AQ110" s="546"/>
      <c r="AV110" s="546"/>
      <c r="BA110" s="546"/>
      <c r="BB110" s="220"/>
      <c r="BC110" s="220"/>
      <c r="BD110" s="220"/>
      <c r="BE110" s="220"/>
      <c r="BF110" s="546"/>
      <c r="BG110" s="220"/>
      <c r="BH110" s="220"/>
      <c r="BI110" s="220"/>
      <c r="BJ110" s="220"/>
      <c r="BK110" s="546"/>
      <c r="BL110" s="220"/>
      <c r="BM110" s="220"/>
      <c r="BN110" s="220"/>
      <c r="BO110" s="220"/>
      <c r="BP110" s="546"/>
      <c r="BQ110" s="220"/>
      <c r="BR110" s="220"/>
      <c r="BS110" s="220"/>
      <c r="BT110" s="220"/>
      <c r="BU110" s="546"/>
    </row>
    <row r="111" spans="1:73">
      <c r="A111" s="106" t="s">
        <v>195</v>
      </c>
      <c r="B111" s="262" t="s">
        <v>240</v>
      </c>
      <c r="C111" s="155"/>
      <c r="D111" s="328"/>
      <c r="E111" s="328"/>
      <c r="F111" s="328"/>
      <c r="G111" s="328"/>
      <c r="H111" s="328">
        <f>+CF!H10</f>
        <v>2159</v>
      </c>
      <c r="I111" s="328">
        <f>+CF!I10</f>
        <v>575</v>
      </c>
      <c r="J111" s="328">
        <f>+CF!J10</f>
        <v>831</v>
      </c>
      <c r="K111" s="328">
        <f>+CF!K10</f>
        <v>1427</v>
      </c>
      <c r="L111" s="328">
        <f>+CF!L10</f>
        <v>7852</v>
      </c>
      <c r="M111" s="488">
        <f>+CF!M10</f>
        <v>10685</v>
      </c>
      <c r="N111" s="328">
        <f>+CF!N10</f>
        <v>5519</v>
      </c>
      <c r="O111" s="328">
        <f>+CF!O10</f>
        <v>3641</v>
      </c>
      <c r="P111" s="328">
        <f>+CF!P10</f>
        <v>4177</v>
      </c>
      <c r="Q111" s="328">
        <f>+CF!Q10</f>
        <v>3979</v>
      </c>
      <c r="R111" s="488">
        <f>+CF!R10</f>
        <v>17316</v>
      </c>
      <c r="S111" s="328">
        <f>+CF!S10</f>
        <v>4279</v>
      </c>
      <c r="T111" s="328">
        <f>+CF!T10</f>
        <v>5171</v>
      </c>
      <c r="U111" s="328">
        <f>+CF!U10</f>
        <v>5288</v>
      </c>
      <c r="V111" s="328">
        <f>+CF!V10</f>
        <v>4803</v>
      </c>
      <c r="W111" s="488">
        <f>+CF!W10</f>
        <v>19541</v>
      </c>
      <c r="X111" s="328">
        <f>+CF!X10</f>
        <v>6225</v>
      </c>
      <c r="Y111" s="328">
        <f>+CF!Y10</f>
        <v>7350</v>
      </c>
      <c r="Z111" s="328">
        <f>+CF!Z10</f>
        <v>7424</v>
      </c>
      <c r="AA111" s="328">
        <f>+CF!AA10</f>
        <v>6594</v>
      </c>
      <c r="AB111" s="488">
        <f>+CF!AB10</f>
        <v>27593</v>
      </c>
      <c r="AC111" s="328">
        <f>+CF!AC10</f>
        <v>8634</v>
      </c>
      <c r="AD111" s="328">
        <f>+CF!AD10</f>
        <v>10430</v>
      </c>
      <c r="AE111" s="328">
        <f>+CF!AE10</f>
        <v>10426</v>
      </c>
      <c r="AF111" s="328">
        <f>+CF!AF10</f>
        <v>11174</v>
      </c>
      <c r="AG111" s="488">
        <f>+CF!AG10</f>
        <v>40664</v>
      </c>
      <c r="AH111" s="328">
        <f>+CF!AH10</f>
        <v>13347</v>
      </c>
      <c r="AI111" s="328">
        <f>+CF!AI10</f>
        <v>16446</v>
      </c>
      <c r="AJ111" s="328">
        <f>+CF!AJ10</f>
        <v>17128</v>
      </c>
      <c r="AK111" s="328">
        <f>+CF!AK10</f>
        <v>16967</v>
      </c>
      <c r="AL111" s="488">
        <f>+CF!AL10</f>
        <v>63888</v>
      </c>
      <c r="AM111" s="328">
        <f>+CF!AM10</f>
        <v>20862</v>
      </c>
      <c r="AN111" s="328">
        <f>+CF!AN10</f>
        <v>23814</v>
      </c>
      <c r="AO111" s="328">
        <f>+CF!AO10</f>
        <v>29196</v>
      </c>
      <c r="AP111" s="355">
        <f>+CF!AP10</f>
        <v>28707</v>
      </c>
      <c r="AQ111" s="472">
        <f>+SUM(AM111:AP111)</f>
        <v>102579</v>
      </c>
      <c r="AR111" s="355">
        <f>+CF!AR10</f>
        <v>28922</v>
      </c>
      <c r="AS111" s="355">
        <f>+CF!AS10</f>
        <v>32411</v>
      </c>
      <c r="AT111" s="355">
        <f>+CF!AT10</f>
        <v>30971</v>
      </c>
      <c r="AU111" s="355">
        <f>+CF!AU10</f>
        <v>27598</v>
      </c>
      <c r="AV111" s="472">
        <f>+SUM(AR111:AU111)</f>
        <v>119902</v>
      </c>
      <c r="AW111" s="167">
        <v>29373</v>
      </c>
      <c r="AX111" s="167">
        <f>31695</f>
        <v>31695</v>
      </c>
      <c r="AY111" s="167">
        <f>23768</f>
        <v>23768</v>
      </c>
      <c r="AZ111" s="167">
        <f>23245</f>
        <v>23245</v>
      </c>
      <c r="BA111" s="472">
        <f>+SUM(AW111:AZ111)</f>
        <v>108081</v>
      </c>
      <c r="BB111" s="324">
        <f>24893</f>
        <v>24893</v>
      </c>
      <c r="BC111" s="324">
        <f>27409</f>
        <v>27409</v>
      </c>
      <c r="BD111" s="324">
        <f>24594</f>
        <v>24594</v>
      </c>
      <c r="BE111" s="324">
        <v>27412</v>
      </c>
      <c r="BF111" s="472">
        <f>+SUM(BB111:BE111)</f>
        <v>104308</v>
      </c>
      <c r="BG111" s="324">
        <f>27151</f>
        <v>27151</v>
      </c>
      <c r="BH111" s="324">
        <f>27581</f>
        <v>27581</v>
      </c>
      <c r="BI111" s="324">
        <f>26327</f>
        <v>26327</v>
      </c>
      <c r="BJ111" s="324">
        <f>23276</f>
        <v>23276</v>
      </c>
      <c r="BK111" s="472">
        <f>+SUM(BG111:BJ111)</f>
        <v>104335</v>
      </c>
      <c r="BL111" s="167">
        <f>+BL105*BL115</f>
        <v>29115.761500000004</v>
      </c>
      <c r="BM111" s="167">
        <f>+BM105*BM115</f>
        <v>27161.3914</v>
      </c>
      <c r="BN111" s="167">
        <f>+BN105*BN115</f>
        <v>29434.874000000003</v>
      </c>
      <c r="BO111" s="167">
        <f>+BO105*BO115</f>
        <v>29641.035200000002</v>
      </c>
      <c r="BP111" s="472">
        <f>+SUM(BL111:BO111)</f>
        <v>115353.0621</v>
      </c>
      <c r="BQ111" s="167">
        <f>+BQ105*BQ115</f>
        <v>29613.162810000005</v>
      </c>
      <c r="BR111" s="167">
        <f>+BR105*BR115</f>
        <v>27626.639196</v>
      </c>
      <c r="BS111" s="167">
        <f>+BS105*BS115</f>
        <v>29915.925816000003</v>
      </c>
      <c r="BT111" s="167">
        <f>+BT105*BT115</f>
        <v>30120.327888000003</v>
      </c>
      <c r="BU111" s="472">
        <f>+SUM(BQ111:BT111)</f>
        <v>117276.05571000002</v>
      </c>
    </row>
    <row r="112" spans="1:73">
      <c r="B112" s="260" t="s">
        <v>197</v>
      </c>
      <c r="C112" s="155"/>
      <c r="D112" s="329"/>
      <c r="E112" s="329"/>
      <c r="F112" s="329"/>
      <c r="G112" s="329"/>
      <c r="H112" s="329"/>
      <c r="I112" s="329"/>
      <c r="J112" s="329"/>
      <c r="K112" s="329"/>
      <c r="L112" s="329"/>
      <c r="M112" s="489">
        <f t="shared" ref="M112:AH112" si="120">+M111/H111-1</f>
        <v>3.949050486336267</v>
      </c>
      <c r="N112" s="329">
        <f t="shared" si="120"/>
        <v>8.5982608695652178</v>
      </c>
      <c r="O112" s="329">
        <f t="shared" si="120"/>
        <v>3.3814681107099878</v>
      </c>
      <c r="P112" s="329">
        <f t="shared" si="120"/>
        <v>1.9271198318149967</v>
      </c>
      <c r="Q112" s="329">
        <f t="shared" si="120"/>
        <v>-0.49325012735608764</v>
      </c>
      <c r="R112" s="489">
        <f t="shared" si="120"/>
        <v>0.62058961160505377</v>
      </c>
      <c r="S112" s="329">
        <f t="shared" si="120"/>
        <v>-0.2246783837651749</v>
      </c>
      <c r="T112" s="329">
        <f t="shared" si="120"/>
        <v>0.42021422686075249</v>
      </c>
      <c r="U112" s="329">
        <f t="shared" si="120"/>
        <v>0.26598036868565966</v>
      </c>
      <c r="V112" s="329">
        <f t="shared" si="120"/>
        <v>0.20708720784116608</v>
      </c>
      <c r="W112" s="489">
        <f t="shared" si="120"/>
        <v>0.1284938784938785</v>
      </c>
      <c r="X112" s="329">
        <f t="shared" si="120"/>
        <v>0.45477915400794577</v>
      </c>
      <c r="Y112" s="329">
        <f t="shared" si="120"/>
        <v>0.42138851286018175</v>
      </c>
      <c r="Z112" s="329">
        <f t="shared" si="120"/>
        <v>0.40393343419062022</v>
      </c>
      <c r="AA112" s="329">
        <f t="shared" si="120"/>
        <v>0.37289194253591496</v>
      </c>
      <c r="AB112" s="489">
        <f t="shared" si="120"/>
        <v>0.41205670129471361</v>
      </c>
      <c r="AC112" s="329">
        <f t="shared" si="120"/>
        <v>0.386987951807229</v>
      </c>
      <c r="AD112" s="329">
        <f>+AD111/Y111-1</f>
        <v>0.41904761904761911</v>
      </c>
      <c r="AE112" s="329">
        <f t="shared" si="120"/>
        <v>0.40436422413793105</v>
      </c>
      <c r="AF112" s="329">
        <f t="shared" si="120"/>
        <v>0.69457082195935693</v>
      </c>
      <c r="AG112" s="489">
        <f t="shared" si="120"/>
        <v>0.47370709962671698</v>
      </c>
      <c r="AH112" s="329">
        <f t="shared" si="120"/>
        <v>0.54586518415566365</v>
      </c>
      <c r="AI112" s="329">
        <f t="shared" ref="AI112:BP112" si="121">+AI111/AD111-1</f>
        <v>0.57679769894535005</v>
      </c>
      <c r="AJ112" s="329">
        <f t="shared" si="121"/>
        <v>0.64281603683099942</v>
      </c>
      <c r="AK112" s="329">
        <f t="shared" si="121"/>
        <v>0.51843565419724369</v>
      </c>
      <c r="AL112" s="489">
        <f t="shared" si="121"/>
        <v>0.57111941766673224</v>
      </c>
      <c r="AM112" s="329">
        <f t="shared" si="121"/>
        <v>0.56304787592717465</v>
      </c>
      <c r="AN112" s="329">
        <f t="shared" si="121"/>
        <v>0.44801167457132429</v>
      </c>
      <c r="AO112" s="329">
        <f t="shared" si="121"/>
        <v>0.70457730032694998</v>
      </c>
      <c r="AP112" s="237">
        <f t="shared" si="121"/>
        <v>0.69193139623975952</v>
      </c>
      <c r="AQ112" s="480">
        <f t="shared" si="121"/>
        <v>0.60560668670172801</v>
      </c>
      <c r="AR112" s="237">
        <f t="shared" si="121"/>
        <v>0.38634838462275911</v>
      </c>
      <c r="AS112" s="237">
        <f t="shared" si="121"/>
        <v>0.36100613084740063</v>
      </c>
      <c r="AT112" s="237">
        <f t="shared" si="121"/>
        <v>6.0795999451979776E-2</v>
      </c>
      <c r="AU112" s="237">
        <f t="shared" si="121"/>
        <v>-3.863169261852506E-2</v>
      </c>
      <c r="AV112" s="480">
        <f t="shared" si="121"/>
        <v>0.16887472094678246</v>
      </c>
      <c r="AW112" s="237">
        <f t="shared" si="121"/>
        <v>1.5593665721596039E-2</v>
      </c>
      <c r="AX112" s="237">
        <f t="shared" si="121"/>
        <v>-2.2091265311159791E-2</v>
      </c>
      <c r="AY112" s="237">
        <f t="shared" si="121"/>
        <v>-0.23257240644473864</v>
      </c>
      <c r="AZ112" s="237">
        <f t="shared" si="121"/>
        <v>-0.15772882092905283</v>
      </c>
      <c r="BA112" s="480">
        <f t="shared" si="121"/>
        <v>-9.8588847558839676E-2</v>
      </c>
      <c r="BB112" s="237">
        <f t="shared" si="121"/>
        <v>-0.152521022707929</v>
      </c>
      <c r="BC112" s="237">
        <f t="shared" si="121"/>
        <v>-0.13522637640006308</v>
      </c>
      <c r="BD112" s="237">
        <f t="shared" si="121"/>
        <v>3.4752608549309949E-2</v>
      </c>
      <c r="BE112" s="237">
        <f t="shared" si="121"/>
        <v>0.17926435792643569</v>
      </c>
      <c r="BF112" s="480">
        <f t="shared" si="121"/>
        <v>-3.4909003432610719E-2</v>
      </c>
      <c r="BG112" s="237">
        <f t="shared" si="121"/>
        <v>9.0708231229662983E-2</v>
      </c>
      <c r="BH112" s="237">
        <f t="shared" si="121"/>
        <v>6.2753110292239622E-3</v>
      </c>
      <c r="BI112" s="237">
        <f t="shared" si="121"/>
        <v>7.046434089615361E-2</v>
      </c>
      <c r="BJ112" s="237">
        <f t="shared" si="121"/>
        <v>-0.1508828250401284</v>
      </c>
      <c r="BK112" s="480">
        <f t="shared" si="121"/>
        <v>2.5884879395632332E-4</v>
      </c>
      <c r="BL112" s="237">
        <f t="shared" si="121"/>
        <v>7.2364240727781803E-2</v>
      </c>
      <c r="BM112" s="237">
        <f t="shared" si="121"/>
        <v>-1.5213683332728989E-2</v>
      </c>
      <c r="BN112" s="237">
        <f t="shared" si="121"/>
        <v>0.1180489231587345</v>
      </c>
      <c r="BO112" s="237">
        <f t="shared" si="121"/>
        <v>0.27345915105688268</v>
      </c>
      <c r="BP112" s="480">
        <f t="shared" si="121"/>
        <v>0.10560274212872001</v>
      </c>
      <c r="BQ112" s="237">
        <f t="shared" ref="BQ112" si="122">+BQ111/BL111-1</f>
        <v>1.7083575506002147E-2</v>
      </c>
      <c r="BR112" s="237">
        <f t="shared" ref="BR112" si="123">+BR111/BM111-1</f>
        <v>1.7129011881180656E-2</v>
      </c>
      <c r="BS112" s="237">
        <f t="shared" ref="BS112" si="124">+BS111/BN111-1</f>
        <v>1.6342920849601761E-2</v>
      </c>
      <c r="BT112" s="237">
        <f t="shared" ref="BT112" si="125">+BT111/BO111-1</f>
        <v>1.6169903809567288E-2</v>
      </c>
      <c r="BU112" s="480">
        <f t="shared" ref="BU112" si="126">+BU111/BP111-1</f>
        <v>1.6670503365857403E-2</v>
      </c>
    </row>
    <row r="113" spans="2:73">
      <c r="B113" s="260" t="s">
        <v>198</v>
      </c>
      <c r="C113" s="155"/>
      <c r="D113" s="329"/>
      <c r="E113" s="329"/>
      <c r="F113" s="329"/>
      <c r="G113" s="329"/>
      <c r="H113" s="346"/>
      <c r="I113" s="329"/>
      <c r="J113" s="329">
        <f>+J111/I111-1</f>
        <v>0.44521739130434779</v>
      </c>
      <c r="K113" s="329">
        <f>+K111/J111-1</f>
        <v>0.71720818291215394</v>
      </c>
      <c r="L113" s="329">
        <f>+L111/K111-1</f>
        <v>4.5024526979677644</v>
      </c>
      <c r="M113" s="552"/>
      <c r="N113" s="329">
        <f>+N111/L111-1</f>
        <v>-0.29712175241976568</v>
      </c>
      <c r="O113" s="329">
        <f>+O111/N111-1</f>
        <v>-0.34027903605725673</v>
      </c>
      <c r="P113" s="329">
        <f>+P111/O111-1</f>
        <v>0.14721230431200216</v>
      </c>
      <c r="Q113" s="329">
        <f>+Q111/P111-1</f>
        <v>-4.7402441943978912E-2</v>
      </c>
      <c r="R113" s="552"/>
      <c r="S113" s="329">
        <f>+S111/Q111-1</f>
        <v>7.5395828097511997E-2</v>
      </c>
      <c r="T113" s="329">
        <f>+T111/S111-1</f>
        <v>0.20845992054218265</v>
      </c>
      <c r="U113" s="329">
        <f>+U111/T111-1</f>
        <v>2.2626184490427415E-2</v>
      </c>
      <c r="V113" s="329">
        <f>+V111/U111-1</f>
        <v>-9.1717095310136165E-2</v>
      </c>
      <c r="W113" s="489">
        <f>+W111/V111-1</f>
        <v>3.0684988548823648</v>
      </c>
      <c r="X113" s="329">
        <f>+X111/V111-1</f>
        <v>0.29606495940037481</v>
      </c>
      <c r="Y113" s="329">
        <f>+Y111/X111-1</f>
        <v>0.18072289156626509</v>
      </c>
      <c r="Z113" s="329">
        <f>+Z111/Y111-1</f>
        <v>1.00680272108844E-2</v>
      </c>
      <c r="AA113" s="329">
        <f>+AA111/Z111-1</f>
        <v>-0.11179956896551724</v>
      </c>
      <c r="AB113" s="489">
        <f>+AB111/AA111-1</f>
        <v>3.184561722778283</v>
      </c>
      <c r="AC113" s="329">
        <f>+AC111/AA111-1</f>
        <v>0.30937215650591443</v>
      </c>
      <c r="AD113" s="329">
        <f>+AD111/AC111-1</f>
        <v>0.20801482511003022</v>
      </c>
      <c r="AE113" s="329">
        <f>+AE111/AD111-1</f>
        <v>-3.8350910834128449E-4</v>
      </c>
      <c r="AF113" s="329">
        <f>+AF111/AE111-1</f>
        <v>7.1743717629004333E-2</v>
      </c>
      <c r="AG113" s="489">
        <f>+AG111/AF111-1</f>
        <v>2.6391623411490963</v>
      </c>
      <c r="AH113" s="329">
        <f>+AH111/AF111-1</f>
        <v>0.19446930374082694</v>
      </c>
      <c r="AI113" s="329">
        <f>+AI111/AH111-1</f>
        <v>0.23218700831647565</v>
      </c>
      <c r="AJ113" s="329">
        <f>+AJ111/AI111-1</f>
        <v>4.1469050224978821E-2</v>
      </c>
      <c r="AK113" s="329">
        <f>+AK111/AJ111-1</f>
        <v>-9.39981317141525E-3</v>
      </c>
      <c r="AL113" s="489">
        <f>+AL111/AK111-1</f>
        <v>2.7654270053633523</v>
      </c>
      <c r="AM113" s="329">
        <f>+AM111/AK111-1</f>
        <v>0.22956326987681974</v>
      </c>
      <c r="AN113" s="329">
        <f>+AN111/AL111-1</f>
        <v>-0.62725394440270477</v>
      </c>
      <c r="AO113" s="329">
        <f>+AO111/AM111-1</f>
        <v>0.39948231233822251</v>
      </c>
      <c r="AP113" s="237">
        <f>+AP111/AO111-1</f>
        <v>-1.6748869708179237E-2</v>
      </c>
      <c r="AQ113" s="547"/>
      <c r="AR113" s="237">
        <f>+AR111/AP111-1</f>
        <v>7.4894625004353621E-3</v>
      </c>
      <c r="AS113" s="237">
        <f>+AS111/AR111-1</f>
        <v>0.12063481087061745</v>
      </c>
      <c r="AT113" s="237">
        <f>+AT111/AS111-1</f>
        <v>-4.4429360402332585E-2</v>
      </c>
      <c r="AU113" s="237">
        <f>+AU111/AT111-1</f>
        <v>-0.10890833360240226</v>
      </c>
      <c r="AV113" s="547"/>
      <c r="AW113" s="237">
        <f>+AW111/AU111-1</f>
        <v>6.4316254801072503E-2</v>
      </c>
      <c r="AX113" s="237">
        <f>+AX111/AW111-1</f>
        <v>7.9052190787457954E-2</v>
      </c>
      <c r="AY113" s="237">
        <f>+AY111/AX111-1</f>
        <v>-0.25010253983278119</v>
      </c>
      <c r="AZ113" s="237">
        <f>+AZ111/AY111-1</f>
        <v>-2.2004375631100692E-2</v>
      </c>
      <c r="BA113" s="547"/>
      <c r="BB113" s="237">
        <f>+BB111/AZ111-1</f>
        <v>7.0896967089696616E-2</v>
      </c>
      <c r="BC113" s="237">
        <f>+BC111/BB111-1</f>
        <v>0.10107259068814534</v>
      </c>
      <c r="BD113" s="237">
        <f>+BD111/BC111-1</f>
        <v>-0.10270349155386915</v>
      </c>
      <c r="BE113" s="237">
        <f>+BE111/BD111-1</f>
        <v>0.11458079206310479</v>
      </c>
      <c r="BF113" s="547"/>
      <c r="BG113" s="237">
        <f>+BG111/BE111-1</f>
        <v>-9.521377498905581E-3</v>
      </c>
      <c r="BH113" s="237">
        <f>+BH111/BG111-1</f>
        <v>1.5837354056940756E-2</v>
      </c>
      <c r="BI113" s="237">
        <f>+BI111/BH111-1</f>
        <v>-4.5466081722925211E-2</v>
      </c>
      <c r="BJ113" s="237">
        <f>+BJ111/BI111-1</f>
        <v>-0.11588863144300532</v>
      </c>
      <c r="BK113" s="547"/>
      <c r="BL113" s="237">
        <f>+BL111/BJ111-1</f>
        <v>0.25089197026980603</v>
      </c>
      <c r="BM113" s="237">
        <f>+BM111/BL111-1</f>
        <v>-6.712412794011946E-2</v>
      </c>
      <c r="BN113" s="237">
        <f>+BN111/BM111-1</f>
        <v>8.3702729603167603E-2</v>
      </c>
      <c r="BO113" s="237">
        <f>+BO111/BN111-1</f>
        <v>7.0039776626866779E-3</v>
      </c>
      <c r="BP113" s="547"/>
      <c r="BQ113" s="237">
        <f>+BQ111/BO111-1</f>
        <v>-9.4033119329095527E-4</v>
      </c>
      <c r="BR113" s="237">
        <f>+BR111/BQ111-1</f>
        <v>-6.7082453392286134E-2</v>
      </c>
      <c r="BS113" s="237">
        <f>+BS111/BR111-1</f>
        <v>8.2865186885687558E-2</v>
      </c>
      <c r="BT113" s="237">
        <f>+BT111/BS111-1</f>
        <v>6.8325504367536816E-3</v>
      </c>
      <c r="BU113" s="547"/>
    </row>
    <row r="114" spans="2:73">
      <c r="B114" s="260" t="s">
        <v>199</v>
      </c>
      <c r="C114" s="3"/>
      <c r="D114" s="329"/>
      <c r="E114" s="329"/>
      <c r="F114" s="329"/>
      <c r="G114" s="329"/>
      <c r="H114" s="329">
        <f t="shared" ref="H114:AH114" si="127">+H111/H105</f>
        <v>2.8082726326742975E-2</v>
      </c>
      <c r="I114" s="329">
        <f t="shared" si="127"/>
        <v>2.4394382928174453E-2</v>
      </c>
      <c r="J114" s="329">
        <f t="shared" si="127"/>
        <v>3.2221791392012408E-2</v>
      </c>
      <c r="K114" s="329">
        <f t="shared" si="127"/>
        <v>5.040265611754733E-2</v>
      </c>
      <c r="L114" s="329">
        <f t="shared" si="127"/>
        <v>0.23900404833652938</v>
      </c>
      <c r="M114" s="489">
        <f t="shared" si="127"/>
        <v>9.6674085735483056E-2</v>
      </c>
      <c r="N114" s="329">
        <f t="shared" si="127"/>
        <v>0.15861018507874469</v>
      </c>
      <c r="O114" s="329">
        <f t="shared" si="127"/>
        <v>9.7697756788665879E-2</v>
      </c>
      <c r="P114" s="329">
        <f t="shared" si="127"/>
        <v>0.10354743548427081</v>
      </c>
      <c r="Q114" s="329">
        <f t="shared" si="127"/>
        <v>8.8355464759959146E-2</v>
      </c>
      <c r="R114" s="489">
        <f t="shared" si="127"/>
        <v>0.10998685188361058</v>
      </c>
      <c r="S114" s="329">
        <f t="shared" si="127"/>
        <v>9.4573986075809482E-2</v>
      </c>
      <c r="T114" s="329">
        <f t="shared" si="127"/>
        <v>0.10899395063549944</v>
      </c>
      <c r="U114" s="329">
        <f t="shared" si="127"/>
        <v>0.10466934542071614</v>
      </c>
      <c r="V114" s="329">
        <f t="shared" ref="V114:AF114" si="128">+V111/V105</f>
        <v>8.3196203079801148E-2</v>
      </c>
      <c r="W114" s="489">
        <f t="shared" si="128"/>
        <v>9.7247934706877676E-2</v>
      </c>
      <c r="X114" s="329">
        <f t="shared" si="128"/>
        <v>0.1141887553884252</v>
      </c>
      <c r="Y114" s="329">
        <f t="shared" si="128"/>
        <v>0.12576786844852073</v>
      </c>
      <c r="Z114" s="329">
        <f t="shared" si="128"/>
        <v>0.11904112883829071</v>
      </c>
      <c r="AA114" s="329">
        <f t="shared" si="128"/>
        <v>9.5884833502980951E-2</v>
      </c>
      <c r="AB114" s="489">
        <f t="shared" si="128"/>
        <v>0.11304390575645969</v>
      </c>
      <c r="AC114" s="329">
        <f t="shared" si="128"/>
        <v>0.11797499487599918</v>
      </c>
      <c r="AD114" s="329">
        <f t="shared" si="128"/>
        <v>0.13209387150293189</v>
      </c>
      <c r="AE114" s="329">
        <f t="shared" si="128"/>
        <v>0.12538031387168541</v>
      </c>
      <c r="AF114" s="329">
        <f t="shared" si="128"/>
        <v>0.12192300977653631</v>
      </c>
      <c r="AG114" s="489">
        <f t="shared" si="127"/>
        <v>0.12437489868388454</v>
      </c>
      <c r="AH114" s="329">
        <f t="shared" si="127"/>
        <v>0.14147763408946365</v>
      </c>
      <c r="AI114" s="329">
        <f t="shared" ref="AI114:BP114" si="129">+AI111/AI105</f>
        <v>0.16626900679391782</v>
      </c>
      <c r="AJ114" s="329">
        <f t="shared" si="129"/>
        <v>0.1630073756840352</v>
      </c>
      <c r="AK114" s="329">
        <f t="shared" si="129"/>
        <v>0.14993946570754424</v>
      </c>
      <c r="AL114" s="489">
        <f t="shared" si="129"/>
        <v>0.15526166139309722</v>
      </c>
      <c r="AM114" s="329">
        <f t="shared" si="129"/>
        <v>0.177623008744072</v>
      </c>
      <c r="AN114" s="329">
        <f t="shared" si="129"/>
        <v>0.18837060298526354</v>
      </c>
      <c r="AO114" s="329">
        <f t="shared" si="129"/>
        <v>0.20870087351852118</v>
      </c>
      <c r="AP114" s="237">
        <f t="shared" si="129"/>
        <v>0.18931270525857635</v>
      </c>
      <c r="AQ114" s="480">
        <f t="shared" si="129"/>
        <v>0.19159176995315688</v>
      </c>
      <c r="AR114" s="237">
        <f t="shared" si="129"/>
        <v>0.18376709195343871</v>
      </c>
      <c r="AS114" s="237">
        <f t="shared" si="129"/>
        <v>0.19355050610611807</v>
      </c>
      <c r="AT114" s="237">
        <f t="shared" si="129"/>
        <v>0.17620686712371633</v>
      </c>
      <c r="AU114" s="237">
        <f t="shared" si="129"/>
        <v>0.14959968343280264</v>
      </c>
      <c r="AV114" s="480">
        <f t="shared" si="129"/>
        <v>0.17501820947242888</v>
      </c>
      <c r="AW114" s="237">
        <f t="shared" si="129"/>
        <v>0.16035572734121656</v>
      </c>
      <c r="AX114" s="237">
        <f t="shared" si="129"/>
        <v>0.16644610391656425</v>
      </c>
      <c r="AY114" s="237">
        <f t="shared" si="129"/>
        <v>0.11953148966772781</v>
      </c>
      <c r="AZ114" s="237">
        <f t="shared" si="129"/>
        <v>0.11324220044039987</v>
      </c>
      <c r="BA114" s="480">
        <f t="shared" si="129"/>
        <v>0.13897393234212885</v>
      </c>
      <c r="BB114" s="237">
        <f t="shared" si="129"/>
        <v>0.12136947162617442</v>
      </c>
      <c r="BC114" s="237">
        <f t="shared" si="129"/>
        <v>0.13177974046953955</v>
      </c>
      <c r="BD114" s="237">
        <f t="shared" si="129"/>
        <v>0.1145750836229467</v>
      </c>
      <c r="BE114" s="237">
        <f t="shared" si="129"/>
        <v>0.12675424602679169</v>
      </c>
      <c r="BF114" s="480">
        <f t="shared" si="129"/>
        <v>0.12358665271733528</v>
      </c>
      <c r="BG114" s="237">
        <f t="shared" si="129"/>
        <v>0.12913489938312414</v>
      </c>
      <c r="BH114" s="237">
        <f t="shared" si="129"/>
        <v>0.12876704654213722</v>
      </c>
      <c r="BI114" s="237">
        <f t="shared" ref="BI114" si="130">+BI111/BI105</f>
        <v>0.12078821802165535</v>
      </c>
      <c r="BJ114" s="237">
        <f t="shared" si="129"/>
        <v>0.10707122748265774</v>
      </c>
      <c r="BK114" s="480">
        <f t="shared" si="129"/>
        <v>0.121348834720875</v>
      </c>
      <c r="BL114" s="237">
        <f t="shared" si="129"/>
        <v>0.14000000000000001</v>
      </c>
      <c r="BM114" s="237">
        <f t="shared" si="129"/>
        <v>0.13</v>
      </c>
      <c r="BN114" s="237">
        <f t="shared" si="129"/>
        <v>0.14000000000000001</v>
      </c>
      <c r="BO114" s="237">
        <f t="shared" si="129"/>
        <v>0.14000000000000001</v>
      </c>
      <c r="BP114" s="480">
        <f t="shared" si="129"/>
        <v>0.13750935529034602</v>
      </c>
      <c r="BQ114" s="237">
        <f t="shared" ref="BQ114:BU114" si="131">+BQ111/BQ105</f>
        <v>0.14000000000000001</v>
      </c>
      <c r="BR114" s="237">
        <f t="shared" si="131"/>
        <v>0.13</v>
      </c>
      <c r="BS114" s="237">
        <f t="shared" si="131"/>
        <v>0.14000000000000001</v>
      </c>
      <c r="BT114" s="237">
        <f t="shared" si="131"/>
        <v>0.14000000000000001</v>
      </c>
      <c r="BU114" s="480">
        <f t="shared" si="131"/>
        <v>0.13750825202573486</v>
      </c>
    </row>
    <row r="115" spans="2:73" ht="14.65" thickBot="1">
      <c r="B115" s="318" t="s">
        <v>200</v>
      </c>
      <c r="C115" s="319"/>
      <c r="D115" s="348"/>
      <c r="E115" s="348"/>
      <c r="F115" s="348"/>
      <c r="G115" s="348"/>
      <c r="H115" s="348"/>
      <c r="I115" s="349"/>
      <c r="J115" s="349"/>
      <c r="K115" s="349"/>
      <c r="L115" s="349"/>
      <c r="M115" s="554"/>
      <c r="N115" s="348"/>
      <c r="O115" s="350"/>
      <c r="P115" s="350"/>
      <c r="Q115" s="350"/>
      <c r="R115" s="553"/>
      <c r="S115" s="350"/>
      <c r="T115" s="350"/>
      <c r="U115" s="350"/>
      <c r="V115" s="350"/>
      <c r="W115" s="551"/>
      <c r="X115" s="350"/>
      <c r="Y115" s="350"/>
      <c r="Z115" s="350"/>
      <c r="AA115" s="350"/>
      <c r="AB115" s="551"/>
      <c r="AC115" s="350"/>
      <c r="AD115" s="350"/>
      <c r="AE115" s="350"/>
      <c r="AF115" s="350"/>
      <c r="AG115" s="551"/>
      <c r="AH115" s="350"/>
      <c r="AI115" s="350"/>
      <c r="AJ115" s="350"/>
      <c r="AK115" s="350"/>
      <c r="AL115" s="551"/>
      <c r="AM115" s="350"/>
      <c r="AN115" s="350"/>
      <c r="AO115" s="350"/>
      <c r="AP115" s="320"/>
      <c r="AQ115" s="548"/>
      <c r="AR115" s="320"/>
      <c r="AS115" s="320"/>
      <c r="AT115" s="320"/>
      <c r="AU115" s="320"/>
      <c r="AV115" s="548"/>
      <c r="AW115" s="320"/>
      <c r="AX115" s="320"/>
      <c r="AY115" s="320"/>
      <c r="AZ115" s="320"/>
      <c r="BA115" s="548"/>
      <c r="BB115" s="320"/>
      <c r="BC115" s="320"/>
      <c r="BD115" s="320"/>
      <c r="BE115" s="320"/>
      <c r="BF115" s="548"/>
      <c r="BG115" s="320"/>
      <c r="BH115" s="320"/>
      <c r="BI115" s="320"/>
      <c r="BJ115" s="320">
        <v>0.14000000000000001</v>
      </c>
      <c r="BK115" s="548"/>
      <c r="BL115" s="320">
        <v>0.14000000000000001</v>
      </c>
      <c r="BM115" s="320">
        <v>0.13</v>
      </c>
      <c r="BN115" s="320">
        <v>0.14000000000000001</v>
      </c>
      <c r="BO115" s="320">
        <v>0.14000000000000001</v>
      </c>
      <c r="BP115" s="548"/>
      <c r="BQ115" s="320">
        <v>0.14000000000000001</v>
      </c>
      <c r="BR115" s="320">
        <v>0.13</v>
      </c>
      <c r="BS115" s="320">
        <v>0.14000000000000001</v>
      </c>
      <c r="BT115" s="320">
        <v>0.14000000000000001</v>
      </c>
      <c r="BU115" s="548"/>
    </row>
    <row r="116" spans="2:73">
      <c r="BB116" s="220"/>
      <c r="BC116" s="220"/>
      <c r="BD116" s="220"/>
      <c r="BE116" s="220"/>
      <c r="BF116" s="220"/>
      <c r="BG116" s="220"/>
      <c r="BH116" s="220"/>
      <c r="BI116" s="220"/>
      <c r="BJ116" s="220"/>
      <c r="BK116" s="220"/>
      <c r="BL116" s="220"/>
      <c r="BM116" s="220"/>
      <c r="BN116" s="220"/>
      <c r="BO116" s="220"/>
      <c r="BP116" s="220"/>
      <c r="BQ116" s="220"/>
      <c r="BR116" s="220"/>
      <c r="BS116" s="220"/>
      <c r="BT116" s="220"/>
      <c r="BU116" s="220"/>
    </row>
    <row r="117" spans="2:73">
      <c r="BB117" s="220"/>
      <c r="BC117" s="220"/>
      <c r="BD117" s="220"/>
      <c r="BE117" s="220"/>
      <c r="BF117" s="220"/>
      <c r="BG117" s="220"/>
      <c r="BH117" s="220"/>
      <c r="BI117" s="220"/>
      <c r="BJ117" s="220"/>
      <c r="BK117" s="220"/>
      <c r="BL117" s="220"/>
      <c r="BM117" s="220"/>
      <c r="BN117" s="220"/>
      <c r="BO117" s="220"/>
      <c r="BP117" s="220"/>
      <c r="BQ117" s="220"/>
      <c r="BR117" s="220"/>
      <c r="BS117" s="220"/>
      <c r="BT117" s="220"/>
      <c r="BU117" s="220"/>
    </row>
  </sheetData>
  <pageMargins left="0.7" right="0.7" top="0.75" bottom="0.75" header="0.3" footer="0.3"/>
  <pageSetup scale="49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H182"/>
  <sheetViews>
    <sheetView showGridLines="0" tabSelected="1" view="pageBreakPreview" zoomScale="80" zoomScaleNormal="80" zoomScaleSheetLayoutView="80" workbookViewId="0">
      <pane xSplit="2" ySplit="5" topLeftCell="AY6" activePane="bottomRight" state="frozen"/>
      <selection pane="topRight" activeCell="C1" sqref="C1"/>
      <selection pane="bottomLeft" activeCell="A6" sqref="A6"/>
      <selection pane="bottomRight" activeCell="BG7" sqref="BG7"/>
    </sheetView>
  </sheetViews>
  <sheetFormatPr defaultRowHeight="14.25" outlineLevelRow="2" outlineLevelCol="2"/>
  <cols>
    <col min="1" max="1" width="4.265625" customWidth="1"/>
    <col min="2" max="2" width="44.73046875" customWidth="1"/>
    <col min="3" max="3" width="1.73046875" customWidth="1"/>
    <col min="4" max="5" width="11.265625" style="220" hidden="1" customWidth="1" outlineLevel="2"/>
    <col min="6" max="6" width="11.3984375" style="220" hidden="1" customWidth="1" outlineLevel="2"/>
    <col min="7" max="7" width="11.265625" style="220" hidden="1" customWidth="1" outlineLevel="2"/>
    <col min="8" max="8" width="12.3984375" style="220" hidden="1" customWidth="1" collapsed="1"/>
    <col min="9" max="10" width="11.265625" style="220" hidden="1" customWidth="1" outlineLevel="1"/>
    <col min="11" max="11" width="10.265625" style="220" hidden="1" customWidth="1" outlineLevel="1"/>
    <col min="12" max="12" width="12.265625" style="220" hidden="1" customWidth="1" outlineLevel="1"/>
    <col min="13" max="13" width="12.265625" style="220" hidden="1" customWidth="1" collapsed="1"/>
    <col min="14" max="14" width="12.265625" style="220" hidden="1" customWidth="1" outlineLevel="1"/>
    <col min="15" max="17" width="13.3984375" style="220" hidden="1" customWidth="1" outlineLevel="1"/>
    <col min="18" max="18" width="13.3984375" style="220" hidden="1" customWidth="1" collapsed="1"/>
    <col min="19" max="19" width="14" style="220" hidden="1" customWidth="1" outlineLevel="1"/>
    <col min="20" max="20" width="13.73046875" style="220" hidden="1" customWidth="1" outlineLevel="1"/>
    <col min="21" max="21" width="13.265625" style="220" hidden="1" customWidth="1" outlineLevel="1"/>
    <col min="22" max="22" width="14" style="220" hidden="1" customWidth="1" outlineLevel="1"/>
    <col min="23" max="23" width="13.3984375" style="220" hidden="1" customWidth="1" collapsed="1"/>
    <col min="24" max="24" width="13.73046875" style="220" hidden="1" customWidth="1" outlineLevel="1"/>
    <col min="25" max="25" width="13.3984375" style="220" hidden="1" customWidth="1" outlineLevel="1"/>
    <col min="26" max="26" width="13.73046875" style="220" hidden="1" customWidth="1" outlineLevel="1"/>
    <col min="27" max="27" width="13.3984375" style="220" hidden="1" customWidth="1" outlineLevel="1"/>
    <col min="28" max="28" width="13.3984375" style="220" hidden="1" customWidth="1" collapsed="1"/>
    <col min="29" max="29" width="13.59765625" style="220" hidden="1" customWidth="1" outlineLevel="1"/>
    <col min="30" max="31" width="13.3984375" style="220" hidden="1" customWidth="1" outlineLevel="1"/>
    <col min="32" max="32" width="11.265625" style="220" hidden="1" customWidth="1" outlineLevel="1"/>
    <col min="33" max="33" width="12.265625" style="220" hidden="1" customWidth="1" collapsed="1"/>
    <col min="34" max="34" width="11.265625" style="220" hidden="1" customWidth="1" outlineLevel="1"/>
    <col min="35" max="35" width="11" style="220" hidden="1" customWidth="1" outlineLevel="1"/>
    <col min="36" max="36" width="16.265625" style="220" hidden="1" customWidth="1" outlineLevel="1"/>
    <col min="37" max="37" width="11.265625" style="220" hidden="1" customWidth="1" outlineLevel="1"/>
    <col min="38" max="38" width="10.73046875" style="220" hidden="1" customWidth="1" collapsed="1"/>
    <col min="39" max="39" width="11.265625" style="220" hidden="1" customWidth="1" outlineLevel="1"/>
    <col min="40" max="40" width="11" style="220" hidden="1" customWidth="1" outlineLevel="1"/>
    <col min="41" max="42" width="11.265625" style="220" hidden="1" customWidth="1" outlineLevel="1"/>
    <col min="43" max="43" width="10" style="220" bestFit="1" customWidth="1" collapsed="1"/>
    <col min="44" max="44" width="11.59765625" style="220" hidden="1" customWidth="1" outlineLevel="1"/>
    <col min="45" max="45" width="11.3984375" style="220" hidden="1" customWidth="1" outlineLevel="1"/>
    <col min="46" max="46" width="11.59765625" style="220" hidden="1" customWidth="1" outlineLevel="1"/>
    <col min="47" max="47" width="11.265625" style="220" hidden="1" customWidth="1" outlineLevel="1"/>
    <col min="48" max="48" width="12.265625" style="220" bestFit="1" customWidth="1" collapsed="1"/>
    <col min="49" max="49" width="11.265625" style="220" customWidth="1" outlineLevel="1"/>
    <col min="50" max="50" width="11" style="220" customWidth="1" outlineLevel="1"/>
    <col min="51" max="52" width="11.265625" style="220" customWidth="1" outlineLevel="1"/>
    <col min="53" max="53" width="12.265625" style="220" bestFit="1" customWidth="1"/>
    <col min="54" max="54" width="11.1328125" bestFit="1" customWidth="1" outlineLevel="1"/>
    <col min="55" max="55" width="11.73046875" customWidth="1" outlineLevel="1"/>
    <col min="56" max="56" width="12" customWidth="1" outlineLevel="1"/>
    <col min="57" max="57" width="11.73046875" customWidth="1" outlineLevel="1"/>
    <col min="58" max="58" width="11.59765625" bestFit="1" customWidth="1"/>
    <col min="59" max="59" width="12.265625" bestFit="1" customWidth="1" outlineLevel="1"/>
    <col min="60" max="60" width="11.73046875" customWidth="1" outlineLevel="1"/>
    <col min="61" max="61" width="12" customWidth="1" outlineLevel="1"/>
    <col min="62" max="62" width="11.73046875" customWidth="1" outlineLevel="1"/>
    <col min="63" max="63" width="12.3984375" bestFit="1" customWidth="1"/>
    <col min="64" max="64" width="13.265625" bestFit="1" customWidth="1" outlineLevel="1"/>
    <col min="65" max="65" width="11.73046875" customWidth="1" outlineLevel="1"/>
    <col min="66" max="66" width="12" customWidth="1" outlineLevel="1"/>
    <col min="67" max="67" width="11.73046875" customWidth="1" outlineLevel="1"/>
    <col min="68" max="68" width="11.59765625" bestFit="1" customWidth="1"/>
    <col min="69" max="69" width="13.265625" bestFit="1" customWidth="1" outlineLevel="1"/>
    <col min="70" max="70" width="11.73046875" customWidth="1" outlineLevel="1"/>
    <col min="71" max="71" width="12" customWidth="1" outlineLevel="1"/>
    <col min="72" max="72" width="11.73046875" customWidth="1" outlineLevel="1"/>
    <col min="73" max="73" width="11.59765625" bestFit="1" customWidth="1"/>
  </cols>
  <sheetData>
    <row r="1" spans="2:86">
      <c r="CB1" s="106"/>
      <c r="CC1" s="106"/>
      <c r="CD1" s="106"/>
      <c r="CE1" s="106"/>
      <c r="CF1" s="106"/>
      <c r="CG1" s="106"/>
      <c r="CH1" s="106"/>
    </row>
    <row r="2" spans="2:86" s="106" customFormat="1" thickBot="1">
      <c r="B2" s="573"/>
      <c r="C2" s="574"/>
      <c r="D2" s="575"/>
      <c r="E2" s="575"/>
      <c r="F2" s="574"/>
      <c r="G2" s="574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  <c r="AM2" s="576"/>
      <c r="AN2" s="576"/>
      <c r="AO2" s="576"/>
      <c r="AP2" s="576"/>
      <c r="AQ2" s="576"/>
      <c r="AR2" s="576"/>
      <c r="AS2" s="576"/>
      <c r="AT2" s="576"/>
      <c r="AU2" s="576"/>
      <c r="AV2" s="576"/>
      <c r="AW2" s="576"/>
      <c r="AX2" s="576"/>
      <c r="AY2" s="576"/>
      <c r="AZ2" s="576"/>
      <c r="BA2" s="576"/>
      <c r="BB2" s="576"/>
      <c r="BC2" s="576"/>
      <c r="BD2" s="576"/>
      <c r="BE2" s="576"/>
      <c r="BF2" s="576"/>
      <c r="BG2" s="576"/>
      <c r="BH2" s="576"/>
      <c r="BI2" s="576"/>
      <c r="BJ2" s="576"/>
      <c r="BK2" s="576"/>
      <c r="BL2" s="576"/>
      <c r="BM2" s="576"/>
      <c r="BN2" s="576"/>
      <c r="BO2" s="576"/>
      <c r="BP2" s="576"/>
      <c r="BQ2" s="576"/>
      <c r="BR2" s="576"/>
      <c r="BS2" s="576"/>
      <c r="BT2" s="576"/>
      <c r="BU2" s="576"/>
    </row>
    <row r="3" spans="2:86" s="106" customFormat="1" ht="17.649999999999999">
      <c r="B3" s="223" t="s">
        <v>256</v>
      </c>
      <c r="C3" s="107"/>
      <c r="D3" s="109"/>
      <c r="E3" s="109"/>
      <c r="F3" s="110"/>
      <c r="G3" s="110"/>
      <c r="H3" s="108"/>
      <c r="I3" s="109"/>
      <c r="J3" s="109"/>
      <c r="K3" s="110"/>
      <c r="L3" s="111"/>
      <c r="M3" s="108"/>
      <c r="N3" s="109"/>
      <c r="O3" s="109"/>
      <c r="P3" s="110"/>
      <c r="Q3" s="110"/>
      <c r="R3" s="108"/>
      <c r="S3" s="109"/>
      <c r="T3" s="109"/>
      <c r="U3" s="110"/>
      <c r="V3" s="110"/>
      <c r="W3" s="108"/>
      <c r="X3" s="109"/>
      <c r="Y3" s="109"/>
      <c r="Z3" s="110"/>
      <c r="AA3" s="110"/>
      <c r="AB3" s="108"/>
      <c r="AC3" s="109"/>
      <c r="AD3" s="109"/>
      <c r="AE3" s="110"/>
      <c r="AF3" s="110"/>
      <c r="AG3" s="108"/>
      <c r="AH3" s="109"/>
      <c r="AI3" s="109"/>
      <c r="AJ3" s="110"/>
      <c r="AK3" s="110"/>
      <c r="AL3" s="108"/>
      <c r="AM3" s="109"/>
      <c r="AN3" s="109"/>
      <c r="AO3" s="110"/>
      <c r="AP3" s="110"/>
      <c r="AQ3" s="108"/>
      <c r="AR3" s="109"/>
      <c r="AS3" s="109"/>
      <c r="AT3" s="110"/>
      <c r="AU3" s="110"/>
      <c r="AV3" s="108"/>
      <c r="AW3" s="109"/>
      <c r="AX3" s="109"/>
      <c r="AY3" s="110"/>
      <c r="AZ3" s="110"/>
      <c r="BA3" s="108"/>
      <c r="BB3" s="109"/>
      <c r="BC3" s="109"/>
      <c r="BD3" s="110"/>
      <c r="BE3" s="110"/>
      <c r="BF3" s="108"/>
      <c r="BG3" s="109"/>
      <c r="BH3" s="109"/>
      <c r="BI3" s="110"/>
      <c r="BJ3" s="110"/>
      <c r="BK3" s="108"/>
      <c r="BL3" s="109"/>
      <c r="BM3" s="109"/>
      <c r="BN3" s="110"/>
      <c r="BO3" s="110"/>
      <c r="BP3" s="108"/>
      <c r="BQ3" s="109"/>
      <c r="BR3" s="109"/>
      <c r="BS3" s="110"/>
      <c r="BT3" s="110"/>
      <c r="BU3" s="108"/>
      <c r="CC3" s="292" t="s">
        <v>138</v>
      </c>
    </row>
    <row r="4" spans="2:86" s="106" customFormat="1" ht="13.15">
      <c r="B4" s="224"/>
      <c r="C4" s="224"/>
      <c r="D4" s="187" t="str">
        <f>+IS!D22</f>
        <v>2014A</v>
      </c>
      <c r="E4" s="188"/>
      <c r="F4" s="189"/>
      <c r="G4" s="189"/>
      <c r="H4" s="507" t="s">
        <v>206</v>
      </c>
      <c r="I4" s="187" t="str">
        <f>+IS!I22</f>
        <v>2015A</v>
      </c>
      <c r="J4" s="188"/>
      <c r="K4" s="189"/>
      <c r="L4" s="189"/>
      <c r="M4" s="507" t="s">
        <v>206</v>
      </c>
      <c r="N4" s="187" t="str">
        <f>+IS!N22</f>
        <v>2016A</v>
      </c>
      <c r="O4" s="188"/>
      <c r="P4" s="189"/>
      <c r="Q4" s="189"/>
      <c r="R4" s="507" t="s">
        <v>206</v>
      </c>
      <c r="S4" s="187" t="str">
        <f>+IS!S22</f>
        <v>2017A</v>
      </c>
      <c r="T4" s="188"/>
      <c r="U4" s="189"/>
      <c r="V4" s="189"/>
      <c r="W4" s="507" t="s">
        <v>206</v>
      </c>
      <c r="X4" s="187" t="str">
        <f>+IS!X22</f>
        <v xml:space="preserve"> 2018A</v>
      </c>
      <c r="Y4" s="188"/>
      <c r="Z4" s="189"/>
      <c r="AA4" s="189"/>
      <c r="AB4" s="507" t="s">
        <v>206</v>
      </c>
      <c r="AC4" s="187" t="str">
        <f>+IS!AC22</f>
        <v xml:space="preserve"> 2019A</v>
      </c>
      <c r="AD4" s="188"/>
      <c r="AE4" s="189"/>
      <c r="AF4" s="189"/>
      <c r="AG4" s="507" t="s">
        <v>206</v>
      </c>
      <c r="AH4" s="187" t="str">
        <f>+IS!AH22</f>
        <v xml:space="preserve"> 2020A</v>
      </c>
      <c r="AI4" s="188"/>
      <c r="AJ4" s="189"/>
      <c r="AK4" s="189"/>
      <c r="AL4" s="507" t="s">
        <v>206</v>
      </c>
      <c r="AM4" s="189"/>
      <c r="AN4" s="188"/>
      <c r="AO4" s="189"/>
      <c r="AP4" s="189"/>
      <c r="AQ4" s="507" t="s">
        <v>206</v>
      </c>
      <c r="AR4" s="187" t="str">
        <f>+IS!AR22</f>
        <v xml:space="preserve"> 2022A</v>
      </c>
      <c r="AS4" s="188"/>
      <c r="AT4" s="189"/>
      <c r="AU4" s="189"/>
      <c r="AV4" s="507" t="s">
        <v>206</v>
      </c>
      <c r="AW4" s="187" t="str">
        <f>+IS!AW22</f>
        <v xml:space="preserve"> 2023A</v>
      </c>
      <c r="AX4" s="188"/>
      <c r="AY4" s="189"/>
      <c r="AZ4" s="189"/>
      <c r="BA4" s="507" t="s">
        <v>206</v>
      </c>
      <c r="BB4" s="187" t="str">
        <f>+IS!BB22</f>
        <v xml:space="preserve"> 2024A</v>
      </c>
      <c r="BC4" s="188"/>
      <c r="BD4" s="189"/>
      <c r="BE4" s="189"/>
      <c r="BF4" s="507" t="s">
        <v>206</v>
      </c>
      <c r="BG4" s="872" t="str">
        <f>+IS!BG22</f>
        <v xml:space="preserve"> 2025E</v>
      </c>
      <c r="BH4" s="873"/>
      <c r="BI4" s="873"/>
      <c r="BJ4" s="189"/>
      <c r="BK4" s="507" t="s">
        <v>206</v>
      </c>
      <c r="BL4" s="187" t="str">
        <f>+IS!BL22</f>
        <v xml:space="preserve"> 2026E</v>
      </c>
      <c r="BM4" s="188"/>
      <c r="BN4" s="189"/>
      <c r="BO4" s="189"/>
      <c r="BP4" s="507" t="s">
        <v>206</v>
      </c>
      <c r="BQ4" s="187" t="str">
        <f>+IS!BQ22</f>
        <v xml:space="preserve"> 2027E</v>
      </c>
      <c r="BR4" s="188"/>
      <c r="BS4" s="189"/>
      <c r="BT4" s="189"/>
      <c r="BU4" s="507" t="s">
        <v>206</v>
      </c>
      <c r="CC4" s="292" t="s">
        <v>139</v>
      </c>
    </row>
    <row r="5" spans="2:86" s="106" customFormat="1" ht="13.15">
      <c r="B5" s="225"/>
      <c r="C5" s="245"/>
      <c r="D5" s="375" t="str">
        <f>+IS!D23</f>
        <v>1Q-Mar 14A</v>
      </c>
      <c r="E5" s="375" t="str">
        <f>+IS!E23</f>
        <v>2Q-Jun 14A</v>
      </c>
      <c r="F5" s="375" t="str">
        <f>+IS!F23</f>
        <v>3Q-Sep 14A</v>
      </c>
      <c r="G5" s="375" t="str">
        <f>+IS!G23</f>
        <v>4Q-Dec 14A</v>
      </c>
      <c r="H5" s="508" t="str">
        <f>+IS!H23</f>
        <v>2014A</v>
      </c>
      <c r="I5" s="375" t="str">
        <f>+IS!I23</f>
        <v>1Q-Mar 15</v>
      </c>
      <c r="J5" s="375" t="str">
        <f>+IS!J23</f>
        <v>2Q-Jun 15</v>
      </c>
      <c r="K5" s="375" t="str">
        <f>+IS!K23</f>
        <v>3Q-Sep 15</v>
      </c>
      <c r="L5" s="375" t="str">
        <f>+IS!L23</f>
        <v>4Q-Dec 15</v>
      </c>
      <c r="M5" s="508" t="str">
        <f>+IS!M23</f>
        <v>2015A</v>
      </c>
      <c r="N5" s="375" t="str">
        <f>+IS!N23</f>
        <v>1Q-Mar 16</v>
      </c>
      <c r="O5" s="375" t="str">
        <f>+IS!O23</f>
        <v>2Q-Jun 16</v>
      </c>
      <c r="P5" s="375" t="str">
        <f>+IS!P23</f>
        <v>3Q-Sep 16</v>
      </c>
      <c r="Q5" s="375" t="str">
        <f>+IS!Q23</f>
        <v>4Q-Dec 16</v>
      </c>
      <c r="R5" s="508" t="str">
        <f>+IS!R23</f>
        <v>2016A</v>
      </c>
      <c r="S5" s="375" t="str">
        <f>+IS!S23</f>
        <v>1Q-Mar 17A</v>
      </c>
      <c r="T5" s="375" t="str">
        <f>+IS!T23</f>
        <v>2Q-Jun 17A</v>
      </c>
      <c r="U5" s="375" t="str">
        <f>+IS!U23</f>
        <v>3Q-Sep 17A</v>
      </c>
      <c r="V5" s="375" t="str">
        <f>+IS!V23</f>
        <v>4Q-Dec 17A</v>
      </c>
      <c r="W5" s="508" t="str">
        <f>+IS!W23</f>
        <v>2017A</v>
      </c>
      <c r="X5" s="375" t="str">
        <f>+IS!X23</f>
        <v>1Q-Mar 18A</v>
      </c>
      <c r="Y5" s="375" t="str">
        <f>+IS!Y23</f>
        <v>2Q-Jun 18A</v>
      </c>
      <c r="Z5" s="375" t="str">
        <f>+IS!Z23</f>
        <v>3Q-Sep 18A</v>
      </c>
      <c r="AA5" s="375" t="str">
        <f>+IS!AA23</f>
        <v>4Q-Dec 18A</v>
      </c>
      <c r="AB5" s="508" t="str">
        <f>+IS!AB23</f>
        <v>2018A</v>
      </c>
      <c r="AC5" s="375" t="str">
        <f>+IS!AC23</f>
        <v>1Q-Mar 19A</v>
      </c>
      <c r="AD5" s="375" t="str">
        <f>+IS!AD23</f>
        <v>2Q-Jun 19A</v>
      </c>
      <c r="AE5" s="375" t="str">
        <f>+IS!AE23</f>
        <v>3Q-Sep 19A</v>
      </c>
      <c r="AF5" s="375" t="str">
        <f>+IS!AF23</f>
        <v>4Q-Dec 19A</v>
      </c>
      <c r="AG5" s="508" t="str">
        <f>+IS!AG23</f>
        <v>2019A</v>
      </c>
      <c r="AH5" s="375" t="str">
        <f>+IS!AH23</f>
        <v>1Q-Mar 20A</v>
      </c>
      <c r="AI5" s="375" t="str">
        <f>+IS!AI23</f>
        <v>2Q-Jun 20A</v>
      </c>
      <c r="AJ5" s="375" t="str">
        <f>+IS!AJ23</f>
        <v>3Q-Sep 20A</v>
      </c>
      <c r="AK5" s="375" t="str">
        <f>+IS!AK23</f>
        <v>4Q-Dec 20A</v>
      </c>
      <c r="AL5" s="508" t="str">
        <f>+IS!AL23</f>
        <v>2020A</v>
      </c>
      <c r="AM5" s="375" t="str">
        <f>+IS!AM23</f>
        <v>1Q-Mar 21A</v>
      </c>
      <c r="AN5" s="375" t="str">
        <f>+IS!AN23</f>
        <v>2Q-Jun 21A</v>
      </c>
      <c r="AO5" s="375" t="str">
        <f>+IS!AO23</f>
        <v>3Q-Sep 21A</v>
      </c>
      <c r="AP5" s="375" t="str">
        <f>+IS!AP23</f>
        <v>4Q-Dec 21A</v>
      </c>
      <c r="AQ5" s="508" t="str">
        <f>+IS!AQ23</f>
        <v>2021A</v>
      </c>
      <c r="AR5" s="375" t="str">
        <f>+IS!AR23</f>
        <v>1Q-Mar 22A</v>
      </c>
      <c r="AS5" s="375" t="str">
        <f>+IS!AS23</f>
        <v>2Q-Jun 22A</v>
      </c>
      <c r="AT5" s="375" t="str">
        <f>+IS!AT23</f>
        <v>3Q-Sep 22A</v>
      </c>
      <c r="AU5" s="375" t="str">
        <f>+IS!AU23</f>
        <v>4Q-Dec 22A</v>
      </c>
      <c r="AV5" s="508" t="str">
        <f>+IS!AV23</f>
        <v>2022A</v>
      </c>
      <c r="AW5" s="375" t="str">
        <f>+IS!AW23</f>
        <v>1Q-Mar 23A</v>
      </c>
      <c r="AX5" s="375" t="str">
        <f>+IS!AX23</f>
        <v>2Q-Jun 23A</v>
      </c>
      <c r="AY5" s="375" t="str">
        <f>+IS!AY23</f>
        <v>3Q-Sep 23A</v>
      </c>
      <c r="AZ5" s="375" t="str">
        <f>+IS!AZ23</f>
        <v>4Q-Dec 23A</v>
      </c>
      <c r="BA5" s="508" t="str">
        <f>+IS!BA23</f>
        <v>2023A</v>
      </c>
      <c r="BB5" s="375" t="str">
        <f>+IS!BB23</f>
        <v>1Q-Mar 24A</v>
      </c>
      <c r="BC5" s="375" t="str">
        <f>+IS!BC23</f>
        <v>2Q-Jun 24A</v>
      </c>
      <c r="BD5" s="375" t="str">
        <f>+IS!BD23</f>
        <v>3Q-Sep 24A</v>
      </c>
      <c r="BE5" s="375" t="str">
        <f>+IS!BE23</f>
        <v>4Q-Dec 24A</v>
      </c>
      <c r="BF5" s="508" t="str">
        <f>+IS!BF23</f>
        <v>2024A</v>
      </c>
      <c r="BG5" s="375" t="str">
        <f>+IS!BG23</f>
        <v>1Q-Mar 25A</v>
      </c>
      <c r="BH5" s="375" t="str">
        <f>+IS!BH23</f>
        <v>2Q-Jun 25A</v>
      </c>
      <c r="BI5" s="375" t="str">
        <f>+IS!BI23</f>
        <v>3Q-Sep 25A</v>
      </c>
      <c r="BJ5" s="375" t="str">
        <f>+IS!BJ23</f>
        <v>4Q-Dec 25A</v>
      </c>
      <c r="BK5" s="508" t="str">
        <f>+IS!BK23</f>
        <v>2025A</v>
      </c>
      <c r="BL5" s="375" t="str">
        <f>+IS!BL23</f>
        <v>1Q-Mar 26E</v>
      </c>
      <c r="BM5" s="375" t="str">
        <f>+IS!BM23</f>
        <v>2Q-Jun 26E</v>
      </c>
      <c r="BN5" s="375" t="str">
        <f>+IS!BN23</f>
        <v>3Q-Sep 26E</v>
      </c>
      <c r="BO5" s="375" t="str">
        <f>+IS!BO23</f>
        <v>4Q-Dec 26E</v>
      </c>
      <c r="BP5" s="508" t="str">
        <f>+IS!BP23</f>
        <v xml:space="preserve"> 2026E</v>
      </c>
      <c r="BQ5" s="375" t="str">
        <f>+IS!BQ23</f>
        <v>1Q-Mar 27E</v>
      </c>
      <c r="BR5" s="375" t="str">
        <f>+IS!BR23</f>
        <v>2Q-Jun 27E</v>
      </c>
      <c r="BS5" s="375" t="str">
        <f>+IS!BS23</f>
        <v>3Q-Sep 27E</v>
      </c>
      <c r="BT5" s="375" t="str">
        <f>+IS!BT23</f>
        <v>4Q-Dec 27E</v>
      </c>
      <c r="BU5" s="508" t="str">
        <f>+IS!BU23</f>
        <v xml:space="preserve"> 2027E</v>
      </c>
    </row>
    <row r="6" spans="2:86" s="106" customFormat="1" ht="12.75">
      <c r="B6" s="227"/>
      <c r="C6" s="227"/>
      <c r="D6" s="208"/>
      <c r="E6" s="208"/>
      <c r="F6" s="208"/>
      <c r="G6" s="208"/>
      <c r="H6" s="509"/>
      <c r="I6" s="208"/>
      <c r="J6" s="208"/>
      <c r="K6" s="208"/>
      <c r="L6" s="208"/>
      <c r="M6" s="509"/>
      <c r="N6" s="208"/>
      <c r="O6" s="208"/>
      <c r="P6" s="208"/>
      <c r="Q6" s="208"/>
      <c r="R6" s="509"/>
      <c r="S6" s="208"/>
      <c r="T6" s="208"/>
      <c r="U6" s="208"/>
      <c r="V6" s="208"/>
      <c r="W6" s="509"/>
      <c r="X6" s="208"/>
      <c r="Y6" s="208"/>
      <c r="Z6" s="208"/>
      <c r="AA6" s="208"/>
      <c r="AB6" s="509"/>
      <c r="AC6" s="208"/>
      <c r="AD6" s="208"/>
      <c r="AE6" s="208"/>
      <c r="AF6" s="208"/>
      <c r="AG6" s="509"/>
      <c r="AH6" s="208"/>
      <c r="AI6" s="208"/>
      <c r="AJ6" s="208"/>
      <c r="AK6" s="208"/>
      <c r="AL6" s="509"/>
      <c r="AM6" s="208"/>
      <c r="AN6" s="208"/>
      <c r="AO6" s="208"/>
      <c r="AP6" s="208"/>
      <c r="AQ6" s="509"/>
      <c r="AR6" s="208"/>
      <c r="AS6" s="208"/>
      <c r="AT6" s="208"/>
      <c r="AU6" s="208"/>
      <c r="AV6" s="509"/>
      <c r="AW6" s="233"/>
      <c r="AX6" s="208"/>
      <c r="AY6" s="208"/>
      <c r="AZ6" s="208"/>
      <c r="BA6" s="509"/>
      <c r="BB6" s="208"/>
      <c r="BC6" s="208"/>
      <c r="BD6" s="208"/>
      <c r="BE6" s="208"/>
      <c r="BF6" s="509"/>
      <c r="BG6" s="208"/>
      <c r="BH6" s="208"/>
      <c r="BI6" s="208"/>
      <c r="BJ6" s="208"/>
      <c r="BK6" s="509"/>
      <c r="BL6" s="208"/>
      <c r="BM6" s="208"/>
      <c r="BN6" s="208"/>
      <c r="BO6" s="208"/>
      <c r="BP6" s="509"/>
      <c r="BQ6" s="208"/>
      <c r="BR6" s="208"/>
      <c r="BS6" s="208"/>
      <c r="BT6" s="208"/>
      <c r="BU6" s="509"/>
    </row>
    <row r="7" spans="2:86" s="106" customFormat="1" ht="13.15">
      <c r="B7" s="231" t="s">
        <v>137</v>
      </c>
      <c r="C7" s="227"/>
      <c r="D7" s="196">
        <v>2860</v>
      </c>
      <c r="E7" s="196">
        <v>3097</v>
      </c>
      <c r="F7" s="414"/>
      <c r="G7" s="414"/>
      <c r="H7" s="513">
        <f>G7</f>
        <v>0</v>
      </c>
      <c r="I7" s="196">
        <v>3902</v>
      </c>
      <c r="J7" s="196">
        <v>4156</v>
      </c>
      <c r="K7" s="196">
        <v>4423</v>
      </c>
      <c r="L7" s="196">
        <v>5132</v>
      </c>
      <c r="M7" s="513">
        <f>L7</f>
        <v>5132</v>
      </c>
      <c r="N7" s="196">
        <v>5360</v>
      </c>
      <c r="O7" s="196">
        <v>5628</v>
      </c>
      <c r="P7" s="196">
        <v>5873</v>
      </c>
      <c r="Q7" s="196">
        <v>6206</v>
      </c>
      <c r="R7" s="513">
        <f>Q7</f>
        <v>6206</v>
      </c>
      <c r="S7" s="196">
        <v>6350</v>
      </c>
      <c r="T7" s="196">
        <v>6559</v>
      </c>
      <c r="U7" s="196">
        <v>6735</v>
      </c>
      <c r="V7" s="196">
        <v>7030</v>
      </c>
      <c r="W7" s="513">
        <f>V7</f>
        <v>7030</v>
      </c>
      <c r="X7" s="602">
        <v>7113</v>
      </c>
      <c r="Y7" s="602">
        <v>7216</v>
      </c>
      <c r="Z7" s="602">
        <v>7399</v>
      </c>
      <c r="AA7" s="602">
        <v>7808</v>
      </c>
      <c r="AB7" s="513">
        <f>AA7</f>
        <v>7808</v>
      </c>
      <c r="AC7" s="653">
        <v>7934</v>
      </c>
      <c r="AD7" s="653">
        <f>8400</f>
        <v>8400</v>
      </c>
      <c r="AE7" s="653">
        <f>8625</f>
        <v>8625</v>
      </c>
      <c r="AF7" s="653">
        <v>9022</v>
      </c>
      <c r="AG7" s="607">
        <f>AF7</f>
        <v>9022</v>
      </c>
      <c r="AH7" s="653">
        <f>8075</f>
        <v>8075</v>
      </c>
      <c r="AI7" s="653">
        <v>8223</v>
      </c>
      <c r="AJ7" s="653">
        <v>8442</v>
      </c>
      <c r="AK7" s="653">
        <v>8718</v>
      </c>
      <c r="AL7" s="513">
        <f>AK7</f>
        <v>8718</v>
      </c>
      <c r="AM7" s="653">
        <f>8945</f>
        <v>8945</v>
      </c>
      <c r="AN7" s="653">
        <f>9315</f>
        <v>9315</v>
      </c>
      <c r="AO7" s="653">
        <v>9909</v>
      </c>
      <c r="AP7" s="193">
        <v>10283</v>
      </c>
      <c r="AQ7" s="513">
        <f>AP7</f>
        <v>10283</v>
      </c>
      <c r="AR7" s="193">
        <f>+AP7+AR11</f>
        <v>10407</v>
      </c>
      <c r="AS7" s="193">
        <f>+AR7+AS11</f>
        <v>10624</v>
      </c>
      <c r="AT7" s="193">
        <f>10791</f>
        <v>10791</v>
      </c>
      <c r="AU7" s="193">
        <f>10929</f>
        <v>10929</v>
      </c>
      <c r="AV7" s="513">
        <f>AU7</f>
        <v>10929</v>
      </c>
      <c r="AW7" s="193">
        <f>11034</f>
        <v>11034</v>
      </c>
      <c r="AX7" s="193">
        <f>11287</f>
        <v>11287</v>
      </c>
      <c r="AY7" s="193">
        <v>11412</v>
      </c>
      <c r="AZ7" s="193">
        <f>11526</f>
        <v>11526</v>
      </c>
      <c r="BA7" s="513">
        <f>AZ7</f>
        <v>11526</v>
      </c>
      <c r="BB7" s="602">
        <f>11462</f>
        <v>11462</v>
      </c>
      <c r="BC7" s="602">
        <f>11484</f>
        <v>11484</v>
      </c>
      <c r="BD7" s="602">
        <f>11619</f>
        <v>11619</v>
      </c>
      <c r="BE7" s="602">
        <f>11727</f>
        <v>11727</v>
      </c>
      <c r="BF7" s="513">
        <f>BE7</f>
        <v>11727</v>
      </c>
      <c r="BG7" s="602">
        <f>11685</f>
        <v>11685</v>
      </c>
      <c r="BH7" s="602">
        <f>11643</f>
        <v>11643</v>
      </c>
      <c r="BI7" s="602">
        <f>11618</f>
        <v>11618</v>
      </c>
      <c r="BJ7" s="602">
        <f>11674</f>
        <v>11674</v>
      </c>
      <c r="BK7" s="513">
        <f>BJ7</f>
        <v>11674</v>
      </c>
      <c r="BL7" s="193">
        <f>+BJ7+BL11</f>
        <v>11646</v>
      </c>
      <c r="BM7" s="193">
        <f>+BL7+BM11</f>
        <v>11629.2</v>
      </c>
      <c r="BN7" s="193">
        <f>+BM7+BN11</f>
        <v>11604</v>
      </c>
      <c r="BO7" s="193">
        <f>+BN7+BO11</f>
        <v>11580.205183316504</v>
      </c>
      <c r="BP7" s="513">
        <f>BO7</f>
        <v>11580.205183316504</v>
      </c>
      <c r="BQ7" s="193">
        <f>+BO7+BQ11</f>
        <v>11568.307774974757</v>
      </c>
      <c r="BR7" s="193">
        <f>+BQ7+BR11</f>
        <v>11559.586503243905</v>
      </c>
      <c r="BS7" s="193">
        <f>+BR7+BS11</f>
        <v>11546.504595647628</v>
      </c>
      <c r="BT7" s="193">
        <f>+BS7+BT11</f>
        <v>11532.768592671537</v>
      </c>
      <c r="BU7" s="513">
        <f>BT7</f>
        <v>11532.768592671537</v>
      </c>
    </row>
    <row r="8" spans="2:86" s="106" customFormat="1" ht="12.75">
      <c r="B8" s="227" t="s">
        <v>126</v>
      </c>
      <c r="C8" s="227"/>
      <c r="D8" s="246"/>
      <c r="E8" s="246"/>
      <c r="F8" s="246"/>
      <c r="G8" s="246"/>
      <c r="H8" s="512"/>
      <c r="I8" s="247">
        <f t="shared" ref="I8:AQ8" si="0">+I7/D7-1</f>
        <v>0.36433566433566433</v>
      </c>
      <c r="J8" s="247">
        <f t="shared" si="0"/>
        <v>0.34194381659670658</v>
      </c>
      <c r="K8" s="247" t="e">
        <f t="shared" si="0"/>
        <v>#DIV/0!</v>
      </c>
      <c r="L8" s="247" t="e">
        <f t="shared" si="0"/>
        <v>#DIV/0!</v>
      </c>
      <c r="M8" s="511" t="e">
        <f t="shared" si="0"/>
        <v>#DIV/0!</v>
      </c>
      <c r="N8" s="247">
        <f t="shared" si="0"/>
        <v>0.37365453613531519</v>
      </c>
      <c r="O8" s="247">
        <f t="shared" si="0"/>
        <v>0.35418671799807511</v>
      </c>
      <c r="P8" s="247">
        <f t="shared" si="0"/>
        <v>0.32783178837892835</v>
      </c>
      <c r="Q8" s="247">
        <f t="shared" si="0"/>
        <v>0.20927513639906459</v>
      </c>
      <c r="R8" s="511">
        <f t="shared" si="0"/>
        <v>0.20927513639906459</v>
      </c>
      <c r="S8" s="247">
        <f t="shared" si="0"/>
        <v>0.18470149253731338</v>
      </c>
      <c r="T8" s="247">
        <f t="shared" si="0"/>
        <v>0.16542288557213936</v>
      </c>
      <c r="U8" s="247">
        <f t="shared" si="0"/>
        <v>0.14677336965775578</v>
      </c>
      <c r="V8" s="247">
        <f t="shared" si="0"/>
        <v>0.13277473412826302</v>
      </c>
      <c r="W8" s="511">
        <f t="shared" si="0"/>
        <v>0.13277473412826302</v>
      </c>
      <c r="X8" s="247">
        <f t="shared" si="0"/>
        <v>0.12015748031496054</v>
      </c>
      <c r="Y8" s="247">
        <f t="shared" si="0"/>
        <v>0.10016770849214818</v>
      </c>
      <c r="Z8" s="247">
        <f t="shared" si="0"/>
        <v>9.8589458054936907E-2</v>
      </c>
      <c r="AA8" s="247">
        <f t="shared" si="0"/>
        <v>0.1106685633001423</v>
      </c>
      <c r="AB8" s="511">
        <f t="shared" si="0"/>
        <v>0.1106685633001423</v>
      </c>
      <c r="AC8" s="604">
        <f t="shared" si="0"/>
        <v>0.11542246590749339</v>
      </c>
      <c r="AD8" s="608">
        <f t="shared" si="0"/>
        <v>0.16407982261640797</v>
      </c>
      <c r="AE8" s="604">
        <f t="shared" si="0"/>
        <v>0.1656980673063928</v>
      </c>
      <c r="AF8" s="604">
        <f t="shared" si="0"/>
        <v>0.15548155737704916</v>
      </c>
      <c r="AG8" s="605">
        <f t="shared" si="0"/>
        <v>0.15548155737704916</v>
      </c>
      <c r="AH8" s="697">
        <v>0.14000000000000001</v>
      </c>
      <c r="AI8" s="697">
        <v>0.1</v>
      </c>
      <c r="AJ8" s="697">
        <v>0.09</v>
      </c>
      <c r="AK8" s="697">
        <v>0.09</v>
      </c>
      <c r="AL8" s="511">
        <f t="shared" si="0"/>
        <v>-3.3695411217025018E-2</v>
      </c>
      <c r="AM8" s="247">
        <f t="shared" si="0"/>
        <v>0.10773993808049531</v>
      </c>
      <c r="AN8" s="247">
        <f t="shared" si="0"/>
        <v>0.13279824881430136</v>
      </c>
      <c r="AO8" s="247">
        <f t="shared" si="0"/>
        <v>0.17377398720682313</v>
      </c>
      <c r="AP8" s="247">
        <f t="shared" si="0"/>
        <v>0.17951364991970631</v>
      </c>
      <c r="AQ8" s="511">
        <f t="shared" si="0"/>
        <v>0.17951364991970631</v>
      </c>
      <c r="AR8" s="247">
        <f t="shared" ref="AR8:BP8" si="1">+AR7/AM7-1</f>
        <v>0.16344326439351597</v>
      </c>
      <c r="AS8" s="247">
        <f t="shared" si="1"/>
        <v>0.14052603327965651</v>
      </c>
      <c r="AT8" s="247">
        <f t="shared" si="1"/>
        <v>8.9009990917347848E-2</v>
      </c>
      <c r="AU8" s="247">
        <f t="shared" si="1"/>
        <v>6.2822133618593901E-2</v>
      </c>
      <c r="AV8" s="511">
        <f t="shared" si="1"/>
        <v>6.2822133618593901E-2</v>
      </c>
      <c r="AW8" s="247">
        <f t="shared" si="1"/>
        <v>6.0247910060536203E-2</v>
      </c>
      <c r="AX8" s="247">
        <f t="shared" si="1"/>
        <v>6.2405873493975861E-2</v>
      </c>
      <c r="AY8" s="247">
        <f t="shared" si="1"/>
        <v>5.7547956630525476E-2</v>
      </c>
      <c r="AZ8" s="247">
        <f t="shared" si="1"/>
        <v>5.4625308811419249E-2</v>
      </c>
      <c r="BA8" s="511">
        <f t="shared" si="1"/>
        <v>5.4625308811419249E-2</v>
      </c>
      <c r="BB8" s="247">
        <f t="shared" si="1"/>
        <v>3.8789197027369937E-2</v>
      </c>
      <c r="BC8" s="247">
        <f t="shared" si="1"/>
        <v>1.7453707805439977E-2</v>
      </c>
      <c r="BD8" s="247">
        <f t="shared" si="1"/>
        <v>1.8138801261829762E-2</v>
      </c>
      <c r="BE8" s="247">
        <f t="shared" si="1"/>
        <v>1.7438833940655929E-2</v>
      </c>
      <c r="BF8" s="511">
        <f t="shared" si="1"/>
        <v>1.7438833940655929E-2</v>
      </c>
      <c r="BG8" s="247">
        <f t="shared" si="1"/>
        <v>1.9455592392252585E-2</v>
      </c>
      <c r="BH8" s="247">
        <f t="shared" si="1"/>
        <v>1.384535005224663E-2</v>
      </c>
      <c r="BI8" s="247">
        <f t="shared" si="1"/>
        <v>-8.6065926499734324E-5</v>
      </c>
      <c r="BJ8" s="247">
        <f t="shared" si="1"/>
        <v>-4.5194849492623534E-3</v>
      </c>
      <c r="BK8" s="511">
        <f t="shared" si="1"/>
        <v>-4.5194849492623534E-3</v>
      </c>
      <c r="BL8" s="247">
        <f t="shared" si="1"/>
        <v>-3.3376123234916122E-3</v>
      </c>
      <c r="BM8" s="247">
        <f t="shared" si="1"/>
        <v>-1.1852615305333325E-3</v>
      </c>
      <c r="BN8" s="247">
        <f t="shared" si="1"/>
        <v>-1.2050266827337008E-3</v>
      </c>
      <c r="BO8" s="247">
        <f t="shared" si="1"/>
        <v>-8.0345054551563821E-3</v>
      </c>
      <c r="BP8" s="511">
        <f t="shared" si="1"/>
        <v>-8.0345054551563821E-3</v>
      </c>
      <c r="BQ8" s="247">
        <f t="shared" ref="BQ8" si="2">+BQ7/BL7-1</f>
        <v>-6.6711510411509023E-3</v>
      </c>
      <c r="BR8" s="247">
        <f t="shared" ref="BR8" si="3">+BR7/BM7-1</f>
        <v>-5.9860950672527835E-3</v>
      </c>
      <c r="BS8" s="247">
        <f t="shared" ref="BS8" si="4">+BS7/BN7-1</f>
        <v>-4.9547918262988766E-3</v>
      </c>
      <c r="BT8" s="247">
        <f t="shared" ref="BT8" si="5">+BT7/BO7-1</f>
        <v>-4.0963514803096235E-3</v>
      </c>
      <c r="BU8" s="511">
        <f t="shared" ref="BU8" si="6">+BU7/BP7-1</f>
        <v>-4.0963514803096235E-3</v>
      </c>
    </row>
    <row r="9" spans="2:86" s="106" customFormat="1" ht="12.75">
      <c r="B9" s="227" t="s">
        <v>141</v>
      </c>
      <c r="C9" s="227"/>
      <c r="D9" s="246"/>
      <c r="E9" s="248">
        <f>+E7/D7-1</f>
        <v>8.2867132867132876E-2</v>
      </c>
      <c r="F9" s="248">
        <f>+F7/E7-1</f>
        <v>-1</v>
      </c>
      <c r="G9" s="248" t="e">
        <f>+G7/F7-1</f>
        <v>#DIV/0!</v>
      </c>
      <c r="H9" s="516"/>
      <c r="I9" s="248" t="e">
        <f>+I7/G7-1</f>
        <v>#DIV/0!</v>
      </c>
      <c r="J9" s="248">
        <f>+J7/I7-1</f>
        <v>6.5094823167606286E-2</v>
      </c>
      <c r="K9" s="248">
        <f>+K7/J7-1</f>
        <v>6.4244465832531183E-2</v>
      </c>
      <c r="L9" s="248">
        <f>+L7/K7-1</f>
        <v>0.16029843997286908</v>
      </c>
      <c r="M9" s="511"/>
      <c r="N9" s="248">
        <f>+N7/L7-1</f>
        <v>4.4427123928292955E-2</v>
      </c>
      <c r="O9" s="248">
        <f>+O7/N7-1</f>
        <v>5.0000000000000044E-2</v>
      </c>
      <c r="P9" s="248">
        <f>+P7/O7-1</f>
        <v>4.3532338308457819E-2</v>
      </c>
      <c r="Q9" s="248">
        <f>+Q7/P7-1</f>
        <v>5.6700153243657514E-2</v>
      </c>
      <c r="R9" s="511"/>
      <c r="S9" s="248">
        <f>+S7/Q7-1</f>
        <v>2.3203351595230348E-2</v>
      </c>
      <c r="T9" s="248">
        <f>+T7/S7-1</f>
        <v>3.2913385826771613E-2</v>
      </c>
      <c r="U9" s="248">
        <f>+U7/T7-1</f>
        <v>2.6833358743710845E-2</v>
      </c>
      <c r="V9" s="248">
        <f>+V7/U7-1</f>
        <v>4.3801039346696324E-2</v>
      </c>
      <c r="W9" s="511"/>
      <c r="X9" s="248">
        <f>+X7/V7-1</f>
        <v>1.1806543385490809E-2</v>
      </c>
      <c r="Y9" s="248">
        <f>+Y7/X7-1</f>
        <v>1.448052860958815E-2</v>
      </c>
      <c r="Z9" s="248">
        <f>+Z7/Y7-1</f>
        <v>2.5360310421286059E-2</v>
      </c>
      <c r="AA9" s="248">
        <f>+AA7/Z7-1</f>
        <v>5.5277740235166961E-2</v>
      </c>
      <c r="AB9" s="511"/>
      <c r="AC9" s="248">
        <f>+AC7/AA7-1</f>
        <v>1.6137295081967151E-2</v>
      </c>
      <c r="AD9" s="248">
        <f>+AD7/AC7-1</f>
        <v>5.8734560120998314E-2</v>
      </c>
      <c r="AE9" s="248">
        <f>+AE7/AD7-1</f>
        <v>2.6785714285714191E-2</v>
      </c>
      <c r="AF9" s="248">
        <f>+AF7/AE7-1</f>
        <v>4.6028985507246434E-2</v>
      </c>
      <c r="AG9" s="511"/>
      <c r="AH9" s="248"/>
      <c r="AI9" s="248"/>
      <c r="AJ9" s="248"/>
      <c r="AK9" s="248"/>
      <c r="AL9" s="511"/>
      <c r="AM9" s="248">
        <f>+AM7/AK7-1</f>
        <v>2.6038082128928552E-2</v>
      </c>
      <c r="AN9" s="248">
        <f>+AN7/AM7-1</f>
        <v>4.1363890441587392E-2</v>
      </c>
      <c r="AO9" s="248">
        <f>+AO7/AN7-1</f>
        <v>6.3768115942028913E-2</v>
      </c>
      <c r="AP9" s="248">
        <f>+AP7/AO7-1</f>
        <v>3.7743465536381082E-2</v>
      </c>
      <c r="AQ9" s="511"/>
      <c r="AR9" s="248">
        <f>+AR7/AP7-1</f>
        <v>1.2058737722454582E-2</v>
      </c>
      <c r="AS9" s="248">
        <f>+AS7/AR7-1</f>
        <v>2.0851350052849105E-2</v>
      </c>
      <c r="AT9" s="248">
        <f>+AT7/AS7-1</f>
        <v>1.5719126506024139E-2</v>
      </c>
      <c r="AU9" s="248">
        <f>+AU7/AT7-1</f>
        <v>1.2788434806783489E-2</v>
      </c>
      <c r="AV9" s="511"/>
      <c r="AW9" s="248">
        <f>+AW7/AU7-1</f>
        <v>9.607466373867668E-3</v>
      </c>
      <c r="AX9" s="248">
        <f>+AX7/AW7-1</f>
        <v>2.2929128149356437E-2</v>
      </c>
      <c r="AY9" s="248">
        <f>+AY7/AX7-1</f>
        <v>1.1074687693807039E-2</v>
      </c>
      <c r="AZ9" s="248">
        <f>+AZ7/AY7-1</f>
        <v>9.9894847528916308E-3</v>
      </c>
      <c r="BA9" s="511"/>
      <c r="BB9" s="248">
        <f>+BB7/AZ7-1</f>
        <v>-5.5526635432934235E-3</v>
      </c>
      <c r="BC9" s="248">
        <f>+BC7/BB7-1</f>
        <v>1.9193857965451588E-3</v>
      </c>
      <c r="BD9" s="248">
        <f>+BD7/BC7-1</f>
        <v>1.1755485893417017E-2</v>
      </c>
      <c r="BE9" s="248">
        <f>+BE7/BD7-1</f>
        <v>9.2951200619675323E-3</v>
      </c>
      <c r="BF9" s="511"/>
      <c r="BG9" s="248">
        <f>+BG7/BE7-1</f>
        <v>-3.581478639038127E-3</v>
      </c>
      <c r="BH9" s="248">
        <f>+BH7/BG7-1</f>
        <v>-3.5943517329910524E-3</v>
      </c>
      <c r="BI9" s="248">
        <f>+BI7/BH7-1</f>
        <v>-2.147212917632868E-3</v>
      </c>
      <c r="BJ9" s="248">
        <f>+BJ7/BI7-1</f>
        <v>4.8201067309348034E-3</v>
      </c>
      <c r="BK9" s="511"/>
      <c r="BL9" s="248">
        <f>+BL7/BJ7-1</f>
        <v>-2.3984923762206956E-3</v>
      </c>
      <c r="BM9" s="248">
        <f>+BM7/BL7-1</f>
        <v>-1.4425553838227634E-3</v>
      </c>
      <c r="BN9" s="248">
        <f>+BN7/BM7-1</f>
        <v>-2.1669590341554246E-3</v>
      </c>
      <c r="BO9" s="248">
        <f>+BO7/BN7-1</f>
        <v>-2.0505702071265119E-3</v>
      </c>
      <c r="BP9" s="511"/>
      <c r="BQ9" s="248">
        <f>+BQ7/BO7-1</f>
        <v>-1.0273918426667583E-3</v>
      </c>
      <c r="BR9" s="248">
        <f>+BR7/BQ7-1</f>
        <v>-7.5389347348786551E-4</v>
      </c>
      <c r="BS9" s="248">
        <f>+BS7/BR7-1</f>
        <v>-1.1316933864897738E-3</v>
      </c>
      <c r="BT9" s="248">
        <f>+BT7/BS7-1</f>
        <v>-1.1896243458188183E-3</v>
      </c>
      <c r="BU9" s="511"/>
    </row>
    <row r="10" spans="2:86" s="106" customFormat="1" ht="12.75">
      <c r="B10" s="227"/>
      <c r="C10" s="227"/>
      <c r="D10" s="246"/>
      <c r="E10" s="248"/>
      <c r="F10" s="248"/>
      <c r="G10" s="248"/>
      <c r="H10" s="516"/>
      <c r="I10" s="248"/>
      <c r="J10" s="248"/>
      <c r="K10" s="248"/>
      <c r="L10" s="248"/>
      <c r="M10" s="511"/>
      <c r="N10" s="248"/>
      <c r="O10" s="248"/>
      <c r="P10" s="248"/>
      <c r="Q10" s="248"/>
      <c r="R10" s="511"/>
      <c r="S10" s="248"/>
      <c r="T10" s="248"/>
      <c r="U10" s="248"/>
      <c r="V10" s="248"/>
      <c r="W10" s="511"/>
      <c r="X10" s="248"/>
      <c r="Y10" s="248"/>
      <c r="Z10" s="248"/>
      <c r="AA10" s="248"/>
      <c r="AB10" s="511"/>
      <c r="AC10" s="248"/>
      <c r="AD10" s="248"/>
      <c r="AE10" s="248"/>
      <c r="AF10" s="248"/>
      <c r="AG10" s="511"/>
      <c r="AH10" s="248"/>
      <c r="AI10" s="248"/>
      <c r="AJ10" s="248"/>
      <c r="AK10" s="248"/>
      <c r="AL10" s="511"/>
      <c r="AM10" s="248"/>
      <c r="AN10" s="248"/>
      <c r="AO10" s="248"/>
      <c r="AP10" s="248"/>
      <c r="AQ10" s="511"/>
      <c r="AR10" s="248"/>
      <c r="AS10" s="248"/>
      <c r="AT10" s="248"/>
      <c r="AU10" s="248"/>
      <c r="AV10" s="511"/>
      <c r="AW10" s="248"/>
      <c r="AX10" s="248"/>
      <c r="AY10" s="248"/>
      <c r="AZ10" s="248"/>
      <c r="BA10" s="511"/>
      <c r="BB10" s="248"/>
      <c r="BC10" s="248"/>
      <c r="BD10" s="248"/>
      <c r="BE10" s="248"/>
      <c r="BF10" s="511"/>
      <c r="BG10" s="248"/>
      <c r="BH10" s="248"/>
      <c r="BI10" s="248"/>
      <c r="BJ10" s="248"/>
      <c r="BK10" s="511"/>
      <c r="BL10" s="248"/>
      <c r="BM10" s="248"/>
      <c r="BN10" s="248"/>
      <c r="BO10" s="248"/>
      <c r="BP10" s="511"/>
      <c r="BQ10" s="248"/>
      <c r="BR10" s="248"/>
      <c r="BS10" s="248"/>
      <c r="BT10" s="248"/>
      <c r="BU10" s="511"/>
    </row>
    <row r="11" spans="2:86" s="106" customFormat="1" ht="13.15">
      <c r="B11" s="231" t="s">
        <v>135</v>
      </c>
      <c r="C11" s="227"/>
      <c r="D11" s="193"/>
      <c r="E11" s="193">
        <f>+E7-D7</f>
        <v>237</v>
      </c>
      <c r="F11" s="193">
        <f>+F7-E7</f>
        <v>-3097</v>
      </c>
      <c r="G11" s="193">
        <f>+G7-F7</f>
        <v>0</v>
      </c>
      <c r="H11" s="510">
        <f>SUM(D11:G11)</f>
        <v>-2860</v>
      </c>
      <c r="I11" s="193">
        <f>+I7-G7</f>
        <v>3902</v>
      </c>
      <c r="J11" s="193">
        <f>+J7-I7</f>
        <v>254</v>
      </c>
      <c r="K11" s="193">
        <f>+K7-J7</f>
        <v>267</v>
      </c>
      <c r="L11" s="193">
        <f>+L7-K7</f>
        <v>709</v>
      </c>
      <c r="M11" s="510">
        <f>SUM(I11:L11)</f>
        <v>5132</v>
      </c>
      <c r="N11" s="193">
        <f>+N7-L7</f>
        <v>228</v>
      </c>
      <c r="O11" s="193">
        <f>+O7-N7</f>
        <v>268</v>
      </c>
      <c r="P11" s="193">
        <f>+P7-O7</f>
        <v>245</v>
      </c>
      <c r="Q11" s="193">
        <f>+Q7-P7</f>
        <v>333</v>
      </c>
      <c r="R11" s="510">
        <f>SUM(N11:Q11)</f>
        <v>1074</v>
      </c>
      <c r="S11" s="193">
        <f>+S7-Q7</f>
        <v>144</v>
      </c>
      <c r="T11" s="193">
        <f>+T7-S7</f>
        <v>209</v>
      </c>
      <c r="U11" s="193">
        <f>+U7-T7</f>
        <v>176</v>
      </c>
      <c r="V11" s="193">
        <f>+V7-U7</f>
        <v>295</v>
      </c>
      <c r="W11" s="510">
        <f>SUM(S11:V11)</f>
        <v>824</v>
      </c>
      <c r="X11" s="193">
        <f>+X7-V7</f>
        <v>83</v>
      </c>
      <c r="Y11" s="193">
        <f>+Y7-X7</f>
        <v>103</v>
      </c>
      <c r="Z11" s="193">
        <f>+Z7-Y7</f>
        <v>183</v>
      </c>
      <c r="AA11" s="193">
        <f>+AA7-Z7</f>
        <v>409</v>
      </c>
      <c r="AB11" s="510">
        <f>SUM(X11:AA11)</f>
        <v>778</v>
      </c>
      <c r="AC11" s="653">
        <f>+AC7-AA7</f>
        <v>126</v>
      </c>
      <c r="AD11" s="653">
        <f>+AD7-AC7</f>
        <v>466</v>
      </c>
      <c r="AE11" s="653">
        <f>+AE7-AD7</f>
        <v>225</v>
      </c>
      <c r="AF11" s="653">
        <f>+AF7-AE7</f>
        <v>397</v>
      </c>
      <c r="AG11" s="603">
        <f>SUM(AC11:AF11)</f>
        <v>1214</v>
      </c>
      <c r="AH11" s="653">
        <f>AH7-7798</f>
        <v>277</v>
      </c>
      <c r="AI11" s="653">
        <f>+AI7-AH7</f>
        <v>148</v>
      </c>
      <c r="AJ11" s="653">
        <f>+AJ7-AI7</f>
        <v>219</v>
      </c>
      <c r="AK11" s="653">
        <f>+AK7-AJ7</f>
        <v>276</v>
      </c>
      <c r="AL11" s="603">
        <f>SUM(AH11:AK11)</f>
        <v>920</v>
      </c>
      <c r="AM11" s="653">
        <f>+AM7-AL7</f>
        <v>227</v>
      </c>
      <c r="AN11" s="653">
        <f>+AN7-AM7</f>
        <v>370</v>
      </c>
      <c r="AO11" s="653">
        <f>+AO7-AN7</f>
        <v>594</v>
      </c>
      <c r="AP11" s="653">
        <f>+AP7-AO7</f>
        <v>374</v>
      </c>
      <c r="AQ11" s="510">
        <f>SUM(AM11:AP11)</f>
        <v>1565</v>
      </c>
      <c r="AR11" s="193">
        <v>124</v>
      </c>
      <c r="AS11" s="193">
        <f>217</f>
        <v>217</v>
      </c>
      <c r="AT11" s="193">
        <f>167</f>
        <v>167</v>
      </c>
      <c r="AU11" s="193">
        <f>AU7-AT7</f>
        <v>138</v>
      </c>
      <c r="AV11" s="510">
        <f>SUM(AR11:AU11)</f>
        <v>646</v>
      </c>
      <c r="AW11" s="193">
        <f>AW7-AU7</f>
        <v>105</v>
      </c>
      <c r="AX11" s="193">
        <f>AX7-AW7</f>
        <v>253</v>
      </c>
      <c r="AY11" s="193">
        <f>AY7-AX7</f>
        <v>125</v>
      </c>
      <c r="AZ11" s="193">
        <f>AZ7-AY7</f>
        <v>114</v>
      </c>
      <c r="BA11" s="510">
        <f>SUM(AW11:AZ11)</f>
        <v>597</v>
      </c>
      <c r="BB11" s="193">
        <f>BB7-BA7</f>
        <v>-64</v>
      </c>
      <c r="BC11" s="193">
        <f>BC7-BB7</f>
        <v>22</v>
      </c>
      <c r="BD11" s="193">
        <f>BD7-BC7</f>
        <v>135</v>
      </c>
      <c r="BE11" s="193">
        <f>BE7-BD7</f>
        <v>108</v>
      </c>
      <c r="BF11" s="510">
        <f>SUM(BB11:BE11)</f>
        <v>201</v>
      </c>
      <c r="BG11" s="193">
        <f>BG7-BF7</f>
        <v>-42</v>
      </c>
      <c r="BH11" s="193">
        <f>BH7-BG7</f>
        <v>-42</v>
      </c>
      <c r="BI11" s="193">
        <f>BI7-BH7</f>
        <v>-25</v>
      </c>
      <c r="BJ11" s="193">
        <f>BJ7-BI7</f>
        <v>56</v>
      </c>
      <c r="BK11" s="510">
        <f>SUM(BG11:BJ11)</f>
        <v>-53</v>
      </c>
      <c r="BL11" s="193">
        <f>+BJ11*-(1+BL13)</f>
        <v>-28</v>
      </c>
      <c r="BM11" s="193">
        <f>+BL11*(1+BM13)</f>
        <v>-16.8</v>
      </c>
      <c r="BN11" s="193">
        <f>+BM11*(1+BN13)</f>
        <v>-25.200000000000003</v>
      </c>
      <c r="BO11" s="193">
        <f>+BN11*(1+BO13)</f>
        <v>-23.794816683495149</v>
      </c>
      <c r="BP11" s="510">
        <f>SUM(BL11:BO11)</f>
        <v>-93.794816683495156</v>
      </c>
      <c r="BQ11" s="193">
        <f>+BO11*(1+BQ13)</f>
        <v>-11.897408341747575</v>
      </c>
      <c r="BR11" s="193">
        <f>+BQ11*(1+BR13)</f>
        <v>-8.7212717308520418</v>
      </c>
      <c r="BS11" s="193">
        <f>+BR11*(1+BS13)</f>
        <v>-13.081907596278063</v>
      </c>
      <c r="BT11" s="193">
        <f>+BS11*(1+BT13)</f>
        <v>-13.736002976091966</v>
      </c>
      <c r="BU11" s="510">
        <f>SUM(BQ11:BT11)</f>
        <v>-47.436590644969648</v>
      </c>
    </row>
    <row r="12" spans="2:86" s="106" customFormat="1" ht="12.75">
      <c r="B12" s="227" t="s">
        <v>126</v>
      </c>
      <c r="C12" s="227"/>
      <c r="D12" s="246"/>
      <c r="E12" s="246"/>
      <c r="F12" s="246"/>
      <c r="G12" s="246"/>
      <c r="H12" s="512"/>
      <c r="I12" s="247" t="e">
        <f t="shared" ref="I12:AG12" si="7">+I11/D11-1</f>
        <v>#DIV/0!</v>
      </c>
      <c r="J12" s="247">
        <f t="shared" si="7"/>
        <v>7.1729957805907185E-2</v>
      </c>
      <c r="K12" s="247">
        <f t="shared" si="7"/>
        <v>-1.0862124636745238</v>
      </c>
      <c r="L12" s="247" t="e">
        <f t="shared" si="7"/>
        <v>#DIV/0!</v>
      </c>
      <c r="M12" s="511">
        <f t="shared" si="7"/>
        <v>-2.7944055944055943</v>
      </c>
      <c r="N12" s="247">
        <f t="shared" si="7"/>
        <v>-0.94156842644797545</v>
      </c>
      <c r="O12" s="247">
        <f t="shared" si="7"/>
        <v>5.5118110236220375E-2</v>
      </c>
      <c r="P12" s="247">
        <f t="shared" si="7"/>
        <v>-8.2397003745318331E-2</v>
      </c>
      <c r="Q12" s="247">
        <f t="shared" si="7"/>
        <v>-0.53032440056417496</v>
      </c>
      <c r="R12" s="511">
        <f t="shared" si="7"/>
        <v>-0.7907248636009353</v>
      </c>
      <c r="S12" s="247">
        <f t="shared" si="7"/>
        <v>-0.36842105263157898</v>
      </c>
      <c r="T12" s="247">
        <f t="shared" si="7"/>
        <v>-0.22014925373134331</v>
      </c>
      <c r="U12" s="247">
        <f t="shared" si="7"/>
        <v>-0.28163265306122454</v>
      </c>
      <c r="V12" s="247">
        <f t="shared" si="7"/>
        <v>-0.1141141141141141</v>
      </c>
      <c r="W12" s="511">
        <f t="shared" si="7"/>
        <v>-0.23277467411545627</v>
      </c>
      <c r="X12" s="247">
        <f t="shared" si="7"/>
        <v>-0.42361111111111116</v>
      </c>
      <c r="Y12" s="247">
        <f t="shared" si="7"/>
        <v>-0.50717703349282295</v>
      </c>
      <c r="Z12" s="247">
        <f t="shared" si="7"/>
        <v>3.9772727272727293E-2</v>
      </c>
      <c r="AA12" s="247">
        <f t="shared" si="7"/>
        <v>0.3864406779661016</v>
      </c>
      <c r="AB12" s="511">
        <f t="shared" si="7"/>
        <v>-5.5825242718446577E-2</v>
      </c>
      <c r="AC12" s="604">
        <f t="shared" si="7"/>
        <v>0.51807228915662651</v>
      </c>
      <c r="AD12" s="604">
        <f t="shared" si="7"/>
        <v>3.5242718446601939</v>
      </c>
      <c r="AE12" s="604">
        <f t="shared" si="7"/>
        <v>0.22950819672131151</v>
      </c>
      <c r="AF12" s="604">
        <f t="shared" si="7"/>
        <v>-2.933985330073352E-2</v>
      </c>
      <c r="AG12" s="605">
        <f t="shared" si="7"/>
        <v>0.56041131105398456</v>
      </c>
      <c r="AH12" s="604"/>
      <c r="AI12" s="604"/>
      <c r="AJ12" s="604"/>
      <c r="AK12" s="604"/>
      <c r="AL12" s="511"/>
      <c r="AM12" s="247">
        <f>+AM11/AH11-1</f>
        <v>-0.18050541516245489</v>
      </c>
      <c r="AN12" s="247">
        <f>+AN11/AI11-1</f>
        <v>1.5</v>
      </c>
      <c r="AO12" s="247">
        <f t="shared" ref="AO12:BB12" si="8">+AO11/AJ11-1</f>
        <v>1.7123287671232879</v>
      </c>
      <c r="AP12" s="247">
        <f t="shared" si="8"/>
        <v>0.35507246376811596</v>
      </c>
      <c r="AQ12" s="511">
        <f>+AQ11/AL11-1</f>
        <v>0.70108695652173902</v>
      </c>
      <c r="AR12" s="247">
        <f t="shared" si="8"/>
        <v>-0.45374449339207046</v>
      </c>
      <c r="AS12" s="247">
        <f t="shared" si="8"/>
        <v>-0.41351351351351351</v>
      </c>
      <c r="AT12" s="247">
        <f t="shared" si="8"/>
        <v>-0.71885521885521886</v>
      </c>
      <c r="AU12" s="247">
        <f t="shared" si="8"/>
        <v>-0.63101604278074874</v>
      </c>
      <c r="AV12" s="511">
        <f>+AV11/AQ11-1</f>
        <v>-0.58722044728434497</v>
      </c>
      <c r="AW12" s="247">
        <f t="shared" si="8"/>
        <v>-0.15322580645161288</v>
      </c>
      <c r="AX12" s="247">
        <f t="shared" si="8"/>
        <v>0.16589861751152069</v>
      </c>
      <c r="AY12" s="247">
        <f t="shared" si="8"/>
        <v>-0.25149700598802394</v>
      </c>
      <c r="AZ12" s="247">
        <f t="shared" si="8"/>
        <v>-0.17391304347826086</v>
      </c>
      <c r="BA12" s="511">
        <f>+BA11/AV11-1</f>
        <v>-7.5851393188854477E-2</v>
      </c>
      <c r="BB12" s="247">
        <f t="shared" si="8"/>
        <v>-1.6095238095238096</v>
      </c>
      <c r="BC12" s="247">
        <f t="shared" ref="BC12:BP12" si="9">+BC11/AX11-1</f>
        <v>-0.91304347826086962</v>
      </c>
      <c r="BD12" s="247">
        <f t="shared" si="9"/>
        <v>8.0000000000000071E-2</v>
      </c>
      <c r="BE12" s="247">
        <f t="shared" si="9"/>
        <v>-5.2631578947368474E-2</v>
      </c>
      <c r="BF12" s="511">
        <f t="shared" si="9"/>
        <v>-0.66331658291457285</v>
      </c>
      <c r="BG12" s="247">
        <f t="shared" si="9"/>
        <v>-0.34375</v>
      </c>
      <c r="BH12" s="247">
        <f t="shared" si="9"/>
        <v>-2.9090909090909092</v>
      </c>
      <c r="BI12" s="247">
        <f t="shared" si="9"/>
        <v>-1.1851851851851851</v>
      </c>
      <c r="BJ12" s="247">
        <f t="shared" si="9"/>
        <v>-0.48148148148148151</v>
      </c>
      <c r="BK12" s="511">
        <f t="shared" si="9"/>
        <v>-1.263681592039801</v>
      </c>
      <c r="BL12" s="247">
        <f t="shared" si="9"/>
        <v>-0.33333333333333337</v>
      </c>
      <c r="BM12" s="247">
        <f t="shared" si="9"/>
        <v>-0.6</v>
      </c>
      <c r="BN12" s="247">
        <f t="shared" si="9"/>
        <v>8.0000000000000071E-3</v>
      </c>
      <c r="BO12" s="247">
        <f t="shared" si="9"/>
        <v>-1.4249074407766991</v>
      </c>
      <c r="BP12" s="511">
        <f t="shared" si="9"/>
        <v>0.76971352233009727</v>
      </c>
      <c r="BQ12" s="247">
        <f t="shared" ref="BQ12" si="10">+BQ11/BL11-1</f>
        <v>-0.57509255922330094</v>
      </c>
      <c r="BR12" s="247">
        <f t="shared" ref="BR12" si="11">+BR11/BM11-1</f>
        <v>-0.48087668268737849</v>
      </c>
      <c r="BS12" s="247">
        <f t="shared" ref="BS12" si="12">+BS11/BN11-1</f>
        <v>-0.48087668268737849</v>
      </c>
      <c r="BT12" s="247">
        <f t="shared" ref="BT12" si="13">+BT11/BO11-1</f>
        <v>-0.42273129653401786</v>
      </c>
      <c r="BU12" s="511">
        <f t="shared" ref="BU12" si="14">+BU11/BP11-1</f>
        <v>-0.49425147015275372</v>
      </c>
    </row>
    <row r="13" spans="2:86" s="106" customFormat="1" ht="12.75">
      <c r="B13" s="227" t="s">
        <v>141</v>
      </c>
      <c r="C13" s="227"/>
      <c r="D13" s="246"/>
      <c r="E13" s="248" t="e">
        <f>+E11/D11-1</f>
        <v>#DIV/0!</v>
      </c>
      <c r="F13" s="248">
        <f>+F11/E11-1</f>
        <v>-14.067510548523206</v>
      </c>
      <c r="G13" s="248">
        <f>+G11/F11-1</f>
        <v>-1</v>
      </c>
      <c r="H13" s="516"/>
      <c r="I13" s="248" t="e">
        <f>+I11/G11-1</f>
        <v>#DIV/0!</v>
      </c>
      <c r="J13" s="248">
        <f>+J11/I11-1</f>
        <v>-0.9349051768323936</v>
      </c>
      <c r="K13" s="248">
        <f>+K11/J11-1</f>
        <v>5.1181102362204633E-2</v>
      </c>
      <c r="L13" s="248">
        <f>+L11/K11-1</f>
        <v>1.6554307116104869</v>
      </c>
      <c r="M13" s="511"/>
      <c r="N13" s="248">
        <f>+N11/L11-1</f>
        <v>-0.67842031029619188</v>
      </c>
      <c r="O13" s="248">
        <f>+O11/N11-1</f>
        <v>0.17543859649122817</v>
      </c>
      <c r="P13" s="248">
        <f>+P11/O11-1</f>
        <v>-8.582089552238803E-2</v>
      </c>
      <c r="Q13" s="248">
        <f>+Q11/P11-1</f>
        <v>0.35918367346938784</v>
      </c>
      <c r="R13" s="511"/>
      <c r="S13" s="248">
        <f>+S11/Q11-1</f>
        <v>-0.56756756756756754</v>
      </c>
      <c r="T13" s="248">
        <f>+T11/S11-1</f>
        <v>0.45138888888888884</v>
      </c>
      <c r="U13" s="248">
        <f>+U11/T11-1</f>
        <v>-0.15789473684210531</v>
      </c>
      <c r="V13" s="248">
        <f>+V11/U11-1</f>
        <v>0.67613636363636354</v>
      </c>
      <c r="W13" s="511"/>
      <c r="X13" s="248">
        <f>+X11/V11-1</f>
        <v>-0.71864406779661016</v>
      </c>
      <c r="Y13" s="248">
        <f>+Y11/X11-1</f>
        <v>0.24096385542168686</v>
      </c>
      <c r="Z13" s="248">
        <f>+Z11/Y11-1</f>
        <v>0.77669902912621369</v>
      </c>
      <c r="AA13" s="248">
        <f>+AA11/Z11-1</f>
        <v>1.2349726775956285</v>
      </c>
      <c r="AB13" s="511"/>
      <c r="AC13" s="606">
        <f>+AC11/AA11-1</f>
        <v>-0.69193154034229831</v>
      </c>
      <c r="AD13" s="606">
        <f>+AD11/AC11-1</f>
        <v>2.6984126984126986</v>
      </c>
      <c r="AE13" s="606">
        <f>+AE11/AD11-1</f>
        <v>-0.51716738197424894</v>
      </c>
      <c r="AF13" s="606">
        <f>+AF11/AE11-1</f>
        <v>0.76444444444444448</v>
      </c>
      <c r="AG13" s="605"/>
      <c r="AH13" s="248"/>
      <c r="AI13" s="248"/>
      <c r="AJ13" s="248"/>
      <c r="AK13" s="606"/>
      <c r="AL13" s="511"/>
      <c r="AM13" s="248">
        <f>+AM11/AK11-1</f>
        <v>-0.17753623188405798</v>
      </c>
      <c r="AN13" s="248">
        <f>+AN11/AM11-1</f>
        <v>0.62995594713656389</v>
      </c>
      <c r="AO13" s="248">
        <f>+AO11/AN11-1</f>
        <v>0.60540540540540544</v>
      </c>
      <c r="AP13" s="248">
        <f>+AP11/AO11-1</f>
        <v>-0.37037037037037035</v>
      </c>
      <c r="AQ13" s="511"/>
      <c r="AR13" s="248">
        <f>+AR11/AP11-1</f>
        <v>-0.66844919786096257</v>
      </c>
      <c r="AS13" s="248">
        <f>+AS11/AR11-1</f>
        <v>0.75</v>
      </c>
      <c r="AT13" s="248">
        <f>+AT11/AS11-1</f>
        <v>-0.2304147465437788</v>
      </c>
      <c r="AU13" s="248">
        <f>+AU11/AT11-1</f>
        <v>-0.17365269461077848</v>
      </c>
      <c r="AV13" s="511"/>
      <c r="AW13" s="248">
        <f>+AW11/AU11-1</f>
        <v>-0.23913043478260865</v>
      </c>
      <c r="AX13" s="248">
        <f>+AX11/AW11-1</f>
        <v>1.4095238095238094</v>
      </c>
      <c r="AY13" s="248">
        <f>+AY11/AX11-1</f>
        <v>-0.50592885375494068</v>
      </c>
      <c r="AZ13" s="248">
        <f>+AZ11/AY11-1</f>
        <v>-8.7999999999999967E-2</v>
      </c>
      <c r="BA13" s="511"/>
      <c r="BB13" s="248">
        <f>+BB11/AZ11-1</f>
        <v>-1.5614035087719298</v>
      </c>
      <c r="BC13" s="248">
        <f>+BC11/BB11-1</f>
        <v>-1.34375</v>
      </c>
      <c r="BD13" s="248">
        <f>+BD11/BC11-1</f>
        <v>5.1363636363636367</v>
      </c>
      <c r="BE13" s="248">
        <f>+BE11/BD11-1</f>
        <v>-0.19999999999999996</v>
      </c>
      <c r="BF13" s="511"/>
      <c r="BG13" s="248">
        <f>+BG11/BE11-1</f>
        <v>-1.3888888888888888</v>
      </c>
      <c r="BH13" s="248">
        <f>+BH11/BG11-1</f>
        <v>0</v>
      </c>
      <c r="BI13" s="248">
        <f>+BI11/BH11-1</f>
        <v>-0.40476190476190477</v>
      </c>
      <c r="BJ13" s="248">
        <f>+BJ11/BI11-1</f>
        <v>-3.24</v>
      </c>
      <c r="BK13" s="734"/>
      <c r="BL13" s="733">
        <v>-0.5</v>
      </c>
      <c r="BM13" s="733">
        <v>-0.4</v>
      </c>
      <c r="BN13" s="733">
        <v>0.5</v>
      </c>
      <c r="BO13" s="733">
        <v>-5.5761242718446624E-2</v>
      </c>
      <c r="BP13" s="511"/>
      <c r="BQ13" s="733">
        <v>-0.5</v>
      </c>
      <c r="BR13" s="733">
        <v>-0.2669603765511338</v>
      </c>
      <c r="BS13" s="733">
        <v>0.5</v>
      </c>
      <c r="BT13" s="733">
        <v>0.05</v>
      </c>
      <c r="BU13" s="511"/>
    </row>
    <row r="14" spans="2:86" s="106" customFormat="1" ht="12.75" hidden="1" outlineLevel="1">
      <c r="B14" s="227"/>
      <c r="C14" s="227"/>
      <c r="D14" s="246"/>
      <c r="E14" s="248"/>
      <c r="F14" s="248"/>
      <c r="G14" s="248"/>
      <c r="H14" s="516"/>
      <c r="I14" s="248"/>
      <c r="J14" s="248"/>
      <c r="K14" s="248"/>
      <c r="L14" s="248"/>
      <c r="M14" s="511"/>
      <c r="N14" s="248"/>
      <c r="O14" s="248"/>
      <c r="P14" s="248"/>
      <c r="Q14" s="248"/>
      <c r="R14" s="511"/>
      <c r="S14" s="248"/>
      <c r="T14" s="248"/>
      <c r="U14" s="248"/>
      <c r="V14" s="248"/>
      <c r="W14" s="511"/>
      <c r="X14" s="248"/>
      <c r="Y14" s="248"/>
      <c r="Z14" s="248"/>
      <c r="AA14" s="248"/>
      <c r="AB14" s="511"/>
      <c r="AC14" s="248"/>
      <c r="AD14" s="248"/>
      <c r="AE14" s="248"/>
      <c r="AF14" s="248"/>
      <c r="AG14" s="511"/>
      <c r="AH14" s="248"/>
      <c r="AI14" s="248"/>
      <c r="AJ14" s="248"/>
      <c r="AK14" s="248"/>
      <c r="AL14" s="511"/>
      <c r="AM14" s="248"/>
      <c r="AN14" s="248"/>
      <c r="AO14" s="248"/>
      <c r="AP14" s="248"/>
      <c r="AQ14" s="511"/>
      <c r="AR14" s="248"/>
      <c r="AS14" s="248"/>
      <c r="AT14" s="248"/>
      <c r="AU14" s="248"/>
      <c r="AV14" s="511"/>
      <c r="AW14" s="248"/>
      <c r="AX14" s="248"/>
      <c r="AY14" s="248"/>
      <c r="AZ14" s="248"/>
      <c r="BA14" s="511"/>
      <c r="BB14" s="248"/>
      <c r="BC14" s="248"/>
      <c r="BD14" s="248"/>
      <c r="BE14" s="248"/>
      <c r="BF14" s="511"/>
      <c r="BG14" s="248"/>
      <c r="BH14" s="248"/>
      <c r="BI14" s="248"/>
      <c r="BJ14" s="248"/>
      <c r="BK14" s="511"/>
      <c r="BL14" s="248"/>
      <c r="BM14" s="248"/>
      <c r="BN14" s="248"/>
      <c r="BO14" s="248"/>
      <c r="BP14" s="511"/>
      <c r="BQ14" s="248"/>
      <c r="BR14" s="248"/>
      <c r="BS14" s="248"/>
      <c r="BT14" s="248"/>
      <c r="BU14" s="511"/>
    </row>
    <row r="15" spans="2:86" s="106" customFormat="1" ht="13.15" hidden="1" outlineLevel="1">
      <c r="B15" s="231" t="s">
        <v>459</v>
      </c>
      <c r="C15" s="227"/>
      <c r="D15" s="246"/>
      <c r="E15" s="248"/>
      <c r="F15" s="248"/>
      <c r="G15" s="248"/>
      <c r="H15" s="516"/>
      <c r="I15" s="248"/>
      <c r="J15" s="248"/>
      <c r="K15" s="248"/>
      <c r="L15" s="248"/>
      <c r="M15" s="511"/>
      <c r="N15" s="248"/>
      <c r="O15" s="248"/>
      <c r="P15" s="248"/>
      <c r="Q15" s="248"/>
      <c r="R15" s="511"/>
      <c r="S15" s="248"/>
      <c r="T15" s="248"/>
      <c r="U15" s="248"/>
      <c r="V15" s="248"/>
      <c r="W15" s="511"/>
      <c r="X15" s="248"/>
      <c r="Y15" s="248"/>
      <c r="Z15" s="248"/>
      <c r="AA15" s="248"/>
      <c r="AB15" s="511"/>
      <c r="AC15" s="248"/>
      <c r="AD15" s="248"/>
      <c r="AE15" s="248"/>
      <c r="AF15" s="248"/>
      <c r="AG15" s="511"/>
      <c r="AH15" s="248"/>
      <c r="AI15" s="248"/>
      <c r="AJ15" s="248"/>
      <c r="AK15" s="248"/>
      <c r="AL15" s="511"/>
      <c r="AM15" s="248"/>
      <c r="AN15" s="248"/>
      <c r="AO15" s="248"/>
      <c r="AP15" s="248"/>
      <c r="AQ15" s="511"/>
      <c r="AR15" s="193">
        <v>49</v>
      </c>
      <c r="AS15" s="193">
        <v>49</v>
      </c>
      <c r="AT15" s="193">
        <v>46</v>
      </c>
      <c r="AU15" s="193">
        <v>48</v>
      </c>
      <c r="AV15" s="513">
        <f>AU15</f>
        <v>48</v>
      </c>
      <c r="AW15" s="193">
        <v>42</v>
      </c>
      <c r="AX15" s="193">
        <v>41</v>
      </c>
      <c r="AY15" s="193">
        <v>41</v>
      </c>
      <c r="AZ15" s="193">
        <v>40</v>
      </c>
      <c r="BA15" s="513">
        <f>AZ15</f>
        <v>40</v>
      </c>
      <c r="BB15" s="602">
        <v>47</v>
      </c>
      <c r="BC15" s="602">
        <v>46</v>
      </c>
      <c r="BD15" s="733"/>
      <c r="BE15" s="602">
        <v>43</v>
      </c>
      <c r="BF15" s="513">
        <f>BE15</f>
        <v>43</v>
      </c>
      <c r="BG15" s="248"/>
      <c r="BH15" s="248"/>
      <c r="BI15" s="248"/>
      <c r="BJ15" s="248"/>
      <c r="BK15" s="511"/>
      <c r="BL15" s="248"/>
      <c r="BM15" s="248"/>
      <c r="BN15" s="248"/>
      <c r="BO15" s="248"/>
      <c r="BP15" s="511"/>
      <c r="BQ15" s="248"/>
      <c r="BR15" s="248"/>
      <c r="BS15" s="248"/>
      <c r="BT15" s="248"/>
      <c r="BU15" s="511"/>
    </row>
    <row r="16" spans="2:86" s="106" customFormat="1" ht="12.75" collapsed="1">
      <c r="B16" s="227"/>
      <c r="C16" s="227"/>
      <c r="D16" s="246"/>
      <c r="E16" s="246"/>
      <c r="F16" s="246"/>
      <c r="G16" s="246"/>
      <c r="H16" s="512"/>
      <c r="I16" s="246"/>
      <c r="J16" s="246"/>
      <c r="K16" s="246"/>
      <c r="L16" s="246"/>
      <c r="M16" s="512"/>
      <c r="N16" s="246"/>
      <c r="O16" s="246"/>
      <c r="P16" s="246"/>
      <c r="Q16" s="246"/>
      <c r="R16" s="512"/>
      <c r="S16" s="247"/>
      <c r="T16" s="247"/>
      <c r="U16" s="247"/>
      <c r="V16" s="246"/>
      <c r="W16" s="512"/>
      <c r="X16" s="246"/>
      <c r="Y16" s="246"/>
      <c r="Z16" s="246"/>
      <c r="AA16" s="246"/>
      <c r="AB16" s="512"/>
      <c r="AC16" s="246"/>
      <c r="AD16" s="246"/>
      <c r="AE16" s="246"/>
      <c r="AF16" s="246"/>
      <c r="AG16" s="512"/>
      <c r="AH16" s="246"/>
      <c r="AI16" s="246"/>
      <c r="AJ16" s="246"/>
      <c r="AK16" s="246"/>
      <c r="AL16" s="512"/>
      <c r="AM16" s="246"/>
      <c r="AN16" s="246"/>
      <c r="AO16" s="246"/>
      <c r="AP16" s="246"/>
      <c r="AQ16" s="512"/>
      <c r="AR16" s="246"/>
      <c r="AS16" s="246"/>
      <c r="AT16" s="246"/>
      <c r="AU16" s="246"/>
      <c r="AV16" s="512"/>
      <c r="AW16" s="246"/>
      <c r="AX16" s="246"/>
      <c r="AY16" s="246"/>
      <c r="AZ16" s="246"/>
      <c r="BA16" s="512"/>
      <c r="BB16" s="246"/>
      <c r="BC16" s="246"/>
      <c r="BD16" s="246"/>
      <c r="BE16" s="246"/>
      <c r="BF16" s="512"/>
      <c r="BG16" s="246"/>
      <c r="BH16" s="246"/>
      <c r="BI16" s="246"/>
      <c r="BJ16" s="246"/>
      <c r="BK16" s="512"/>
      <c r="BL16" s="246"/>
      <c r="BM16" s="246"/>
      <c r="BN16" s="246"/>
      <c r="BO16" s="246"/>
      <c r="BP16" s="512"/>
      <c r="BQ16" s="246"/>
      <c r="BR16" s="246"/>
      <c r="BS16" s="246"/>
      <c r="BT16" s="246"/>
      <c r="BU16" s="512"/>
    </row>
    <row r="17" spans="1:86" s="106" customFormat="1" ht="13.15" hidden="1" outlineLevel="1">
      <c r="B17" s="231" t="s">
        <v>136</v>
      </c>
      <c r="C17" s="227"/>
      <c r="D17" s="384">
        <f t="shared" ref="D17:AI17" si="15">+D21/D7</f>
        <v>5.8517482517482513</v>
      </c>
      <c r="E17" s="384">
        <f t="shared" si="15"/>
        <v>5.7733290280917018</v>
      </c>
      <c r="F17" s="384" t="e">
        <f t="shared" si="15"/>
        <v>#DIV/0!</v>
      </c>
      <c r="G17" s="384" t="e">
        <f t="shared" si="15"/>
        <v>#DIV/0!</v>
      </c>
      <c r="H17" s="514" t="e">
        <f t="shared" si="15"/>
        <v>#DIV/0!</v>
      </c>
      <c r="I17" s="384">
        <f t="shared" si="15"/>
        <v>6.0407483341875965</v>
      </c>
      <c r="J17" s="384">
        <f t="shared" si="15"/>
        <v>6.2054860442733402</v>
      </c>
      <c r="K17" s="384">
        <f t="shared" si="15"/>
        <v>6.4010852362649784</v>
      </c>
      <c r="L17" s="384">
        <f t="shared" si="15"/>
        <v>6.4015978176149648</v>
      </c>
      <c r="M17" s="514">
        <f t="shared" si="15"/>
        <v>21.536632891660172</v>
      </c>
      <c r="N17" s="384">
        <f t="shared" si="15"/>
        <v>6.4917910447761198</v>
      </c>
      <c r="O17" s="384">
        <f t="shared" si="15"/>
        <v>6.621890547263682</v>
      </c>
      <c r="P17" s="384">
        <f t="shared" si="15"/>
        <v>6.8685509960837736</v>
      </c>
      <c r="Q17" s="384">
        <f t="shared" si="15"/>
        <v>7.2565259426361584</v>
      </c>
      <c r="R17" s="514">
        <f t="shared" si="15"/>
        <v>25.36851434096036</v>
      </c>
      <c r="S17" s="384">
        <f t="shared" si="15"/>
        <v>7.1251968503937011</v>
      </c>
      <c r="T17" s="384">
        <f t="shared" si="15"/>
        <v>7.2332672663515778</v>
      </c>
      <c r="U17" s="384">
        <f t="shared" si="15"/>
        <v>7.5012620638455827</v>
      </c>
      <c r="V17" s="384">
        <f t="shared" si="15"/>
        <v>8.2120910384068271</v>
      </c>
      <c r="W17" s="514">
        <f t="shared" si="15"/>
        <v>28.58321479374111</v>
      </c>
      <c r="X17" s="384">
        <f t="shared" si="15"/>
        <v>7.6641360888513992</v>
      </c>
      <c r="Y17" s="384">
        <f t="shared" si="15"/>
        <v>8.0988082039911315</v>
      </c>
      <c r="Z17" s="384">
        <f t="shared" si="15"/>
        <v>8.4288417353696445</v>
      </c>
      <c r="AA17" s="384">
        <f t="shared" si="15"/>
        <v>8.8076331967213122</v>
      </c>
      <c r="AB17" s="514">
        <f t="shared" si="15"/>
        <v>31.261654713114755</v>
      </c>
      <c r="AC17" s="384">
        <f t="shared" si="15"/>
        <v>9.2242248550541976</v>
      </c>
      <c r="AD17" s="384">
        <f t="shared" si="15"/>
        <v>9.3998809523809523</v>
      </c>
      <c r="AE17" s="384">
        <f t="shared" si="15"/>
        <v>9.6411594202898545</v>
      </c>
      <c r="AF17" s="384">
        <f t="shared" si="15"/>
        <v>10.158279760585236</v>
      </c>
      <c r="AG17" s="514">
        <f t="shared" si="15"/>
        <v>36.238860563068059</v>
      </c>
      <c r="AH17" s="384">
        <f t="shared" si="15"/>
        <v>11.68297213622291</v>
      </c>
      <c r="AI17" s="384">
        <f t="shared" si="15"/>
        <v>12.028699987838989</v>
      </c>
      <c r="AJ17" s="384">
        <f t="shared" ref="AJ17:BP17" si="16">+AJ21/AJ7</f>
        <v>12.446695095948828</v>
      </c>
      <c r="AK17" s="384">
        <f t="shared" si="16"/>
        <v>12.979926588667125</v>
      </c>
      <c r="AL17" s="514">
        <f t="shared" si="16"/>
        <v>47.199587061252579</v>
      </c>
      <c r="AM17" s="384">
        <f t="shared" si="16"/>
        <v>13.130352152040246</v>
      </c>
      <c r="AN17" s="384">
        <f t="shared" si="16"/>
        <v>13.571765968867417</v>
      </c>
      <c r="AO17" s="384">
        <f t="shared" si="16"/>
        <v>14.117872641033404</v>
      </c>
      <c r="AP17" s="384">
        <f t="shared" si="16"/>
        <v>14.746474764173879</v>
      </c>
      <c r="AQ17" s="514">
        <f t="shared" si="16"/>
        <v>52.066906544782654</v>
      </c>
      <c r="AR17" s="384">
        <f t="shared" si="16"/>
        <v>15.122898049389834</v>
      </c>
      <c r="AS17" s="384">
        <f t="shared" si="16"/>
        <v>15.76195406626506</v>
      </c>
      <c r="AT17" s="384">
        <f t="shared" si="16"/>
        <v>16.288110462422388</v>
      </c>
      <c r="AU17" s="384">
        <f t="shared" si="16"/>
        <v>16.879769420807026</v>
      </c>
      <c r="AV17" s="815">
        <f t="shared" si="16"/>
        <v>62.684875102937141</v>
      </c>
      <c r="AW17" s="816">
        <f t="shared" si="16"/>
        <v>16.600870038064166</v>
      </c>
      <c r="AX17" s="816">
        <f t="shared" si="16"/>
        <v>16.870913440240987</v>
      </c>
      <c r="AY17" s="816">
        <f t="shared" si="16"/>
        <v>17.424027339642482</v>
      </c>
      <c r="AZ17" s="816">
        <f t="shared" si="16"/>
        <v>17.809127190699289</v>
      </c>
      <c r="BA17" s="815">
        <f t="shared" si="16"/>
        <v>67.474145410376536</v>
      </c>
      <c r="BB17" s="816">
        <f t="shared" si="16"/>
        <v>17.893997557145351</v>
      </c>
      <c r="BC17" s="816">
        <f t="shared" si="16"/>
        <v>18.111372344130963</v>
      </c>
      <c r="BD17" s="816">
        <f t="shared" si="16"/>
        <v>18.474395386866341</v>
      </c>
      <c r="BE17" s="816">
        <f t="shared" si="16"/>
        <v>18.441289332310053</v>
      </c>
      <c r="BF17" s="815">
        <f t="shared" si="16"/>
        <v>71.971262897586769</v>
      </c>
      <c r="BG17" s="816">
        <f t="shared" si="16"/>
        <v>17.993410355156183</v>
      </c>
      <c r="BH17" s="816">
        <f t="shared" si="16"/>
        <v>18.396719058661859</v>
      </c>
      <c r="BI17" s="816">
        <f t="shared" ref="BI17" si="17">+BI21/BI7</f>
        <v>18.760543983473919</v>
      </c>
      <c r="BJ17" s="816">
        <f t="shared" si="16"/>
        <v>18.621552167209181</v>
      </c>
      <c r="BK17" s="815">
        <f t="shared" si="16"/>
        <v>73.650334075723833</v>
      </c>
      <c r="BL17" s="816">
        <f t="shared" si="16"/>
        <v>17.857609908981626</v>
      </c>
      <c r="BM17" s="816">
        <f t="shared" si="16"/>
        <v>17.966307226636395</v>
      </c>
      <c r="BN17" s="816">
        <f t="shared" si="16"/>
        <v>18.118674594967253</v>
      </c>
      <c r="BO17" s="816">
        <f t="shared" si="16"/>
        <v>18.283068101852418</v>
      </c>
      <c r="BP17" s="815">
        <f t="shared" si="16"/>
        <v>72.440364546265428</v>
      </c>
      <c r="BQ17" s="816">
        <f t="shared" ref="BQ17:BU17" si="18">+BQ21/BQ7</f>
        <v>18.284661474652161</v>
      </c>
      <c r="BR17" s="816">
        <f t="shared" si="18"/>
        <v>18.384101294658223</v>
      </c>
      <c r="BS17" s="816">
        <f t="shared" si="18"/>
        <v>18.506482427638499</v>
      </c>
      <c r="BT17" s="816">
        <f t="shared" si="18"/>
        <v>18.655121488929673</v>
      </c>
      <c r="BU17" s="815">
        <f t="shared" si="18"/>
        <v>73.951504137692567</v>
      </c>
    </row>
    <row r="18" spans="1:86" s="106" customFormat="1" ht="12.75" hidden="1" outlineLevel="1">
      <c r="B18" s="227" t="s">
        <v>126</v>
      </c>
      <c r="C18" s="227"/>
      <c r="D18" s="198"/>
      <c r="E18" s="198"/>
      <c r="F18" s="198"/>
      <c r="G18" s="198"/>
      <c r="H18" s="511"/>
      <c r="I18" s="247">
        <f t="shared" ref="I18:AQ18" si="19">+I17/D17-1</f>
        <v>3.2298054240949226E-2</v>
      </c>
      <c r="J18" s="247">
        <f t="shared" si="19"/>
        <v>7.4854042456070191E-2</v>
      </c>
      <c r="K18" s="247" t="e">
        <f t="shared" si="19"/>
        <v>#DIV/0!</v>
      </c>
      <c r="L18" s="247" t="e">
        <f t="shared" si="19"/>
        <v>#DIV/0!</v>
      </c>
      <c r="M18" s="511" t="e">
        <f t="shared" si="19"/>
        <v>#DIV/0!</v>
      </c>
      <c r="N18" s="247">
        <f t="shared" si="19"/>
        <v>7.4666694527869781E-2</v>
      </c>
      <c r="O18" s="247">
        <f t="shared" si="19"/>
        <v>6.7102641117792183E-2</v>
      </c>
      <c r="P18" s="247">
        <f t="shared" si="19"/>
        <v>7.3029141554059374E-2</v>
      </c>
      <c r="Q18" s="247">
        <f t="shared" si="19"/>
        <v>0.13354917778007391</v>
      </c>
      <c r="R18" s="511">
        <f t="shared" si="19"/>
        <v>0.17792388757223243</v>
      </c>
      <c r="S18" s="247">
        <f t="shared" si="19"/>
        <v>9.7570270091684064E-2</v>
      </c>
      <c r="T18" s="247">
        <f t="shared" si="19"/>
        <v>9.232661197345382E-2</v>
      </c>
      <c r="U18" s="247">
        <f t="shared" si="19"/>
        <v>9.2117110016735726E-2</v>
      </c>
      <c r="V18" s="247">
        <f t="shared" si="19"/>
        <v>0.13168354985905695</v>
      </c>
      <c r="W18" s="511">
        <f t="shared" si="19"/>
        <v>0.12672009127433403</v>
      </c>
      <c r="X18" s="247">
        <f t="shared" si="19"/>
        <v>7.5638505121149002E-2</v>
      </c>
      <c r="Y18" s="247">
        <f t="shared" si="19"/>
        <v>0.11966113040865523</v>
      </c>
      <c r="Z18" s="247">
        <f t="shared" si="19"/>
        <v>0.12365648121997896</v>
      </c>
      <c r="AA18" s="247">
        <f t="shared" si="19"/>
        <v>7.252016027698871E-2</v>
      </c>
      <c r="AB18" s="511">
        <f t="shared" si="19"/>
        <v>9.370674148102287E-2</v>
      </c>
      <c r="AC18" s="247">
        <f t="shared" si="19"/>
        <v>0.20355702823077149</v>
      </c>
      <c r="AD18" s="247">
        <f t="shared" si="19"/>
        <v>0.16064990250647559</v>
      </c>
      <c r="AE18" s="247">
        <f t="shared" si="19"/>
        <v>0.14382968893970394</v>
      </c>
      <c r="AF18" s="247">
        <f t="shared" si="19"/>
        <v>0.15334954734113015</v>
      </c>
      <c r="AG18" s="511">
        <f t="shared" si="19"/>
        <v>0.15921120924751597</v>
      </c>
      <c r="AH18" s="247"/>
      <c r="AI18" s="247"/>
      <c r="AJ18" s="247"/>
      <c r="AK18" s="247"/>
      <c r="AL18" s="511"/>
      <c r="AM18" s="247">
        <f t="shared" si="19"/>
        <v>0.12388799690189733</v>
      </c>
      <c r="AN18" s="247">
        <f t="shared" si="19"/>
        <v>0.12828202404153966</v>
      </c>
      <c r="AO18" s="247">
        <f t="shared" si="19"/>
        <v>0.13426676978923613</v>
      </c>
      <c r="AP18" s="247">
        <f t="shared" si="19"/>
        <v>0.13609847200901282</v>
      </c>
      <c r="AQ18" s="511">
        <f t="shared" si="19"/>
        <v>0.10312207768287429</v>
      </c>
      <c r="AR18" s="247">
        <f t="shared" ref="AR18:BP18" si="20">+AR17/AM17-1</f>
        <v>0.15175113921373229</v>
      </c>
      <c r="AS18" s="247">
        <f t="shared" si="20"/>
        <v>0.16137826885769813</v>
      </c>
      <c r="AT18" s="247">
        <f t="shared" si="20"/>
        <v>0.15372272271965515</v>
      </c>
      <c r="AU18" s="247">
        <f t="shared" si="20"/>
        <v>0.14466472094170757</v>
      </c>
      <c r="AV18" s="511">
        <f t="shared" si="20"/>
        <v>0.20392931446814488</v>
      </c>
      <c r="AW18" s="247">
        <f t="shared" si="20"/>
        <v>9.7730738106375226E-2</v>
      </c>
      <c r="AX18" s="247">
        <f t="shared" si="20"/>
        <v>7.035671905359786E-2</v>
      </c>
      <c r="AY18" s="247">
        <f t="shared" si="20"/>
        <v>6.9739020977339194E-2</v>
      </c>
      <c r="AZ18" s="247">
        <f t="shared" si="20"/>
        <v>5.5057492002626551E-2</v>
      </c>
      <c r="BA18" s="511">
        <f t="shared" si="20"/>
        <v>7.6402326710785617E-2</v>
      </c>
      <c r="BB18" s="247">
        <f t="shared" si="20"/>
        <v>7.7895165501336461E-2</v>
      </c>
      <c r="BC18" s="247">
        <f t="shared" si="20"/>
        <v>7.3526481437051094E-2</v>
      </c>
      <c r="BD18" s="247">
        <f t="shared" si="20"/>
        <v>6.0282736404694504E-2</v>
      </c>
      <c r="BE18" s="247">
        <f t="shared" si="20"/>
        <v>3.5496525733215378E-2</v>
      </c>
      <c r="BF18" s="511">
        <f t="shared" si="20"/>
        <v>6.6649491592058574E-2</v>
      </c>
      <c r="BG18" s="247">
        <f t="shared" si="20"/>
        <v>5.5556505858096461E-3</v>
      </c>
      <c r="BH18" s="247">
        <f t="shared" si="20"/>
        <v>1.5755112815808436E-2</v>
      </c>
      <c r="BI18" s="247">
        <f t="shared" si="20"/>
        <v>1.5488928899454191E-2</v>
      </c>
      <c r="BJ18" s="247">
        <f t="shared" si="20"/>
        <v>9.7749583367416903E-3</v>
      </c>
      <c r="BK18" s="511">
        <f t="shared" si="20"/>
        <v>2.3329744547158304E-2</v>
      </c>
      <c r="BL18" s="247">
        <f t="shared" si="20"/>
        <v>-7.5472322085757826E-3</v>
      </c>
      <c r="BM18" s="247">
        <f t="shared" si="20"/>
        <v>-2.3396119202179655E-2</v>
      </c>
      <c r="BN18" s="247">
        <f t="shared" si="20"/>
        <v>-3.4213794070794834E-2</v>
      </c>
      <c r="BO18" s="247">
        <f t="shared" si="20"/>
        <v>-1.8177005993775364E-2</v>
      </c>
      <c r="BP18" s="511">
        <f t="shared" si="20"/>
        <v>-1.6428568106892416E-2</v>
      </c>
      <c r="BQ18" s="247">
        <f t="shared" ref="BQ18" si="21">+BQ17/BL17-1</f>
        <v>2.3914262202342496E-2</v>
      </c>
      <c r="BR18" s="247">
        <f t="shared" ref="BR18" si="22">+BR17/BM17-1</f>
        <v>2.3254309455557731E-2</v>
      </c>
      <c r="BS18" s="247">
        <f t="shared" ref="BS18" si="23">+BS17/BN17-1</f>
        <v>2.1403763870176507E-2</v>
      </c>
      <c r="BT18" s="247">
        <f t="shared" ref="BT18" si="24">+BT17/BO17-1</f>
        <v>2.0349614463206933E-2</v>
      </c>
      <c r="BU18" s="511">
        <f t="shared" ref="BU18" si="25">+BU17/BP17-1</f>
        <v>2.0860463650234973E-2</v>
      </c>
    </row>
    <row r="19" spans="1:86" s="106" customFormat="1" ht="12.75" hidden="1" outlineLevel="1">
      <c r="B19" s="227" t="s">
        <v>141</v>
      </c>
      <c r="C19" s="227"/>
      <c r="D19" s="246"/>
      <c r="E19" s="248">
        <f>+E17/D17-1</f>
        <v>-1.3400990658325229E-2</v>
      </c>
      <c r="F19" s="248" t="e">
        <f>+F17/E17-1</f>
        <v>#DIV/0!</v>
      </c>
      <c r="G19" s="248" t="e">
        <f>+G17/F17-1</f>
        <v>#DIV/0!</v>
      </c>
      <c r="H19" s="516"/>
      <c r="I19" s="248" t="e">
        <f>+I17/G17-1</f>
        <v>#DIV/0!</v>
      </c>
      <c r="J19" s="248">
        <f>+J17/I17-1</f>
        <v>2.7271076524312488E-2</v>
      </c>
      <c r="K19" s="248">
        <f>+K17/J17-1</f>
        <v>3.1520366107687048E-2</v>
      </c>
      <c r="L19" s="248">
        <f>+L17/K17-1</f>
        <v>8.0077257381683253E-5</v>
      </c>
      <c r="M19" s="511"/>
      <c r="N19" s="248">
        <f>+N17/L17-1</f>
        <v>1.4089174254742209E-2</v>
      </c>
      <c r="O19" s="248">
        <f>+O17/N17-1</f>
        <v>2.0040617695520568E-2</v>
      </c>
      <c r="P19" s="248">
        <f>+P17/O17-1</f>
        <v>3.7249248845107719E-2</v>
      </c>
      <c r="Q19" s="248">
        <f>+Q17/P17-1</f>
        <v>5.6485705176185785E-2</v>
      </c>
      <c r="R19" s="511"/>
      <c r="S19" s="248">
        <f>+S17/Q17-1</f>
        <v>-1.8098066937351498E-2</v>
      </c>
      <c r="T19" s="248">
        <f>+T17/S17-1</f>
        <v>1.516735863261176E-2</v>
      </c>
      <c r="U19" s="248">
        <f>+U17/T17-1</f>
        <v>3.7050310409611154E-2</v>
      </c>
      <c r="V19" s="248">
        <f>+V17/U17-1</f>
        <v>9.4761250641713035E-2</v>
      </c>
      <c r="W19" s="511"/>
      <c r="X19" s="248">
        <f>+X17/V17-1</f>
        <v>-6.672538662719607E-2</v>
      </c>
      <c r="Y19" s="248">
        <f>+Y17/X17-1</f>
        <v>5.671508309619222E-2</v>
      </c>
      <c r="Z19" s="248">
        <f>+Z17/Y17-1</f>
        <v>4.0750876309908257E-2</v>
      </c>
      <c r="AA19" s="248">
        <f>+AA17/Z17-1</f>
        <v>4.4939918584798955E-2</v>
      </c>
      <c r="AB19" s="511"/>
      <c r="AC19" s="248">
        <f>+AC17/AA17-1</f>
        <v>4.72989336667613E-2</v>
      </c>
      <c r="AD19" s="248">
        <f>+AD17/AC17-1</f>
        <v>1.9042911473532431E-2</v>
      </c>
      <c r="AE19" s="248">
        <f>+AE17/AD17-1</f>
        <v>2.5668247197086824E-2</v>
      </c>
      <c r="AF19" s="248">
        <f>+AF17/AE17-1</f>
        <v>5.3636737839548587E-2</v>
      </c>
      <c r="AG19" s="511"/>
      <c r="AH19" s="248"/>
      <c r="AI19" s="248">
        <f>+AI17/AH17-1</f>
        <v>2.9592457089249846E-2</v>
      </c>
      <c r="AJ19" s="248">
        <f>+AJ17/AI17-1</f>
        <v>3.4749815735069634E-2</v>
      </c>
      <c r="AK19" s="248">
        <f>+AK17/AJ17-1</f>
        <v>4.284121114944428E-2</v>
      </c>
      <c r="AL19" s="511"/>
      <c r="AM19" s="248">
        <f>+AM17/AK17-1</f>
        <v>1.1589091998752687E-2</v>
      </c>
      <c r="AN19" s="248">
        <f>+AN17/AM17-1</f>
        <v>3.3617820125150466E-2</v>
      </c>
      <c r="AO19" s="248">
        <f>+AO17/AN17-1</f>
        <v>4.0238438639357055E-2</v>
      </c>
      <c r="AP19" s="248">
        <f>+AP17/AO17-1</f>
        <v>4.4525272264707372E-2</v>
      </c>
      <c r="AQ19" s="511"/>
      <c r="AR19" s="248">
        <f>+AR17/AP17-1</f>
        <v>2.5526323493290981E-2</v>
      </c>
      <c r="AS19" s="248">
        <f>+AS17/AR17-1</f>
        <v>4.2257510087559513E-2</v>
      </c>
      <c r="AT19" s="248">
        <f>+AT17/AS17-1</f>
        <v>3.3381419203818652E-2</v>
      </c>
      <c r="AU19" s="248">
        <f>+AU17/AT17-1</f>
        <v>3.6324591471161183E-2</v>
      </c>
      <c r="AV19" s="511"/>
      <c r="AW19" s="248">
        <f>+AW17/AU17-1</f>
        <v>-1.6522700979497484E-2</v>
      </c>
      <c r="AX19" s="248">
        <f>+AX17/AW17-1</f>
        <v>1.6266822254354052E-2</v>
      </c>
      <c r="AY19" s="248">
        <f>+AY17/AX17-1</f>
        <v>3.2785059407760997E-2</v>
      </c>
      <c r="AZ19" s="248">
        <f>+AZ17/AY17-1</f>
        <v>2.210165557882493E-2</v>
      </c>
      <c r="BA19" s="511"/>
      <c r="BB19" s="248">
        <f>+BB17/AZ17-1</f>
        <v>4.7655545124292154E-3</v>
      </c>
      <c r="BC19" s="248">
        <f>+BC17/BB17-1</f>
        <v>1.2147916433508765E-2</v>
      </c>
      <c r="BD19" s="248">
        <f>+BD17/BC17-1</f>
        <v>2.0043927971753916E-2</v>
      </c>
      <c r="BE19" s="248">
        <f>+BE17/BD17-1</f>
        <v>-1.7919966452500935E-3</v>
      </c>
      <c r="BF19" s="511"/>
      <c r="BG19" s="248">
        <f>+BG17/BE17-1</f>
        <v>-2.4286749645490602E-2</v>
      </c>
      <c r="BH19" s="248">
        <f>+BH17/BG17-1</f>
        <v>2.2414244745443845E-2</v>
      </c>
      <c r="BI19" s="248">
        <f>+BI17/BH17-1</f>
        <v>1.9776620149056345E-2</v>
      </c>
      <c r="BJ19" s="248">
        <f>+BJ17/BI17-1</f>
        <v>-7.4087305990261365E-3</v>
      </c>
      <c r="BK19" s="511"/>
      <c r="BL19" s="248">
        <f>+BL17/BJ17-1</f>
        <v>-4.1024628418074971E-2</v>
      </c>
      <c r="BM19" s="248">
        <f>+BM17/BL17-1</f>
        <v>6.0868905866344747E-3</v>
      </c>
      <c r="BN19" s="248">
        <f>+BN17/BM17-1</f>
        <v>8.4807281991126082E-3</v>
      </c>
      <c r="BO19" s="248">
        <f>+BO17/BN17-1</f>
        <v>9.0731530070542465E-3</v>
      </c>
      <c r="BP19" s="511"/>
      <c r="BQ19" s="248">
        <f>+BQ17/BO17-1</f>
        <v>8.7150186766526971E-5</v>
      </c>
      <c r="BR19" s="248">
        <f>+BR17/BQ17-1</f>
        <v>5.4384282773796144E-3</v>
      </c>
      <c r="BS19" s="248">
        <f>+BS17/BR17-1</f>
        <v>6.6569004934626808E-3</v>
      </c>
      <c r="BT19" s="248">
        <f>+BT17/BS17-1</f>
        <v>8.0317295235527997E-3</v>
      </c>
      <c r="BU19" s="511"/>
    </row>
    <row r="20" spans="1:86" s="106" customFormat="1" ht="12.75" collapsed="1">
      <c r="B20" s="227"/>
      <c r="C20" s="227"/>
      <c r="D20" s="198"/>
      <c r="E20" s="198"/>
      <c r="F20" s="198"/>
      <c r="G20" s="198"/>
      <c r="H20" s="511"/>
      <c r="I20" s="247"/>
      <c r="J20" s="247"/>
      <c r="K20" s="247"/>
      <c r="L20" s="247"/>
      <c r="M20" s="511"/>
      <c r="N20" s="247"/>
      <c r="O20" s="247"/>
      <c r="P20" s="247"/>
      <c r="Q20" s="247"/>
      <c r="R20" s="511"/>
      <c r="S20" s="247"/>
      <c r="T20" s="247"/>
      <c r="U20" s="247"/>
      <c r="V20" s="247"/>
      <c r="W20" s="511"/>
      <c r="X20" s="247"/>
      <c r="Y20" s="247"/>
      <c r="Z20" s="247"/>
      <c r="AA20" s="247"/>
      <c r="AB20" s="511"/>
      <c r="AC20" s="247"/>
      <c r="AD20" s="247"/>
      <c r="AE20" s="247"/>
      <c r="AF20" s="247"/>
      <c r="AG20" s="511"/>
      <c r="AH20" s="247"/>
      <c r="AI20" s="247"/>
      <c r="AJ20" s="247"/>
      <c r="AK20" s="247"/>
      <c r="AL20" s="511"/>
      <c r="AM20" s="247"/>
      <c r="AN20" s="247"/>
      <c r="AO20" s="247"/>
      <c r="AP20" s="247"/>
      <c r="AQ20" s="511"/>
      <c r="AR20" s="247"/>
      <c r="AS20" s="247"/>
      <c r="AT20" s="247"/>
      <c r="AU20" s="247"/>
      <c r="AV20" s="511"/>
      <c r="AW20" s="247"/>
      <c r="AX20" s="247"/>
      <c r="AY20" s="247"/>
      <c r="AZ20" s="247"/>
      <c r="BA20" s="511"/>
      <c r="BB20" s="247"/>
      <c r="BC20" s="247"/>
      <c r="BD20" s="247"/>
      <c r="BE20" s="247"/>
      <c r="BF20" s="511"/>
      <c r="BG20" s="247"/>
      <c r="BH20" s="247"/>
      <c r="BI20" s="247"/>
      <c r="BJ20" s="247"/>
      <c r="BK20" s="511"/>
      <c r="BL20" s="247"/>
      <c r="BM20" s="247"/>
      <c r="BN20" s="247"/>
      <c r="BO20" s="247"/>
      <c r="BP20" s="511"/>
      <c r="BQ20" s="247"/>
      <c r="BR20" s="247"/>
      <c r="BS20" s="247"/>
      <c r="BT20" s="247"/>
      <c r="BU20" s="511"/>
      <c r="CE20" s="692">
        <f>AM41</f>
        <v>455.79700000000003</v>
      </c>
      <c r="CF20" s="106" t="s">
        <v>402</v>
      </c>
    </row>
    <row r="21" spans="1:86" s="106" customFormat="1" ht="12.75" hidden="1" outlineLevel="1">
      <c r="B21" s="227" t="s">
        <v>426</v>
      </c>
      <c r="C21" s="227"/>
      <c r="D21" s="243">
        <f>+IS!D52</f>
        <v>16736</v>
      </c>
      <c r="E21" s="243">
        <f>+IS!E52</f>
        <v>17880</v>
      </c>
      <c r="F21" s="243">
        <f>+IS!F52</f>
        <v>20329</v>
      </c>
      <c r="G21" s="243">
        <f>+IS!G52</f>
        <v>21935</v>
      </c>
      <c r="H21" s="515">
        <f>+IS!H52</f>
        <v>76880</v>
      </c>
      <c r="I21" s="243">
        <f>+IS!I52</f>
        <v>23571</v>
      </c>
      <c r="J21" s="243">
        <f>+IS!J52</f>
        <v>25790</v>
      </c>
      <c r="K21" s="243">
        <f>+IS!K52</f>
        <v>28312</v>
      </c>
      <c r="L21" s="243">
        <f>+IS!L52</f>
        <v>32853</v>
      </c>
      <c r="M21" s="515">
        <f>+IS!M52</f>
        <v>110526</v>
      </c>
      <c r="N21" s="243">
        <f>+IS!N52</f>
        <v>34796</v>
      </c>
      <c r="O21" s="243">
        <f>+IS!O52</f>
        <v>37268</v>
      </c>
      <c r="P21" s="243">
        <f>+IS!P52</f>
        <v>40339</v>
      </c>
      <c r="Q21" s="243">
        <f>+IS!Q52</f>
        <v>45034</v>
      </c>
      <c r="R21" s="515">
        <f>+IS!R52</f>
        <v>157437</v>
      </c>
      <c r="S21" s="243">
        <f>+IS!S52</f>
        <v>45245</v>
      </c>
      <c r="T21" s="243">
        <f>+IS!T52</f>
        <v>47443</v>
      </c>
      <c r="U21" s="243">
        <f>+IS!U52</f>
        <v>50521</v>
      </c>
      <c r="V21" s="243">
        <f>+IS!V52</f>
        <v>57731</v>
      </c>
      <c r="W21" s="515">
        <f>+IS!W52</f>
        <v>200940</v>
      </c>
      <c r="X21" s="243">
        <f>+IS!X52</f>
        <v>54515</v>
      </c>
      <c r="Y21" s="243">
        <f>+IS!Y52</f>
        <v>58441</v>
      </c>
      <c r="Z21" s="243">
        <f>+IS!Z52</f>
        <v>62365</v>
      </c>
      <c r="AA21" s="243">
        <f>+IS!AA52</f>
        <v>68770</v>
      </c>
      <c r="AB21" s="515">
        <f>+IS!AB52</f>
        <v>244091</v>
      </c>
      <c r="AC21" s="243">
        <f>+IS!AC52</f>
        <v>73185</v>
      </c>
      <c r="AD21" s="243">
        <f>+IS!AD52</f>
        <v>78959</v>
      </c>
      <c r="AE21" s="243">
        <f>+IS!AE52</f>
        <v>83155</v>
      </c>
      <c r="AF21" s="243">
        <f>+IS!AF52</f>
        <v>91648</v>
      </c>
      <c r="AG21" s="515">
        <f>+IS!AG52</f>
        <v>326947</v>
      </c>
      <c r="AH21" s="243">
        <f>+IS!AH52</f>
        <v>94340</v>
      </c>
      <c r="AI21" s="243">
        <f>+IS!AI52</f>
        <v>98912</v>
      </c>
      <c r="AJ21" s="243">
        <f>+IS!AJ52</f>
        <v>105075</v>
      </c>
      <c r="AK21" s="243">
        <f>+IS!AK52</f>
        <v>113159</v>
      </c>
      <c r="AL21" s="515">
        <f>+IS!AL52</f>
        <v>411486</v>
      </c>
      <c r="AM21" s="243">
        <f>+IS!AM52</f>
        <v>117451</v>
      </c>
      <c r="AN21" s="243">
        <f>+IS!AN52</f>
        <v>126421</v>
      </c>
      <c r="AO21" s="243">
        <f>+IS!AO52</f>
        <v>139894</v>
      </c>
      <c r="AP21" s="243">
        <f>+IS!AP52</f>
        <v>151638</v>
      </c>
      <c r="AQ21" s="515">
        <f>+IS!AQ52</f>
        <v>535404</v>
      </c>
      <c r="AR21" s="243">
        <f>+IS!AR52</f>
        <v>157384</v>
      </c>
      <c r="AS21" s="243">
        <f>+IS!AS52</f>
        <v>167455</v>
      </c>
      <c r="AT21" s="243">
        <f>+IS!AT52</f>
        <v>175765</v>
      </c>
      <c r="AU21" s="243">
        <f>+IS!AU52</f>
        <v>184479</v>
      </c>
      <c r="AV21" s="515">
        <f>+IS!AV52</f>
        <v>685083</v>
      </c>
      <c r="AW21" s="243">
        <f>+IS!AW52</f>
        <v>183174</v>
      </c>
      <c r="AX21" s="243">
        <f>+IS!AX52</f>
        <v>190422</v>
      </c>
      <c r="AY21" s="243">
        <f>+IS!AY52</f>
        <v>198843</v>
      </c>
      <c r="AZ21" s="243">
        <f>+IS!AZ52</f>
        <v>205268</v>
      </c>
      <c r="BA21" s="515">
        <f>+IS!BA52</f>
        <v>777707</v>
      </c>
      <c r="BB21" s="243">
        <f>+IS!BB52</f>
        <v>205101</v>
      </c>
      <c r="BC21" s="243">
        <f>+IS!BC52</f>
        <v>207991</v>
      </c>
      <c r="BD21" s="243">
        <f>+IS!BD52</f>
        <v>214654</v>
      </c>
      <c r="BE21" s="243">
        <f>+IS!BE52</f>
        <v>216261</v>
      </c>
      <c r="BF21" s="515">
        <f>+IS!BF52</f>
        <v>844007</v>
      </c>
      <c r="BG21" s="243">
        <f>+IS!BG52</f>
        <v>210253</v>
      </c>
      <c r="BH21" s="243">
        <f>+IS!BH52</f>
        <v>214193</v>
      </c>
      <c r="BI21" s="243">
        <f>+IS!BI52</f>
        <v>217960</v>
      </c>
      <c r="BJ21" s="243">
        <f>+IS!BJ52</f>
        <v>217388</v>
      </c>
      <c r="BK21" s="515">
        <f>+IS!BK52</f>
        <v>859794</v>
      </c>
      <c r="BL21" s="243">
        <f>+IS!BL52</f>
        <v>207969.72500000001</v>
      </c>
      <c r="BM21" s="243">
        <f>+IS!BM52</f>
        <v>208933.78</v>
      </c>
      <c r="BN21" s="243">
        <f>+IS!BN52</f>
        <v>210249.1</v>
      </c>
      <c r="BO21" s="243">
        <f>+IS!BO52</f>
        <v>211721.68</v>
      </c>
      <c r="BP21" s="515">
        <f>+IS!BP52</f>
        <v>838874.28500000003</v>
      </c>
      <c r="BQ21" s="243">
        <f>+IS!BQ52</f>
        <v>211522.59150000001</v>
      </c>
      <c r="BR21" s="243">
        <f>+IS!BR52</f>
        <v>212512.60920000001</v>
      </c>
      <c r="BS21" s="243">
        <f>+IS!BS52</f>
        <v>213685.1844</v>
      </c>
      <c r="BT21" s="243">
        <f>+IS!BT52</f>
        <v>215145.1992</v>
      </c>
      <c r="BU21" s="515">
        <f>+IS!BU52</f>
        <v>852865.58429999999</v>
      </c>
      <c r="CC21" s="227"/>
    </row>
    <row r="22" spans="1:86" s="106" customFormat="1" ht="12.75" collapsed="1">
      <c r="B22" s="227"/>
      <c r="C22" s="227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CE22" s="693">
        <v>0.53</v>
      </c>
      <c r="CF22" s="693">
        <v>0.52</v>
      </c>
      <c r="CG22" s="106" t="s">
        <v>371</v>
      </c>
    </row>
    <row r="23" spans="1:86" s="106" customFormat="1" ht="13.15" thickBot="1">
      <c r="B23" s="178" t="s">
        <v>356</v>
      </c>
      <c r="C23" s="240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9"/>
      <c r="BB23" s="249"/>
      <c r="BC23" s="249"/>
      <c r="BD23" s="249"/>
      <c r="BE23" s="249"/>
      <c r="BF23" s="249"/>
      <c r="BG23" s="249"/>
      <c r="BH23" s="249"/>
      <c r="BI23" s="249"/>
      <c r="BJ23" s="249"/>
      <c r="BK23" s="249"/>
      <c r="BL23" s="249"/>
      <c r="BM23" s="249"/>
      <c r="BN23" s="249"/>
      <c r="BO23" s="249"/>
      <c r="BP23" s="249"/>
      <c r="BQ23" s="249"/>
      <c r="BR23" s="249"/>
      <c r="BS23" s="249"/>
      <c r="BT23" s="249"/>
      <c r="BU23" s="249"/>
      <c r="CF23" s="693"/>
    </row>
    <row r="24" spans="1:86" s="106" customFormat="1" ht="12.75">
      <c r="B24" s="577"/>
      <c r="C24" s="577"/>
      <c r="D24" s="578"/>
      <c r="E24" s="578"/>
      <c r="F24" s="578"/>
      <c r="G24" s="578"/>
      <c r="H24" s="578"/>
      <c r="I24" s="578"/>
      <c r="J24" s="578"/>
      <c r="K24" s="578"/>
      <c r="L24" s="578"/>
      <c r="M24" s="578"/>
      <c r="N24" s="578"/>
      <c r="O24" s="578"/>
      <c r="P24" s="578"/>
      <c r="Q24" s="578"/>
      <c r="R24" s="578"/>
      <c r="S24" s="578"/>
      <c r="T24" s="578"/>
      <c r="U24" s="578"/>
      <c r="V24" s="578"/>
      <c r="W24" s="578"/>
      <c r="X24" s="578"/>
      <c r="Y24" s="578"/>
      <c r="Z24" s="578"/>
      <c r="AA24" s="578"/>
      <c r="AB24" s="578"/>
      <c r="AC24" s="578"/>
      <c r="AD24" s="578"/>
      <c r="AE24" s="578"/>
      <c r="AF24" s="578"/>
      <c r="AG24" s="578"/>
      <c r="AH24" s="578"/>
      <c r="AI24" s="578"/>
      <c r="AJ24" s="578"/>
      <c r="AK24" s="578"/>
      <c r="AL24" s="578"/>
      <c r="AM24" s="578"/>
      <c r="AN24" s="578"/>
      <c r="AO24" s="578"/>
      <c r="AP24" s="578"/>
      <c r="AQ24" s="578"/>
      <c r="AR24" s="578"/>
      <c r="AS24" s="578"/>
      <c r="AT24" s="578"/>
      <c r="AU24" s="578"/>
      <c r="AV24" s="578"/>
      <c r="AW24" s="578"/>
      <c r="AX24" s="578"/>
      <c r="AY24" s="578"/>
      <c r="AZ24" s="578"/>
      <c r="BA24" s="578"/>
      <c r="BB24" s="578"/>
      <c r="BC24" s="578"/>
      <c r="BD24" s="578"/>
      <c r="BE24" s="578"/>
      <c r="BF24" s="578"/>
      <c r="BG24" s="578"/>
      <c r="BH24" s="578"/>
      <c r="BI24" s="578"/>
      <c r="BJ24" s="578"/>
      <c r="BK24" s="578"/>
      <c r="BL24" s="578"/>
      <c r="BM24" s="578"/>
      <c r="BN24" s="578"/>
      <c r="BO24" s="578"/>
      <c r="BP24" s="578"/>
      <c r="BQ24" s="578"/>
      <c r="BR24" s="578"/>
      <c r="BS24" s="578"/>
      <c r="BT24" s="578"/>
      <c r="BU24" s="578"/>
      <c r="CC24" s="112" t="s">
        <v>403</v>
      </c>
      <c r="CE24" s="693">
        <v>0.4</v>
      </c>
      <c r="CF24" s="693">
        <v>0.41499999999999998</v>
      </c>
      <c r="CG24" s="106" t="s">
        <v>372</v>
      </c>
    </row>
    <row r="25" spans="1:86" s="106" customFormat="1" ht="12.75">
      <c r="A25" s="600"/>
      <c r="B25" s="598"/>
      <c r="C25" s="598"/>
      <c r="D25" s="601"/>
      <c r="E25" s="601"/>
      <c r="F25" s="601"/>
      <c r="G25" s="601"/>
      <c r="H25" s="601"/>
      <c r="I25" s="601"/>
      <c r="J25" s="601"/>
      <c r="K25" s="601"/>
      <c r="L25" s="601"/>
      <c r="M25" s="601"/>
      <c r="N25" s="601"/>
      <c r="O25" s="601"/>
      <c r="P25" s="601"/>
      <c r="Q25" s="601"/>
      <c r="R25" s="601"/>
      <c r="S25" s="601"/>
      <c r="T25" s="601"/>
      <c r="U25" s="601"/>
      <c r="V25" s="601"/>
      <c r="W25" s="601"/>
      <c r="X25" s="601"/>
      <c r="Y25" s="601"/>
      <c r="Z25" s="601"/>
      <c r="AA25" s="601"/>
      <c r="AB25" s="601"/>
      <c r="AC25" s="601"/>
      <c r="AD25" s="601"/>
      <c r="AE25" s="601"/>
      <c r="AF25" s="601"/>
      <c r="AG25" s="601"/>
      <c r="AH25" s="601"/>
      <c r="AI25" s="601"/>
      <c r="AJ25" s="601"/>
      <c r="AK25" s="601"/>
      <c r="AL25" s="601"/>
      <c r="AM25" s="601"/>
      <c r="AN25" s="601"/>
      <c r="AO25" s="601"/>
      <c r="AP25" s="601"/>
      <c r="AQ25" s="601"/>
      <c r="AR25" s="601"/>
      <c r="AS25" s="601"/>
      <c r="AT25" s="601"/>
      <c r="AU25" s="601"/>
      <c r="AV25" s="601"/>
      <c r="AW25" s="601"/>
      <c r="AX25" s="601"/>
      <c r="AY25" s="601"/>
      <c r="AZ25" s="601"/>
      <c r="BA25" s="601"/>
      <c r="BB25" s="601"/>
      <c r="BC25" s="601"/>
      <c r="BD25" s="601"/>
      <c r="BE25" s="601"/>
      <c r="BF25" s="601"/>
      <c r="BG25" s="601"/>
      <c r="BH25" s="601"/>
      <c r="BI25" s="601"/>
      <c r="BJ25" s="601"/>
      <c r="BK25" s="601"/>
      <c r="BL25" s="601"/>
      <c r="BM25" s="601"/>
      <c r="BN25" s="601"/>
      <c r="BO25" s="601"/>
      <c r="BP25" s="601"/>
      <c r="BQ25" s="601"/>
      <c r="BR25" s="601"/>
      <c r="BS25" s="601"/>
      <c r="BT25" s="601"/>
      <c r="BU25" s="601"/>
      <c r="CC25" s="112" t="s">
        <v>404</v>
      </c>
    </row>
    <row r="26" spans="1:86" s="106" customFormat="1" thickBot="1">
      <c r="B26" s="573"/>
      <c r="C26" s="574"/>
      <c r="D26" s="589"/>
      <c r="E26" s="589"/>
      <c r="F26" s="589"/>
      <c r="G26" s="589"/>
      <c r="H26" s="590"/>
      <c r="I26" s="590"/>
      <c r="J26" s="590"/>
      <c r="K26" s="590"/>
      <c r="L26" s="590"/>
      <c r="M26" s="590"/>
      <c r="N26" s="590"/>
      <c r="O26" s="590"/>
      <c r="P26" s="590"/>
      <c r="Q26" s="590"/>
      <c r="R26" s="590"/>
      <c r="S26" s="590"/>
      <c r="T26" s="590"/>
      <c r="U26" s="590"/>
      <c r="V26" s="590"/>
      <c r="W26" s="590"/>
      <c r="X26" s="590"/>
      <c r="Y26" s="590"/>
      <c r="Z26" s="590"/>
      <c r="AA26" s="590"/>
      <c r="AB26" s="590"/>
      <c r="AC26" s="590"/>
      <c r="AD26" s="590"/>
      <c r="AE26" s="590"/>
      <c r="AF26" s="590"/>
      <c r="AG26" s="590"/>
      <c r="AH26" s="590"/>
      <c r="AI26" s="590"/>
      <c r="AJ26" s="590"/>
      <c r="AK26" s="590"/>
      <c r="AL26" s="590"/>
      <c r="AM26" s="590"/>
      <c r="AN26" s="590"/>
      <c r="AO26" s="590"/>
      <c r="AP26" s="590"/>
      <c r="AQ26" s="590"/>
      <c r="AR26" s="590"/>
      <c r="AS26" s="590"/>
      <c r="AT26" s="590"/>
      <c r="AU26" s="590"/>
      <c r="AV26" s="590"/>
      <c r="AW26" s="590"/>
      <c r="AX26" s="590"/>
      <c r="AY26" s="590"/>
      <c r="AZ26" s="590"/>
      <c r="BA26" s="590"/>
      <c r="BB26" s="590"/>
      <c r="BC26" s="590"/>
      <c r="BD26" s="590"/>
      <c r="BE26" s="590"/>
      <c r="BF26" s="590"/>
      <c r="BG26" s="590"/>
      <c r="BH26" s="590"/>
      <c r="BI26" s="590"/>
      <c r="BJ26" s="590"/>
      <c r="BK26" s="590"/>
      <c r="BL26" s="590"/>
      <c r="BM26" s="590"/>
      <c r="BN26" s="590"/>
      <c r="BO26" s="590"/>
      <c r="BP26" s="590"/>
      <c r="BQ26" s="590"/>
      <c r="BR26" s="590"/>
      <c r="BS26" s="590"/>
      <c r="BT26" s="590"/>
      <c r="BU26" s="590"/>
      <c r="CE26" s="694">
        <v>432.9</v>
      </c>
      <c r="CF26" s="694">
        <f>455.797</f>
        <v>455.79700000000003</v>
      </c>
      <c r="CG26" s="106">
        <f>350.884</f>
        <v>350.88400000000001</v>
      </c>
    </row>
    <row r="27" spans="1:86" s="106" customFormat="1" ht="17.649999999999999">
      <c r="B27" s="223" t="s">
        <v>171</v>
      </c>
      <c r="C27" s="107"/>
      <c r="D27" s="212"/>
      <c r="E27" s="212"/>
      <c r="F27" s="212"/>
      <c r="G27" s="213"/>
      <c r="H27" s="214"/>
      <c r="I27" s="212"/>
      <c r="J27" s="212"/>
      <c r="K27" s="212"/>
      <c r="L27" s="215"/>
      <c r="M27" s="214"/>
      <c r="N27" s="212"/>
      <c r="O27" s="212"/>
      <c r="P27" s="212"/>
      <c r="Q27" s="212"/>
      <c r="R27" s="216"/>
      <c r="S27" s="212"/>
      <c r="T27" s="212"/>
      <c r="U27" s="212"/>
      <c r="V27" s="212"/>
      <c r="W27" s="216"/>
      <c r="X27" s="212"/>
      <c r="Y27" s="212"/>
      <c r="Z27" s="212"/>
      <c r="AA27" s="212"/>
      <c r="AB27" s="216"/>
      <c r="AC27" s="212"/>
      <c r="AD27" s="212"/>
      <c r="AE27" s="212"/>
      <c r="AF27" s="212"/>
      <c r="AG27" s="216"/>
      <c r="AH27" s="212"/>
      <c r="AI27" s="212"/>
      <c r="AJ27" s="212"/>
      <c r="AK27" s="212"/>
      <c r="AL27" s="216"/>
      <c r="AM27" s="212"/>
      <c r="AN27" s="212"/>
      <c r="AO27" s="212"/>
      <c r="AP27" s="212"/>
      <c r="AQ27" s="216"/>
      <c r="AR27" s="212"/>
      <c r="AS27" s="212"/>
      <c r="AT27" s="212"/>
      <c r="AU27" s="212"/>
      <c r="AV27" s="216"/>
      <c r="AW27" s="212"/>
      <c r="AX27" s="212"/>
      <c r="AY27" s="212"/>
      <c r="AZ27" s="212"/>
      <c r="BA27" s="216"/>
      <c r="BB27" s="212"/>
      <c r="BC27" s="212"/>
      <c r="BD27" s="212"/>
      <c r="BE27" s="212"/>
      <c r="BF27" s="216"/>
      <c r="BG27" s="212"/>
      <c r="BH27" s="212"/>
      <c r="BI27" s="212"/>
      <c r="BJ27" s="212"/>
      <c r="BK27" s="216"/>
      <c r="BL27" s="212"/>
      <c r="BM27" s="212"/>
      <c r="BN27" s="212"/>
      <c r="BO27" s="212"/>
      <c r="BP27" s="216"/>
      <c r="BQ27" s="212"/>
      <c r="BR27" s="212"/>
      <c r="BS27" s="212"/>
      <c r="BT27" s="212"/>
      <c r="BU27" s="216"/>
      <c r="CD27" s="106" t="s">
        <v>373</v>
      </c>
      <c r="CE27" s="695">
        <f>CE26*CE22</f>
        <v>229.43700000000001</v>
      </c>
      <c r="CF27" s="695">
        <f>CF26*CF22</f>
        <v>237.01444000000001</v>
      </c>
      <c r="CH27" s="106">
        <f>CF27/CE27-1</f>
        <v>3.302623378095082E-2</v>
      </c>
    </row>
    <row r="28" spans="1:86" s="106" customFormat="1" ht="13.15">
      <c r="B28" s="224" t="s">
        <v>317</v>
      </c>
      <c r="C28" s="224"/>
      <c r="D28" s="217" t="str">
        <f>+IS!D22</f>
        <v>2014A</v>
      </c>
      <c r="E28" s="217"/>
      <c r="F28" s="218"/>
      <c r="G28" s="218"/>
      <c r="H28" s="524" t="s">
        <v>206</v>
      </c>
      <c r="I28" s="217" t="str">
        <f>+IS!I22</f>
        <v>2015A</v>
      </c>
      <c r="J28" s="217"/>
      <c r="K28" s="218"/>
      <c r="L28" s="218"/>
      <c r="M28" s="524" t="s">
        <v>206</v>
      </c>
      <c r="N28" s="217" t="str">
        <f>+IS!N22</f>
        <v>2016A</v>
      </c>
      <c r="O28" s="217"/>
      <c r="P28" s="218"/>
      <c r="Q28" s="218"/>
      <c r="R28" s="524" t="s">
        <v>206</v>
      </c>
      <c r="S28" s="217" t="str">
        <f>+IS!S22</f>
        <v>2017A</v>
      </c>
      <c r="T28" s="217"/>
      <c r="U28" s="218"/>
      <c r="V28" s="218"/>
      <c r="W28" s="524" t="s">
        <v>206</v>
      </c>
      <c r="X28" s="217" t="str">
        <f>+IS!X22</f>
        <v xml:space="preserve"> 2018A</v>
      </c>
      <c r="Y28" s="217"/>
      <c r="Z28" s="218"/>
      <c r="AA28" s="218"/>
      <c r="AB28" s="524" t="s">
        <v>206</v>
      </c>
      <c r="AC28" s="217" t="str">
        <f>+IS!AC22</f>
        <v xml:space="preserve"> 2019A</v>
      </c>
      <c r="AD28" s="217"/>
      <c r="AE28" s="218"/>
      <c r="AF28" s="218"/>
      <c r="AG28" s="524" t="s">
        <v>206</v>
      </c>
      <c r="AH28" s="217" t="str">
        <f>+IS!AH22</f>
        <v xml:space="preserve"> 2020A</v>
      </c>
      <c r="AI28" s="217"/>
      <c r="AJ28" s="218"/>
      <c r="AK28" s="218"/>
      <c r="AL28" s="524" t="s">
        <v>206</v>
      </c>
      <c r="AM28" s="217" t="str">
        <f>+IS!AM22</f>
        <v xml:space="preserve"> 2021A</v>
      </c>
      <c r="AN28" s="217"/>
      <c r="AO28" s="218"/>
      <c r="AP28" s="218"/>
      <c r="AQ28" s="524" t="s">
        <v>206</v>
      </c>
      <c r="AR28" s="217" t="str">
        <f>+IS!AR22</f>
        <v xml:space="preserve"> 2022A</v>
      </c>
      <c r="AS28" s="217"/>
      <c r="AT28" s="218"/>
      <c r="AU28" s="218"/>
      <c r="AV28" s="524" t="s">
        <v>206</v>
      </c>
      <c r="AW28" s="217" t="str">
        <f>+IS!AW22</f>
        <v xml:space="preserve"> 2023A</v>
      </c>
      <c r="AX28" s="217"/>
      <c r="AY28" s="218"/>
      <c r="AZ28" s="218"/>
      <c r="BA28" s="524" t="s">
        <v>206</v>
      </c>
      <c r="BB28" s="217" t="str">
        <f>+IS!BB22</f>
        <v xml:space="preserve"> 2024A</v>
      </c>
      <c r="BC28" s="217"/>
      <c r="BD28" s="218"/>
      <c r="BE28" s="218"/>
      <c r="BF28" s="524" t="s">
        <v>206</v>
      </c>
      <c r="BG28" s="874" t="str">
        <f>+IS!BG22</f>
        <v xml:space="preserve"> 2025E</v>
      </c>
      <c r="BH28" s="875"/>
      <c r="BI28" s="875"/>
      <c r="BJ28" s="218"/>
      <c r="BK28" s="524" t="s">
        <v>206</v>
      </c>
      <c r="BL28" s="217" t="str">
        <f>+IS!BL22</f>
        <v xml:space="preserve"> 2026E</v>
      </c>
      <c r="BM28" s="217"/>
      <c r="BN28" s="218"/>
      <c r="BO28" s="218"/>
      <c r="BP28" s="524" t="s">
        <v>206</v>
      </c>
      <c r="BQ28" s="217" t="str">
        <f>+IS!BQ22</f>
        <v xml:space="preserve"> 2027E</v>
      </c>
      <c r="BR28" s="217"/>
      <c r="BS28" s="218"/>
      <c r="BT28" s="218"/>
      <c r="BU28" s="524" t="s">
        <v>206</v>
      </c>
      <c r="CE28" s="695"/>
      <c r="CF28" s="695"/>
    </row>
    <row r="29" spans="1:86" s="106" customFormat="1" ht="13.15">
      <c r="B29" s="225"/>
      <c r="C29" s="224"/>
      <c r="D29" s="374" t="str">
        <f>+IS!D23</f>
        <v>1Q-Mar 14A</v>
      </c>
      <c r="E29" s="374" t="str">
        <f>+IS!E23</f>
        <v>2Q-Jun 14A</v>
      </c>
      <c r="F29" s="374" t="str">
        <f>+IS!F23</f>
        <v>3Q-Sep 14A</v>
      </c>
      <c r="G29" s="374" t="str">
        <f>+IS!G23</f>
        <v>4Q-Dec 14A</v>
      </c>
      <c r="H29" s="525" t="str">
        <f>+IS!H23</f>
        <v>2014A</v>
      </c>
      <c r="I29" s="374" t="str">
        <f>+IS!I23</f>
        <v>1Q-Mar 15</v>
      </c>
      <c r="J29" s="374" t="str">
        <f>+IS!J23</f>
        <v>2Q-Jun 15</v>
      </c>
      <c r="K29" s="374" t="str">
        <f>+IS!K23</f>
        <v>3Q-Sep 15</v>
      </c>
      <c r="L29" s="374" t="str">
        <f>+IS!L23</f>
        <v>4Q-Dec 15</v>
      </c>
      <c r="M29" s="525" t="str">
        <f>+IS!M23</f>
        <v>2015A</v>
      </c>
      <c r="N29" s="374" t="str">
        <f>+IS!N23</f>
        <v>1Q-Mar 16</v>
      </c>
      <c r="O29" s="374" t="str">
        <f>+IS!O23</f>
        <v>2Q-Jun 16</v>
      </c>
      <c r="P29" s="374" t="str">
        <f>+IS!P23</f>
        <v>3Q-Sep 16</v>
      </c>
      <c r="Q29" s="374" t="str">
        <f>+IS!Q23</f>
        <v>4Q-Dec 16</v>
      </c>
      <c r="R29" s="525" t="str">
        <f>+IS!R23</f>
        <v>2016A</v>
      </c>
      <c r="S29" s="374" t="str">
        <f>+IS!S23</f>
        <v>1Q-Mar 17A</v>
      </c>
      <c r="T29" s="374" t="str">
        <f>+IS!T23</f>
        <v>2Q-Jun 17A</v>
      </c>
      <c r="U29" s="374" t="str">
        <f>+IS!U23</f>
        <v>3Q-Sep 17A</v>
      </c>
      <c r="V29" s="374" t="str">
        <f>+IS!V23</f>
        <v>4Q-Dec 17A</v>
      </c>
      <c r="W29" s="525" t="str">
        <f>+IS!W23</f>
        <v>2017A</v>
      </c>
      <c r="X29" s="374" t="str">
        <f>+IS!X23</f>
        <v>1Q-Mar 18A</v>
      </c>
      <c r="Y29" s="374" t="str">
        <f>+IS!Y23</f>
        <v>2Q-Jun 18A</v>
      </c>
      <c r="Z29" s="374" t="str">
        <f>+IS!Z23</f>
        <v>3Q-Sep 18A</v>
      </c>
      <c r="AA29" s="412" t="str">
        <f>+IS!AA23</f>
        <v>4Q-Dec 18A</v>
      </c>
      <c r="AB29" s="525" t="str">
        <f>+IS!AB23</f>
        <v>2018A</v>
      </c>
      <c r="AC29" s="412" t="str">
        <f>+IS!AC23</f>
        <v>1Q-Mar 19A</v>
      </c>
      <c r="AD29" s="432" t="str">
        <f>+IS!AD23</f>
        <v>2Q-Jun 19A</v>
      </c>
      <c r="AE29" s="374" t="str">
        <f>+IS!AE23</f>
        <v>3Q-Sep 19A</v>
      </c>
      <c r="AF29" s="374" t="str">
        <f>+IS!AF23</f>
        <v>4Q-Dec 19A</v>
      </c>
      <c r="AG29" s="525" t="str">
        <f>+IS!AG23</f>
        <v>2019A</v>
      </c>
      <c r="AH29" s="374" t="str">
        <f>+IS!AH23</f>
        <v>1Q-Mar 20A</v>
      </c>
      <c r="AI29" s="374" t="str">
        <f>+IS!AI23</f>
        <v>2Q-Jun 20A</v>
      </c>
      <c r="AJ29" s="374" t="str">
        <f>+IS!AJ23</f>
        <v>3Q-Sep 20A</v>
      </c>
      <c r="AK29" s="374" t="str">
        <f>+IS!AK23</f>
        <v>4Q-Dec 20A</v>
      </c>
      <c r="AL29" s="525" t="str">
        <f>+IS!AL23</f>
        <v>2020A</v>
      </c>
      <c r="AM29" s="374" t="str">
        <f>+IS!AM23</f>
        <v>1Q-Mar 21A</v>
      </c>
      <c r="AN29" s="374" t="str">
        <f>+IS!AN23</f>
        <v>2Q-Jun 21A</v>
      </c>
      <c r="AO29" s="374" t="str">
        <f>+IS!AO23</f>
        <v>3Q-Sep 21A</v>
      </c>
      <c r="AP29" s="374" t="str">
        <f>+IS!AP23</f>
        <v>4Q-Dec 21A</v>
      </c>
      <c r="AQ29" s="525" t="str">
        <f>+IS!AQ23</f>
        <v>2021A</v>
      </c>
      <c r="AR29" s="374" t="str">
        <f>+IS!AR23</f>
        <v>1Q-Mar 22A</v>
      </c>
      <c r="AS29" s="412" t="str">
        <f>+IS!AS23</f>
        <v>2Q-Jun 22A</v>
      </c>
      <c r="AT29" s="374" t="str">
        <f>+IS!AT23</f>
        <v>3Q-Sep 22A</v>
      </c>
      <c r="AU29" s="374" t="str">
        <f>+IS!AU23</f>
        <v>4Q-Dec 22A</v>
      </c>
      <c r="AV29" s="525" t="str">
        <f>+IS!AV23</f>
        <v>2022A</v>
      </c>
      <c r="AW29" s="374" t="str">
        <f>+IS!AW23</f>
        <v>1Q-Mar 23A</v>
      </c>
      <c r="AX29" s="374" t="str">
        <f>+IS!AX23</f>
        <v>2Q-Jun 23A</v>
      </c>
      <c r="AY29" s="374" t="str">
        <f>+IS!AY23</f>
        <v>3Q-Sep 23A</v>
      </c>
      <c r="AZ29" s="374" t="str">
        <f>+IS!AZ23</f>
        <v>4Q-Dec 23A</v>
      </c>
      <c r="BA29" s="525" t="str">
        <f>+IS!BA23</f>
        <v>2023A</v>
      </c>
      <c r="BB29" s="374" t="str">
        <f>+IS!BB23</f>
        <v>1Q-Mar 24A</v>
      </c>
      <c r="BC29" s="374" t="str">
        <f>+IS!BC23</f>
        <v>2Q-Jun 24A</v>
      </c>
      <c r="BD29" s="374" t="str">
        <f>+IS!BD23</f>
        <v>3Q-Sep 24A</v>
      </c>
      <c r="BE29" s="374" t="str">
        <f>+IS!BE23</f>
        <v>4Q-Dec 24A</v>
      </c>
      <c r="BF29" s="525" t="str">
        <f>+IS!BF23</f>
        <v>2024A</v>
      </c>
      <c r="BG29" s="374" t="str">
        <f>+IS!BG23</f>
        <v>1Q-Mar 25A</v>
      </c>
      <c r="BH29" s="374" t="str">
        <f>+IS!BH23</f>
        <v>2Q-Jun 25A</v>
      </c>
      <c r="BI29" s="374" t="str">
        <f>+IS!BI23</f>
        <v>3Q-Sep 25A</v>
      </c>
      <c r="BJ29" s="374" t="str">
        <f>+IS!BJ23</f>
        <v>4Q-Dec 25A</v>
      </c>
      <c r="BK29" s="525" t="str">
        <f>+IS!BK23</f>
        <v>2025A</v>
      </c>
      <c r="BL29" s="374" t="str">
        <f>+IS!BL23</f>
        <v>1Q-Mar 26E</v>
      </c>
      <c r="BM29" s="374" t="str">
        <f>+IS!BM23</f>
        <v>2Q-Jun 26E</v>
      </c>
      <c r="BN29" s="374" t="str">
        <f>+IS!BN23</f>
        <v>3Q-Sep 26E</v>
      </c>
      <c r="BO29" s="374" t="str">
        <f>+IS!BO23</f>
        <v>4Q-Dec 26E</v>
      </c>
      <c r="BP29" s="525" t="str">
        <f>+IS!BP23</f>
        <v xml:space="preserve"> 2026E</v>
      </c>
      <c r="BQ29" s="374" t="str">
        <f>+IS!BQ23</f>
        <v>1Q-Mar 27E</v>
      </c>
      <c r="BR29" s="374" t="str">
        <f>+IS!BR23</f>
        <v>2Q-Jun 27E</v>
      </c>
      <c r="BS29" s="374" t="str">
        <f>+IS!BS23</f>
        <v>3Q-Sep 27E</v>
      </c>
      <c r="BT29" s="374" t="str">
        <f>+IS!BT23</f>
        <v>4Q-Dec 27E</v>
      </c>
      <c r="BU29" s="525" t="str">
        <f>+IS!BU23</f>
        <v xml:space="preserve"> 2027E</v>
      </c>
      <c r="CE29" s="695"/>
      <c r="CF29" s="695"/>
    </row>
    <row r="30" spans="1:86" s="106" customFormat="1" ht="13.15">
      <c r="B30" s="225"/>
      <c r="C30" s="227"/>
      <c r="D30" s="228"/>
      <c r="E30" s="228"/>
      <c r="F30" s="228"/>
      <c r="G30" s="228"/>
      <c r="H30" s="526"/>
      <c r="I30" s="228"/>
      <c r="J30" s="228"/>
      <c r="K30" s="228"/>
      <c r="L30" s="228"/>
      <c r="M30" s="526"/>
      <c r="N30" s="228"/>
      <c r="O30" s="228"/>
      <c r="P30" s="228"/>
      <c r="Q30" s="228"/>
      <c r="R30" s="526"/>
      <c r="S30" s="228"/>
      <c r="T30" s="228"/>
      <c r="U30" s="228"/>
      <c r="V30" s="228"/>
      <c r="W30" s="526"/>
      <c r="X30" s="228"/>
      <c r="Y30" s="228"/>
      <c r="Z30" s="228"/>
      <c r="AA30" s="228"/>
      <c r="AB30" s="526"/>
      <c r="AC30" s="228"/>
      <c r="AD30" s="228"/>
      <c r="AE30" s="228"/>
      <c r="AF30" s="228"/>
      <c r="AG30" s="526"/>
      <c r="AH30" s="228"/>
      <c r="AI30" s="228"/>
      <c r="AJ30" s="228"/>
      <c r="AK30" s="228"/>
      <c r="AL30" s="526"/>
      <c r="AM30" s="228"/>
      <c r="AN30" s="228"/>
      <c r="AO30" s="228"/>
      <c r="AP30" s="228"/>
      <c r="AQ30" s="526"/>
      <c r="AR30" s="228"/>
      <c r="AS30" s="228"/>
      <c r="AT30" s="228"/>
      <c r="AU30" s="228"/>
      <c r="AV30" s="526"/>
      <c r="AW30" s="228"/>
      <c r="AX30" s="228"/>
      <c r="AY30" s="228"/>
      <c r="AZ30" s="228"/>
      <c r="BA30" s="526"/>
      <c r="BB30" s="228"/>
      <c r="BC30" s="228"/>
      <c r="BD30" s="228"/>
      <c r="BE30" s="228"/>
      <c r="BF30" s="526"/>
      <c r="BG30" s="228"/>
      <c r="BH30" s="228"/>
      <c r="BI30" s="228"/>
      <c r="BJ30" s="228"/>
      <c r="BK30" s="526"/>
      <c r="BL30" s="228"/>
      <c r="BM30" s="228"/>
      <c r="BN30" s="228"/>
      <c r="BO30" s="228"/>
      <c r="BP30" s="526"/>
      <c r="BQ30" s="228"/>
      <c r="BR30" s="228"/>
      <c r="BS30" s="228"/>
      <c r="BT30" s="228"/>
      <c r="BU30" s="526"/>
      <c r="CD30" s="106" t="s">
        <v>374</v>
      </c>
      <c r="CE30" s="695">
        <f>CE26*CE24</f>
        <v>173.16</v>
      </c>
      <c r="CF30" s="695">
        <f>CF26*CF24</f>
        <v>189.155755</v>
      </c>
      <c r="CH30" s="106">
        <f>CF30/CE30-1</f>
        <v>9.2375577500577455E-2</v>
      </c>
    </row>
    <row r="31" spans="1:86" s="106" customFormat="1" ht="13.15">
      <c r="B31" s="231" t="s">
        <v>184</v>
      </c>
      <c r="C31" s="231"/>
      <c r="D31" s="416" t="s">
        <v>340</v>
      </c>
      <c r="E31" s="416" t="s">
        <v>340</v>
      </c>
      <c r="F31" s="416" t="s">
        <v>340</v>
      </c>
      <c r="G31" s="416" t="s">
        <v>340</v>
      </c>
      <c r="H31" s="532">
        <f>+H32*'Billings &amp; Recs'!H8</f>
        <v>11916.4</v>
      </c>
      <c r="I31" s="351">
        <f>+I32*'Billings &amp; Recs'!I8</f>
        <v>15415.434000000001</v>
      </c>
      <c r="J31" s="351">
        <f>+J32*'Billings &amp; Recs'!J8</f>
        <v>16660.34</v>
      </c>
      <c r="K31" s="351">
        <f>+K32*'Billings &amp; Recs'!K8</f>
        <v>18855.792000000001</v>
      </c>
      <c r="L31" s="351">
        <f>+L32*'Billings &amp; Recs'!L8</f>
        <v>21551.567999999999</v>
      </c>
      <c r="M31" s="532">
        <f>+M32*'Billings &amp; Recs'!M8</f>
        <v>72449.793000000005</v>
      </c>
      <c r="N31" s="351">
        <f>+N32*'Billings &amp; Recs'!N8</f>
        <v>23382.912</v>
      </c>
      <c r="O31" s="351">
        <f>+O32*'Billings &amp; Recs'!O8</f>
        <v>25118.632000000001</v>
      </c>
      <c r="P31" s="351">
        <f>+P32*'Billings &amp; Recs'!P8</f>
        <v>27309.503000000001</v>
      </c>
      <c r="Q31" s="351">
        <f>+Q32*'Billings &amp; Recs'!Q8</f>
        <v>29632.372000000003</v>
      </c>
      <c r="R31" s="532">
        <f>+R32*'Billings &amp; Recs'!R8</f>
        <v>105522.14925</v>
      </c>
      <c r="S31" s="351">
        <f>+S32*'Billings &amp; Recs'!S8</f>
        <v>31038.070000000003</v>
      </c>
      <c r="T31" s="351">
        <f>+T32*'Billings &amp; Recs'!T8</f>
        <v>32972.884999999995</v>
      </c>
      <c r="U31" s="351">
        <f>+U32*'Billings &amp; Recs'!U8</f>
        <v>35617.305</v>
      </c>
      <c r="V31" s="351">
        <f>+V32*'Billings &amp; Recs'!V8</f>
        <v>40180.775999999998</v>
      </c>
      <c r="W31" s="532">
        <f>+W32*'Billings &amp; Recs'!W8</f>
        <v>139753.76999999999</v>
      </c>
      <c r="X31" s="351">
        <f>+X32*'Billings &amp; Recs'!X8</f>
        <v>42140.095000000001</v>
      </c>
      <c r="Y31" s="351">
        <f>+Y32*'Billings &amp; Recs'!Y8</f>
        <v>45876.185000000005</v>
      </c>
      <c r="Z31" s="351">
        <f>+Z32*'Billings &amp; Recs'!Z8</f>
        <v>51076.934999999998</v>
      </c>
      <c r="AA31" s="351">
        <f>+AA32*'Billings &amp; Recs'!AA8</f>
        <v>57354.18</v>
      </c>
      <c r="AB31" s="532">
        <f>+AB32*'Billings &amp; Recs'!AB8</f>
        <v>195944.05025</v>
      </c>
      <c r="AC31" s="351">
        <f>+AC32*'Billings &amp; Recs'!AC8</f>
        <v>62426.805</v>
      </c>
      <c r="AD31" s="351">
        <f>+AD32*'Billings &amp; Recs'!AD8</f>
        <v>68852.248000000007</v>
      </c>
      <c r="AE31" s="351">
        <f>+AE32*'Billings &amp; Recs'!AE8</f>
        <v>73342.710000000006</v>
      </c>
      <c r="AF31" s="351">
        <f>+AF32*'Billings &amp; Recs'!AF8</f>
        <v>80008.703999999998</v>
      </c>
      <c r="AG31" s="532">
        <f>+AG32*'Billings &amp; Recs'!AG8</f>
        <v>284443.89</v>
      </c>
      <c r="AH31" s="351">
        <f>+AH32*'Billings &amp; Recs'!AH8</f>
        <v>84528.639999999999</v>
      </c>
      <c r="AI31" s="351">
        <f>+AI32*'Billings &amp; Recs'!AI8</f>
        <v>89614.271999999997</v>
      </c>
      <c r="AJ31" s="351">
        <f>+AJ32*'Billings &amp; Recs'!AJ8</f>
        <v>95828.400000000009</v>
      </c>
      <c r="AK31" s="351">
        <f>+AK32*'Billings &amp; Recs'!AK8</f>
        <v>101843.1</v>
      </c>
      <c r="AL31" s="532">
        <f>+AL32*'Billings &amp; Recs'!AL8</f>
        <v>371777.60099999997</v>
      </c>
      <c r="AM31" s="351">
        <f>+AM32*'Billings &amp; Recs'!AM8</f>
        <v>106880.41</v>
      </c>
      <c r="AN31" s="351">
        <f>+AN32*'Billings &amp; Recs'!AN8</f>
        <v>115043.11</v>
      </c>
      <c r="AO31" s="351">
        <f>+AO32*'Billings &amp; Recs'!AO8</f>
        <v>128702.48000000001</v>
      </c>
      <c r="AP31" s="351">
        <f>+AP32*'Billings &amp; Recs'!AP8</f>
        <v>139506.96</v>
      </c>
      <c r="AQ31" s="532">
        <f>+AQ32*'Billings &amp; Recs'!AQ8</f>
        <v>489894.66000000003</v>
      </c>
      <c r="AR31" s="351">
        <f>+AR32*'Billings &amp; Recs'!AR8</f>
        <v>147940.96</v>
      </c>
      <c r="AS31" s="351">
        <f>+AS32*'Billings &amp; Recs'!AS8</f>
        <v>157407.69999999998</v>
      </c>
      <c r="AT31" s="351">
        <f>+AT32*'Billings &amp; Recs'!AT8</f>
        <v>165219.09999999998</v>
      </c>
      <c r="AU31" s="351">
        <f>+AU32*'Billings &amp; Recs'!AU8</f>
        <v>173410.25999999998</v>
      </c>
      <c r="AV31" s="532">
        <f>+AV32*'Billings &amp; Recs'!AV8</f>
        <v>643978.02</v>
      </c>
      <c r="AW31" s="351">
        <f>+AW32*'Billings &amp; Recs'!AW8</f>
        <v>174015.3</v>
      </c>
      <c r="AX31" s="351">
        <f>+AX32*'Billings &amp; Recs'!AX8</f>
        <v>180900.9</v>
      </c>
      <c r="AY31" s="351">
        <f>+AY32*'Billings &amp; Recs'!AY8</f>
        <v>188900.84999999998</v>
      </c>
      <c r="AZ31" s="351">
        <f>+AZ32*'Billings &amp; Recs'!AZ8</f>
        <v>195004.59999999998</v>
      </c>
      <c r="BA31" s="532">
        <f>+BA32*'Billings &amp; Recs'!BA8</f>
        <v>738821.65</v>
      </c>
      <c r="BB31" s="351">
        <f>+BB32*'Billings &amp; Recs'!BB8</f>
        <v>194845.94999999998</v>
      </c>
      <c r="BC31" s="351">
        <f>+BC32*'Billings &amp; Recs'!BC8</f>
        <v>199671.36</v>
      </c>
      <c r="BD31" s="351">
        <f>+BD32*'Billings &amp; Recs'!BD8</f>
        <v>206067.84</v>
      </c>
      <c r="BE31" s="351">
        <f>+BE32*'Billings &amp; Recs'!BE8</f>
        <v>207610.56</v>
      </c>
      <c r="BF31" s="532">
        <f>+BF32*'Billings &amp; Recs'!BF8</f>
        <v>808136.70250000001</v>
      </c>
      <c r="BG31" s="351">
        <f>+BG32*'Billings &amp; Recs'!BG8</f>
        <v>201842.88</v>
      </c>
      <c r="BH31" s="351">
        <f>+BH32*'Billings &amp; Recs'!BH8</f>
        <v>205625.28</v>
      </c>
      <c r="BI31" s="351">
        <f>+BI32*'Billings &amp; Recs'!BI8</f>
        <v>211421.19999999998</v>
      </c>
      <c r="BJ31" s="351">
        <f>+BJ32*'Billings &amp; Recs'!BJ8</f>
        <v>210866.36</v>
      </c>
      <c r="BK31" s="532">
        <f>+BK32*'Billings &amp; Recs'!BK8</f>
        <v>829701.20999999985</v>
      </c>
      <c r="BL31" s="351">
        <f>+BL32*'Billings &amp; Recs'!BL8</f>
        <v>201730.63325000001</v>
      </c>
      <c r="BM31" s="351">
        <f>+BM32*'Billings &amp; Recs'!BM8</f>
        <v>202665.7666</v>
      </c>
      <c r="BN31" s="351">
        <f>+BN32*'Billings &amp; Recs'!BN8</f>
        <v>206044.11799999999</v>
      </c>
      <c r="BO31" s="351">
        <f>+BO32*'Billings &amp; Recs'!BO8</f>
        <v>207487.2464</v>
      </c>
      <c r="BP31" s="532">
        <f>+BP32*'Billings &amp; Recs'!BP8</f>
        <v>817902.42787500005</v>
      </c>
      <c r="BQ31" s="351">
        <f>+BQ32*'Billings &amp; Recs'!BQ8</f>
        <v>207292.13967</v>
      </c>
      <c r="BR31" s="351">
        <f>+BR32*'Billings &amp; Recs'!BR8</f>
        <v>208262.35701599999</v>
      </c>
      <c r="BS31" s="351">
        <f>+BS32*'Billings &amp; Recs'!BS8</f>
        <v>209411.48071199999</v>
      </c>
      <c r="BT31" s="351">
        <f>+BT32*'Billings &amp; Recs'!BT8</f>
        <v>210842.295216</v>
      </c>
      <c r="BU31" s="532">
        <f>+BU32*'Billings &amp; Recs'!BU8</f>
        <v>835808.27261400002</v>
      </c>
      <c r="CD31" s="106" t="s">
        <v>369</v>
      </c>
      <c r="CE31" s="695">
        <f>CE26-CE27-CE30</f>
        <v>30.302999999999969</v>
      </c>
      <c r="CF31" s="695">
        <f>CF26-CF27-CF30</f>
        <v>29.626805000000019</v>
      </c>
      <c r="CH31" s="106">
        <f>CF31/CE31-1</f>
        <v>-2.2314457314455693E-2</v>
      </c>
    </row>
    <row r="32" spans="1:86" s="106" customFormat="1" ht="12.75">
      <c r="B32" s="227" t="s">
        <v>181</v>
      </c>
      <c r="C32" s="227"/>
      <c r="D32" s="371" t="s">
        <v>340</v>
      </c>
      <c r="E32" s="233">
        <v>0.62</v>
      </c>
      <c r="F32" s="371" t="s">
        <v>340</v>
      </c>
      <c r="G32" s="371" t="s">
        <v>340</v>
      </c>
      <c r="H32" s="480">
        <f>SUM(D32:G32)/4</f>
        <v>0.155</v>
      </c>
      <c r="I32" s="233">
        <v>0.65400000000000003</v>
      </c>
      <c r="J32" s="233">
        <v>0.64600000000000002</v>
      </c>
      <c r="K32" s="237">
        <v>0.66600000000000004</v>
      </c>
      <c r="L32" s="237">
        <v>0.65600000000000003</v>
      </c>
      <c r="M32" s="480">
        <f>SUM(I32:L32)/4</f>
        <v>0.65550000000000008</v>
      </c>
      <c r="N32" s="237">
        <v>0.67200000000000004</v>
      </c>
      <c r="O32" s="237">
        <v>0.67400000000000004</v>
      </c>
      <c r="P32" s="237">
        <v>0.67700000000000005</v>
      </c>
      <c r="Q32" s="237">
        <v>0.65800000000000003</v>
      </c>
      <c r="R32" s="480">
        <f>SUM(N32:Q32)/4</f>
        <v>0.67025000000000001</v>
      </c>
      <c r="S32" s="237">
        <v>0.68600000000000005</v>
      </c>
      <c r="T32" s="237">
        <v>0.69499999999999995</v>
      </c>
      <c r="U32" s="237">
        <v>0.70499999999999996</v>
      </c>
      <c r="V32" s="237">
        <v>0.69599999999999995</v>
      </c>
      <c r="W32" s="480">
        <f>SUM(S32:V32)/4</f>
        <v>0.69550000000000001</v>
      </c>
      <c r="X32" s="234">
        <v>0.77300000000000002</v>
      </c>
      <c r="Y32" s="234">
        <v>0.78500000000000003</v>
      </c>
      <c r="Z32" s="234">
        <v>0.81899999999999995</v>
      </c>
      <c r="AA32" s="234">
        <v>0.83399999999999996</v>
      </c>
      <c r="AB32" s="535">
        <f>SUM(X32:AA32)/4</f>
        <v>0.80274999999999996</v>
      </c>
      <c r="AC32" s="237">
        <v>0.85299999999999998</v>
      </c>
      <c r="AD32" s="237">
        <v>0.872</v>
      </c>
      <c r="AE32" s="237">
        <v>0.88200000000000001</v>
      </c>
      <c r="AF32" s="237">
        <v>0.873</v>
      </c>
      <c r="AG32" s="480">
        <f>SUM(AC32:AF32)/4</f>
        <v>0.87000000000000011</v>
      </c>
      <c r="AH32" s="672">
        <v>0.89600000000000002</v>
      </c>
      <c r="AI32" s="672">
        <v>0.90600000000000003</v>
      </c>
      <c r="AJ32" s="672">
        <v>0.91200000000000003</v>
      </c>
      <c r="AK32" s="237">
        <v>0.9</v>
      </c>
      <c r="AL32" s="480">
        <f>SUM(AH32:AK32)/4</f>
        <v>0.90349999999999997</v>
      </c>
      <c r="AM32" s="672">
        <v>0.91</v>
      </c>
      <c r="AN32" s="672">
        <v>0.91</v>
      </c>
      <c r="AO32" s="672">
        <v>0.92</v>
      </c>
      <c r="AP32" s="339">
        <v>0.92</v>
      </c>
      <c r="AQ32" s="480">
        <f>SUM(AM32:AP32)/4</f>
        <v>0.91500000000000004</v>
      </c>
      <c r="AR32" s="672">
        <v>0.94</v>
      </c>
      <c r="AS32" s="672">
        <v>0.94</v>
      </c>
      <c r="AT32" s="672">
        <v>0.94</v>
      </c>
      <c r="AU32" s="672">
        <v>0.94</v>
      </c>
      <c r="AV32" s="480">
        <f>SUM(AR32:AU32)/4</f>
        <v>0.94</v>
      </c>
      <c r="AW32" s="672">
        <v>0.95</v>
      </c>
      <c r="AX32" s="672">
        <v>0.95</v>
      </c>
      <c r="AY32" s="672">
        <v>0.95</v>
      </c>
      <c r="AZ32" s="672">
        <v>0.95</v>
      </c>
      <c r="BA32" s="480">
        <f>SUM(AW32:AZ32)/4</f>
        <v>0.95</v>
      </c>
      <c r="BB32" s="672">
        <v>0.95</v>
      </c>
      <c r="BC32" s="672">
        <v>0.96</v>
      </c>
      <c r="BD32" s="672">
        <v>0.96</v>
      </c>
      <c r="BE32" s="339">
        <v>0.96</v>
      </c>
      <c r="BF32" s="480">
        <f>SUM(BB32:BE32)/4</f>
        <v>0.95750000000000002</v>
      </c>
      <c r="BG32" s="436">
        <v>0.96</v>
      </c>
      <c r="BH32" s="436">
        <v>0.96</v>
      </c>
      <c r="BI32" s="436">
        <v>0.97</v>
      </c>
      <c r="BJ32" s="338">
        <v>0.97</v>
      </c>
      <c r="BK32" s="480">
        <f>SUM(BG32:BJ32)/4</f>
        <v>0.96499999999999986</v>
      </c>
      <c r="BL32" s="436">
        <v>0.97</v>
      </c>
      <c r="BM32" s="436">
        <v>0.97</v>
      </c>
      <c r="BN32" s="436">
        <v>0.98</v>
      </c>
      <c r="BO32" s="338">
        <v>0.98</v>
      </c>
      <c r="BP32" s="480">
        <f>SUM(BL32:BO32)/4</f>
        <v>0.97499999999999998</v>
      </c>
      <c r="BQ32" s="436">
        <v>0.98</v>
      </c>
      <c r="BR32" s="436">
        <v>0.98</v>
      </c>
      <c r="BS32" s="436">
        <v>0.98</v>
      </c>
      <c r="BT32" s="338">
        <v>0.98</v>
      </c>
      <c r="BU32" s="480">
        <f>SUM(BQ32:BT32)/4</f>
        <v>0.98</v>
      </c>
    </row>
    <row r="33" spans="2:86" s="106" customFormat="1" ht="12.75">
      <c r="B33" s="227" t="s">
        <v>126</v>
      </c>
      <c r="C33" s="227"/>
      <c r="D33" s="371" t="s">
        <v>340</v>
      </c>
      <c r="E33" s="371" t="s">
        <v>340</v>
      </c>
      <c r="F33" s="371" t="s">
        <v>340</v>
      </c>
      <c r="G33" s="371" t="s">
        <v>340</v>
      </c>
      <c r="H33" s="533" t="s">
        <v>340</v>
      </c>
      <c r="I33" s="371" t="s">
        <v>340</v>
      </c>
      <c r="J33" s="371" t="s">
        <v>340</v>
      </c>
      <c r="K33" s="371" t="s">
        <v>340</v>
      </c>
      <c r="L33" s="371" t="s">
        <v>340</v>
      </c>
      <c r="M33" s="502">
        <f t="shared" ref="M33:AR33" si="26">+M31/H31-1</f>
        <v>5.0798389614313058</v>
      </c>
      <c r="N33" s="233">
        <f t="shared" si="26"/>
        <v>0.51685070949024192</v>
      </c>
      <c r="O33" s="233">
        <f t="shared" si="26"/>
        <v>0.50769023921480594</v>
      </c>
      <c r="P33" s="233">
        <f t="shared" si="26"/>
        <v>0.44833497314777326</v>
      </c>
      <c r="Q33" s="233">
        <f t="shared" si="26"/>
        <v>0.37495202205240963</v>
      </c>
      <c r="R33" s="502">
        <f t="shared" si="26"/>
        <v>0.45648655269449834</v>
      </c>
      <c r="S33" s="233">
        <f t="shared" si="26"/>
        <v>0.32738257749932953</v>
      </c>
      <c r="T33" s="233">
        <f t="shared" si="26"/>
        <v>0.3126863357845282</v>
      </c>
      <c r="U33" s="233">
        <f t="shared" si="26"/>
        <v>0.30420919780195188</v>
      </c>
      <c r="V33" s="233">
        <f t="shared" si="26"/>
        <v>0.35597568767022758</v>
      </c>
      <c r="W33" s="502">
        <f t="shared" si="26"/>
        <v>0.32440223207451391</v>
      </c>
      <c r="X33" s="233">
        <f t="shared" si="26"/>
        <v>0.35769057161092799</v>
      </c>
      <c r="Y33" s="233">
        <f t="shared" si="26"/>
        <v>0.3913306342468974</v>
      </c>
      <c r="Z33" s="233">
        <f t="shared" si="26"/>
        <v>0.43404828074443014</v>
      </c>
      <c r="AA33" s="233">
        <f t="shared" si="26"/>
        <v>0.42740349265529365</v>
      </c>
      <c r="AB33" s="502">
        <f t="shared" si="26"/>
        <v>0.40206629309534914</v>
      </c>
      <c r="AC33" s="233">
        <f t="shared" si="26"/>
        <v>0.48141111214865551</v>
      </c>
      <c r="AD33" s="233">
        <f t="shared" si="26"/>
        <v>0.50082767344320378</v>
      </c>
      <c r="AE33" s="233">
        <f t="shared" si="26"/>
        <v>0.43592621601119985</v>
      </c>
      <c r="AF33" s="233">
        <f t="shared" si="26"/>
        <v>0.39499342506509549</v>
      </c>
      <c r="AG33" s="502">
        <f t="shared" si="26"/>
        <v>0.45165872419747033</v>
      </c>
      <c r="AH33" s="233">
        <f t="shared" si="26"/>
        <v>0.35404398799522085</v>
      </c>
      <c r="AI33" s="233">
        <f t="shared" si="26"/>
        <v>0.30154460606718292</v>
      </c>
      <c r="AJ33" s="233">
        <f t="shared" si="26"/>
        <v>0.30658384452933363</v>
      </c>
      <c r="AK33" s="233">
        <f t="shared" si="26"/>
        <v>0.27290025845188048</v>
      </c>
      <c r="AL33" s="502">
        <f t="shared" si="26"/>
        <v>0.30703317620919868</v>
      </c>
      <c r="AM33" s="233">
        <f t="shared" si="26"/>
        <v>0.26442836416154347</v>
      </c>
      <c r="AN33" s="233">
        <f t="shared" si="26"/>
        <v>0.28375879681307903</v>
      </c>
      <c r="AO33" s="233">
        <f t="shared" si="26"/>
        <v>0.34305153795743215</v>
      </c>
      <c r="AP33" s="233">
        <f t="shared" si="26"/>
        <v>0.369822403285053</v>
      </c>
      <c r="AQ33" s="502">
        <f t="shared" si="26"/>
        <v>0.31770891705764726</v>
      </c>
      <c r="AR33" s="233">
        <f t="shared" si="26"/>
        <v>0.38417283391783386</v>
      </c>
      <c r="AS33" s="233">
        <f t="shared" ref="AS33:BP33" si="27">+AS31/AN31-1</f>
        <v>0.36824969352793047</v>
      </c>
      <c r="AT33" s="233">
        <f t="shared" si="27"/>
        <v>0.28372895378550567</v>
      </c>
      <c r="AU33" s="233">
        <f t="shared" si="27"/>
        <v>0.24302228361939782</v>
      </c>
      <c r="AV33" s="502">
        <f t="shared" si="27"/>
        <v>0.31452345285821237</v>
      </c>
      <c r="AW33" s="233">
        <f t="shared" si="27"/>
        <v>0.17624828174698881</v>
      </c>
      <c r="AX33" s="233">
        <f t="shared" si="27"/>
        <v>0.14925064021645706</v>
      </c>
      <c r="AY33" s="233">
        <f t="shared" si="27"/>
        <v>0.14333542550467837</v>
      </c>
      <c r="AZ33" s="233">
        <f t="shared" si="27"/>
        <v>0.12452746452257202</v>
      </c>
      <c r="BA33" s="794">
        <f t="shared" si="27"/>
        <v>0.14727774404474236</v>
      </c>
      <c r="BB33" s="233">
        <f t="shared" si="27"/>
        <v>0.1197058534508173</v>
      </c>
      <c r="BC33" s="233">
        <f t="shared" si="27"/>
        <v>0.10376100948088141</v>
      </c>
      <c r="BD33" s="233">
        <f t="shared" si="27"/>
        <v>9.0878309970548132E-2</v>
      </c>
      <c r="BE33" s="233">
        <f t="shared" si="27"/>
        <v>6.4644423772567627E-2</v>
      </c>
      <c r="BF33" s="794">
        <f t="shared" si="27"/>
        <v>9.3818382961571301E-2</v>
      </c>
      <c r="BG33" s="233">
        <f t="shared" si="27"/>
        <v>3.5910061256084758E-2</v>
      </c>
      <c r="BH33" s="233">
        <f t="shared" si="27"/>
        <v>2.9818597920102441E-2</v>
      </c>
      <c r="BI33" s="233">
        <f t="shared" si="27"/>
        <v>2.5978629173771139E-2</v>
      </c>
      <c r="BJ33" s="233">
        <f t="shared" si="27"/>
        <v>1.5682246606338213E-2</v>
      </c>
      <c r="BK33" s="794">
        <f t="shared" si="27"/>
        <v>2.6684232300413058E-2</v>
      </c>
      <c r="BL33" s="233">
        <f t="shared" si="27"/>
        <v>-5.5610953430706989E-4</v>
      </c>
      <c r="BM33" s="233">
        <f t="shared" si="27"/>
        <v>-1.4392750735707227E-2</v>
      </c>
      <c r="BN33" s="233">
        <f t="shared" si="27"/>
        <v>-2.5433031313794485E-2</v>
      </c>
      <c r="BO33" s="233">
        <f t="shared" si="27"/>
        <v>-1.6024906011561035E-2</v>
      </c>
      <c r="BP33" s="502">
        <f t="shared" si="27"/>
        <v>-1.4220519366242468E-2</v>
      </c>
      <c r="BQ33" s="233">
        <f t="shared" ref="BQ33" si="28">+BQ31/BL31-1</f>
        <v>2.7568973191630874E-2</v>
      </c>
      <c r="BR33" s="233">
        <f t="shared" ref="BR33" si="29">+BR31/BM31-1</f>
        <v>2.7614877983048514E-2</v>
      </c>
      <c r="BS33" s="233">
        <f t="shared" ref="BS33" si="30">+BS31/BN31-1</f>
        <v>1.6342920849601761E-2</v>
      </c>
      <c r="BT33" s="233">
        <f t="shared" ref="BT33" si="31">+BT31/BO31-1</f>
        <v>1.6169903809567288E-2</v>
      </c>
      <c r="BU33" s="502">
        <f t="shared" ref="BU33" si="32">+BU31/BP31-1</f>
        <v>2.1892397098662864E-2</v>
      </c>
    </row>
    <row r="34" spans="2:86" s="106" customFormat="1" ht="12.75">
      <c r="B34" s="227" t="s">
        <v>141</v>
      </c>
      <c r="C34" s="227"/>
      <c r="D34" s="371" t="s">
        <v>340</v>
      </c>
      <c r="E34" s="371" t="s">
        <v>340</v>
      </c>
      <c r="F34" s="371" t="s">
        <v>340</v>
      </c>
      <c r="G34" s="371" t="s">
        <v>340</v>
      </c>
      <c r="H34" s="533" t="s">
        <v>340</v>
      </c>
      <c r="I34" s="371" t="s">
        <v>340</v>
      </c>
      <c r="J34" s="233">
        <f>+J31/I31-1</f>
        <v>8.0757116536582574E-2</v>
      </c>
      <c r="K34" s="233">
        <f>+K31/J31-1</f>
        <v>0.13177714260333229</v>
      </c>
      <c r="L34" s="233">
        <f>+L31/K31-1</f>
        <v>0.14296805989374506</v>
      </c>
      <c r="M34" s="502"/>
      <c r="N34" s="233">
        <f>+N31/L31-1</f>
        <v>8.4974977226714987E-2</v>
      </c>
      <c r="O34" s="233">
        <f>+O31/N31-1</f>
        <v>7.4230275510595245E-2</v>
      </c>
      <c r="P34" s="233">
        <f>+P31/O31-1</f>
        <v>8.722095216013348E-2</v>
      </c>
      <c r="Q34" s="233">
        <f>+Q31/P31-1</f>
        <v>8.5057168561434526E-2</v>
      </c>
      <c r="R34" s="502"/>
      <c r="S34" s="233">
        <f>+S31/Q31-1</f>
        <v>4.7437916883602771E-2</v>
      </c>
      <c r="T34" s="233">
        <f>+T31/S31-1</f>
        <v>6.2336833443574102E-2</v>
      </c>
      <c r="U34" s="233">
        <f>+U31/T31-1</f>
        <v>8.0199836926614365E-2</v>
      </c>
      <c r="V34" s="233">
        <f>+V31/U31-1</f>
        <v>0.12812510660197329</v>
      </c>
      <c r="W34" s="502"/>
      <c r="X34" s="233">
        <f>+X31/V31-1</f>
        <v>4.8762597317682621E-2</v>
      </c>
      <c r="Y34" s="233">
        <f>+Y31/X31-1</f>
        <v>8.865879395858034E-2</v>
      </c>
      <c r="Z34" s="233">
        <f>+Z31/Y31-1</f>
        <v>0.1133649190751147</v>
      </c>
      <c r="AA34" s="233">
        <f>+AA31/Z31-1</f>
        <v>0.12289784028740169</v>
      </c>
      <c r="AB34" s="502"/>
      <c r="AC34" s="233">
        <f>+AC31/AA31-1</f>
        <v>8.844385884341821E-2</v>
      </c>
      <c r="AD34" s="233">
        <f>+AD31/AC31-1</f>
        <v>0.1029276286044114</v>
      </c>
      <c r="AE34" s="233">
        <f>+AE31/AD31-1</f>
        <v>6.5218814642043377E-2</v>
      </c>
      <c r="AF34" s="233">
        <f>+AF31/AE31-1</f>
        <v>9.0888296873676833E-2</v>
      </c>
      <c r="AG34" s="502"/>
      <c r="AH34" s="233">
        <f>+AH31/AF31-1</f>
        <v>5.6493053555773054E-2</v>
      </c>
      <c r="AI34" s="233">
        <f>+AI31/AH31-1</f>
        <v>6.0164602198734096E-2</v>
      </c>
      <c r="AJ34" s="233">
        <f>+AJ31/AI31-1</f>
        <v>6.9343061783730287E-2</v>
      </c>
      <c r="AK34" s="233">
        <f>+AK31/AJ31-1</f>
        <v>6.2765318005935544E-2</v>
      </c>
      <c r="AL34" s="502"/>
      <c r="AM34" s="233">
        <f>+AM31/AK31-1</f>
        <v>4.946147554424396E-2</v>
      </c>
      <c r="AN34" s="233">
        <f>+AN31/AM31-1</f>
        <v>7.6372274395279716E-2</v>
      </c>
      <c r="AO34" s="233">
        <f>+AO31/AN31-1</f>
        <v>0.11873262118870054</v>
      </c>
      <c r="AP34" s="233">
        <f>+AP31/AO31-1</f>
        <v>8.3949275880309315E-2</v>
      </c>
      <c r="AQ34" s="502"/>
      <c r="AR34" s="233">
        <f>+AR31/AP31-1</f>
        <v>6.0455765074373335E-2</v>
      </c>
      <c r="AS34" s="233">
        <f>+AS31/AR31-1</f>
        <v>6.3989986275606148E-2</v>
      </c>
      <c r="AT34" s="233">
        <f>+AT31/AS31-1</f>
        <v>4.9625272461258252E-2</v>
      </c>
      <c r="AU34" s="233">
        <f>+AU31/AT31-1</f>
        <v>4.9577560947856592E-2</v>
      </c>
      <c r="AV34" s="794"/>
      <c r="AW34" s="233">
        <f>+AW31/AU31-1</f>
        <v>3.4890669098819327E-3</v>
      </c>
      <c r="AX34" s="233">
        <f>+AX31/AW31-1</f>
        <v>3.9568934455763483E-2</v>
      </c>
      <c r="AY34" s="233">
        <f>+AY31/AX31-1</f>
        <v>4.4222831395531959E-2</v>
      </c>
      <c r="AZ34" s="233">
        <f>+AZ31/AY31-1</f>
        <v>3.2311924483134913E-2</v>
      </c>
      <c r="BA34" s="794"/>
      <c r="BB34" s="233">
        <f>+BB31/AZ31-1</f>
        <v>-8.1357055166897396E-4</v>
      </c>
      <c r="BC34" s="233">
        <f>+BC31/BB31-1</f>
        <v>2.4765256860612261E-2</v>
      </c>
      <c r="BD34" s="233">
        <f>+BD31/BC31-1</f>
        <v>3.2035039977691415E-2</v>
      </c>
      <c r="BE34" s="233">
        <f>+BE31/BD31-1</f>
        <v>7.486466592749208E-3</v>
      </c>
      <c r="BF34" s="794"/>
      <c r="BG34" s="233">
        <f>+BG31/BE31-1</f>
        <v>-2.778124580946173E-2</v>
      </c>
      <c r="BH34" s="233">
        <f>+BH31/BG31-1</f>
        <v>1.8739328333008398E-2</v>
      </c>
      <c r="BI34" s="233">
        <f>+BI31/BH31-1</f>
        <v>2.8186806602767733E-2</v>
      </c>
      <c r="BJ34" s="233">
        <f>+BJ31/BI31-1</f>
        <v>-2.6243347403193118E-3</v>
      </c>
      <c r="BK34" s="794"/>
      <c r="BL34" s="233">
        <f>+BL31/BJ31-1</f>
        <v>-4.3324723535797638E-2</v>
      </c>
      <c r="BM34" s="233">
        <f>+BM31/BL31-1</f>
        <v>4.6355545260252651E-3</v>
      </c>
      <c r="BN34" s="233">
        <f>+BN31/BM31-1</f>
        <v>1.6669571071012745E-2</v>
      </c>
      <c r="BO34" s="233">
        <f>+BO31/BN31-1</f>
        <v>7.0039776626868999E-3</v>
      </c>
      <c r="BP34" s="794"/>
      <c r="BQ34" s="233">
        <f>+BQ31/BO31-1</f>
        <v>-9.4033119329106629E-4</v>
      </c>
      <c r="BR34" s="233">
        <f>+BR31/BQ31-1</f>
        <v>4.6804348083073766E-3</v>
      </c>
      <c r="BS34" s="233">
        <f>+BS31/BR31-1</f>
        <v>5.5176735367097329E-3</v>
      </c>
      <c r="BT34" s="233">
        <f>+BT31/BS31-1</f>
        <v>6.8325504367536816E-3</v>
      </c>
      <c r="BU34" s="794"/>
    </row>
    <row r="35" spans="2:86" s="106" customFormat="1" ht="12.75">
      <c r="B35" s="227"/>
      <c r="C35" s="227"/>
      <c r="D35" s="233"/>
      <c r="E35" s="233"/>
      <c r="F35" s="233"/>
      <c r="G35" s="233"/>
      <c r="H35" s="502"/>
      <c r="I35" s="233"/>
      <c r="J35" s="233"/>
      <c r="K35" s="233"/>
      <c r="L35" s="233"/>
      <c r="M35" s="502"/>
      <c r="N35" s="233"/>
      <c r="O35" s="233"/>
      <c r="P35" s="233"/>
      <c r="Q35" s="233"/>
      <c r="R35" s="502"/>
      <c r="S35" s="233"/>
      <c r="T35" s="233"/>
      <c r="U35" s="233"/>
      <c r="V35" s="233"/>
      <c r="W35" s="502"/>
      <c r="X35" s="233"/>
      <c r="Y35" s="233"/>
      <c r="Z35" s="233"/>
      <c r="AA35" s="233"/>
      <c r="AB35" s="502"/>
      <c r="AC35" s="233"/>
      <c r="AD35" s="233"/>
      <c r="AE35" s="233"/>
      <c r="AF35" s="233"/>
      <c r="AG35" s="502"/>
      <c r="AH35" s="233"/>
      <c r="AI35" s="233"/>
      <c r="AJ35" s="233"/>
      <c r="AK35" s="233"/>
      <c r="AL35" s="502"/>
      <c r="AM35" s="233"/>
      <c r="AN35" s="233"/>
      <c r="AO35" s="233"/>
      <c r="AP35" s="233"/>
      <c r="AQ35" s="502"/>
      <c r="AR35" s="233"/>
      <c r="AS35" s="233"/>
      <c r="AT35" s="233"/>
      <c r="AU35" s="233"/>
      <c r="AV35" s="794"/>
      <c r="AW35" s="233"/>
      <c r="AX35" s="233"/>
      <c r="AY35" s="233"/>
      <c r="AZ35" s="731"/>
      <c r="BA35" s="794"/>
      <c r="BB35" s="731"/>
      <c r="BC35" s="233"/>
      <c r="BD35" s="735"/>
      <c r="BE35" s="735"/>
      <c r="BF35" s="795"/>
      <c r="BG35" s="233"/>
      <c r="BH35" s="233"/>
      <c r="BI35" s="731"/>
      <c r="BJ35" s="731"/>
      <c r="BK35" s="794"/>
      <c r="BL35" s="233"/>
      <c r="BM35" s="233"/>
      <c r="BN35" s="233"/>
      <c r="BO35" s="233"/>
      <c r="BP35" s="794"/>
      <c r="BQ35" s="233"/>
      <c r="BR35" s="233"/>
      <c r="BS35" s="233"/>
      <c r="BT35" s="233"/>
      <c r="BU35" s="794"/>
      <c r="CB35" s="286"/>
      <c r="CC35" s="286"/>
      <c r="CD35" s="286"/>
      <c r="CE35" s="286"/>
      <c r="CF35" s="286"/>
      <c r="CG35" s="286"/>
      <c r="CH35" s="286"/>
    </row>
    <row r="36" spans="2:86" s="106" customFormat="1" ht="13.15">
      <c r="B36" s="231" t="s">
        <v>474</v>
      </c>
      <c r="C36" s="227"/>
      <c r="D36" s="233"/>
      <c r="E36" s="233"/>
      <c r="F36" s="233"/>
      <c r="G36" s="233"/>
      <c r="H36" s="502"/>
      <c r="I36" s="233"/>
      <c r="J36" s="233"/>
      <c r="K36" s="233"/>
      <c r="L36" s="233"/>
      <c r="M36" s="502"/>
      <c r="N36" s="233"/>
      <c r="O36" s="233"/>
      <c r="P36" s="233"/>
      <c r="Q36" s="233"/>
      <c r="R36" s="502"/>
      <c r="S36" s="233"/>
      <c r="T36" s="233"/>
      <c r="U36" s="233"/>
      <c r="V36" s="233"/>
      <c r="W36" s="502"/>
      <c r="X36" s="233"/>
      <c r="Y36" s="233"/>
      <c r="Z36" s="233"/>
      <c r="AA36" s="233"/>
      <c r="AB36" s="502"/>
      <c r="AC36" s="233"/>
      <c r="AD36" s="233"/>
      <c r="AE36" s="233"/>
      <c r="AF36" s="233"/>
      <c r="AG36" s="533">
        <f>AG37*AG21</f>
        <v>170012.44</v>
      </c>
      <c r="AH36" s="233"/>
      <c r="AI36" s="233"/>
      <c r="AJ36" s="233"/>
      <c r="AK36" s="233"/>
      <c r="AL36" s="533">
        <f>AL37*AL21</f>
        <v>201628.13999999998</v>
      </c>
      <c r="AM36" s="233"/>
      <c r="AN36" s="233"/>
      <c r="AO36" s="233"/>
      <c r="AP36" s="233"/>
      <c r="AQ36" s="533">
        <f>AQ37*AQ21</f>
        <v>240931.80000000002</v>
      </c>
      <c r="AR36" s="233"/>
      <c r="AS36" s="233"/>
      <c r="AT36" s="233"/>
      <c r="AU36" s="233"/>
      <c r="AV36" s="795">
        <f>AV37*AV21</f>
        <v>294585.69</v>
      </c>
      <c r="AW36" s="233"/>
      <c r="AX36" s="233"/>
      <c r="AY36" s="233"/>
      <c r="AZ36" s="731"/>
      <c r="BA36" s="795">
        <f>BA37*BA21</f>
        <v>349968.15</v>
      </c>
      <c r="BB36" s="731"/>
      <c r="BC36" s="233"/>
      <c r="BD36" s="735"/>
      <c r="BE36" s="735"/>
      <c r="BF36" s="795">
        <f>BF37*BF21</f>
        <v>362923.01</v>
      </c>
      <c r="BG36" s="233"/>
      <c r="BH36" s="233"/>
      <c r="BI36" s="731"/>
      <c r="BJ36" s="731"/>
      <c r="BK36" s="795">
        <f>BK37*BK21</f>
        <v>378309.36</v>
      </c>
      <c r="BL36" s="233"/>
      <c r="BM36" s="233"/>
      <c r="BN36" s="233"/>
      <c r="BO36" s="233"/>
      <c r="BP36" s="795">
        <f>BP37*BP21</f>
        <v>369104.68540000002</v>
      </c>
      <c r="BQ36" s="233"/>
      <c r="BR36" s="233"/>
      <c r="BS36" s="233"/>
      <c r="BT36" s="233"/>
      <c r="BU36" s="795">
        <f>BU37*BU21</f>
        <v>375260.85709200002</v>
      </c>
      <c r="CB36" s="286"/>
      <c r="CC36" s="286"/>
      <c r="CD36" s="286"/>
      <c r="CE36" s="286"/>
      <c r="CF36" s="286"/>
      <c r="CG36" s="286"/>
      <c r="CH36" s="286"/>
    </row>
    <row r="37" spans="2:86" s="106" customFormat="1" ht="12.75">
      <c r="B37" s="227" t="s">
        <v>181</v>
      </c>
      <c r="C37" s="227"/>
      <c r="D37" s="233"/>
      <c r="E37" s="233"/>
      <c r="F37" s="233"/>
      <c r="G37" s="233"/>
      <c r="H37" s="502"/>
      <c r="I37" s="233"/>
      <c r="J37" s="233"/>
      <c r="K37" s="233"/>
      <c r="L37" s="233"/>
      <c r="M37" s="502"/>
      <c r="N37" s="233"/>
      <c r="O37" s="233"/>
      <c r="P37" s="233"/>
      <c r="Q37" s="233"/>
      <c r="R37" s="502"/>
      <c r="S37" s="233"/>
      <c r="T37" s="233"/>
      <c r="U37" s="233"/>
      <c r="V37" s="233"/>
      <c r="W37" s="502"/>
      <c r="X37" s="233"/>
      <c r="Y37" s="233"/>
      <c r="Z37" s="233"/>
      <c r="AA37" s="233"/>
      <c r="AB37" s="502"/>
      <c r="AC37" s="233"/>
      <c r="AD37" s="233"/>
      <c r="AE37" s="233"/>
      <c r="AF37" s="233"/>
      <c r="AG37" s="756">
        <v>0.52</v>
      </c>
      <c r="AH37" s="233"/>
      <c r="AI37" s="233"/>
      <c r="AJ37" s="233"/>
      <c r="AK37" s="233"/>
      <c r="AL37" s="756">
        <v>0.49</v>
      </c>
      <c r="AM37" s="233"/>
      <c r="AN37" s="233"/>
      <c r="AO37" s="233"/>
      <c r="AP37" s="233"/>
      <c r="AQ37" s="756">
        <v>0.45</v>
      </c>
      <c r="AR37" s="233"/>
      <c r="AS37" s="233"/>
      <c r="AT37" s="233"/>
      <c r="AU37" s="233"/>
      <c r="AV37" s="796">
        <v>0.43</v>
      </c>
      <c r="AW37" s="233"/>
      <c r="AX37" s="233"/>
      <c r="AY37" s="233"/>
      <c r="AZ37" s="731"/>
      <c r="BA37" s="796">
        <v>0.45</v>
      </c>
      <c r="BB37" s="731"/>
      <c r="BC37" s="233"/>
      <c r="BD37" s="735"/>
      <c r="BE37" s="735"/>
      <c r="BF37" s="796">
        <v>0.43</v>
      </c>
      <c r="BG37" s="233"/>
      <c r="BH37" s="233"/>
      <c r="BI37" s="731"/>
      <c r="BJ37" s="731"/>
      <c r="BK37" s="802">
        <v>0.44</v>
      </c>
      <c r="BL37" s="233"/>
      <c r="BM37" s="233"/>
      <c r="BN37" s="233"/>
      <c r="BO37" s="233"/>
      <c r="BP37" s="802">
        <v>0.44</v>
      </c>
      <c r="BQ37" s="233"/>
      <c r="BR37" s="233"/>
      <c r="BS37" s="233"/>
      <c r="BT37" s="233"/>
      <c r="BU37" s="802">
        <v>0.44</v>
      </c>
      <c r="CB37" s="286"/>
      <c r="CC37" s="286"/>
      <c r="CD37" s="286"/>
      <c r="CE37" s="286"/>
      <c r="CF37" s="286"/>
      <c r="CG37" s="286"/>
      <c r="CH37" s="286"/>
    </row>
    <row r="38" spans="2:86" s="106" customFormat="1" ht="12.75">
      <c r="B38" s="227" t="s">
        <v>126</v>
      </c>
      <c r="C38" s="227"/>
      <c r="D38" s="233"/>
      <c r="E38" s="233"/>
      <c r="F38" s="233"/>
      <c r="G38" s="233"/>
      <c r="H38" s="502"/>
      <c r="I38" s="233"/>
      <c r="J38" s="233"/>
      <c r="K38" s="233"/>
      <c r="L38" s="233"/>
      <c r="M38" s="502"/>
      <c r="N38" s="233"/>
      <c r="O38" s="233"/>
      <c r="P38" s="233"/>
      <c r="Q38" s="233"/>
      <c r="R38" s="502"/>
      <c r="S38" s="233"/>
      <c r="T38" s="233"/>
      <c r="U38" s="233"/>
      <c r="V38" s="233"/>
      <c r="W38" s="502"/>
      <c r="X38" s="233"/>
      <c r="Y38" s="233"/>
      <c r="Z38" s="233"/>
      <c r="AA38" s="233"/>
      <c r="AB38" s="502"/>
      <c r="AC38" s="233"/>
      <c r="AD38" s="233"/>
      <c r="AE38" s="233"/>
      <c r="AF38" s="233"/>
      <c r="AG38" s="502"/>
      <c r="AH38" s="233"/>
      <c r="AI38" s="233"/>
      <c r="AJ38" s="233"/>
      <c r="AK38" s="233"/>
      <c r="AL38" s="757">
        <f>AL36/AG36-1</f>
        <v>0.18596109790554149</v>
      </c>
      <c r="AM38" s="233"/>
      <c r="AN38" s="233"/>
      <c r="AO38" s="233"/>
      <c r="AP38" s="233"/>
      <c r="AQ38" s="757">
        <f>AQ36/AL36-1</f>
        <v>0.19493142177475842</v>
      </c>
      <c r="AR38" s="233"/>
      <c r="AS38" s="233"/>
      <c r="AT38" s="233"/>
      <c r="AU38" s="233"/>
      <c r="AV38" s="797">
        <f>AV36/AQ36-1</f>
        <v>0.22269326838549319</v>
      </c>
      <c r="AW38" s="233"/>
      <c r="AX38" s="233"/>
      <c r="AY38" s="233"/>
      <c r="AZ38" s="731"/>
      <c r="BA38" s="797">
        <f>BA36/AV36-1</f>
        <v>0.18800118905979457</v>
      </c>
      <c r="BB38" s="731"/>
      <c r="BC38" s="233"/>
      <c r="BD38" s="735"/>
      <c r="BE38" s="735"/>
      <c r="BF38" s="797">
        <f>BF36/BA36-1</f>
        <v>3.7017254284425594E-2</v>
      </c>
      <c r="BG38" s="233"/>
      <c r="BH38" s="233"/>
      <c r="BI38" s="731"/>
      <c r="BJ38" s="731"/>
      <c r="BK38" s="797">
        <f>BK36/BF36-1</f>
        <v>4.2395630963162123E-2</v>
      </c>
      <c r="BL38" s="233"/>
      <c r="BM38" s="233"/>
      <c r="BN38" s="233"/>
      <c r="BO38" s="233"/>
      <c r="BP38" s="797">
        <f>BP36/BK36-1</f>
        <v>-2.4331078141973439E-2</v>
      </c>
      <c r="BQ38" s="233"/>
      <c r="BR38" s="233"/>
      <c r="BS38" s="233"/>
      <c r="BT38" s="233"/>
      <c r="BU38" s="797">
        <f>BU36/BP36-1</f>
        <v>1.6678660378771859E-2</v>
      </c>
      <c r="CB38" s="286"/>
      <c r="CC38" s="286"/>
      <c r="CD38" s="286"/>
      <c r="CE38" s="286"/>
      <c r="CF38" s="286"/>
      <c r="CG38" s="286"/>
      <c r="CH38" s="286"/>
    </row>
    <row r="39" spans="2:86" s="106" customFormat="1" ht="12.75">
      <c r="B39" s="227"/>
      <c r="C39" s="227"/>
      <c r="D39" s="233"/>
      <c r="E39" s="233"/>
      <c r="F39" s="233"/>
      <c r="G39" s="233"/>
      <c r="H39" s="502"/>
      <c r="I39" s="233"/>
      <c r="J39" s="233"/>
      <c r="K39" s="233"/>
      <c r="L39" s="233"/>
      <c r="M39" s="502"/>
      <c r="N39" s="233"/>
      <c r="O39" s="233"/>
      <c r="P39" s="233"/>
      <c r="Q39" s="233"/>
      <c r="R39" s="502"/>
      <c r="S39" s="233"/>
      <c r="T39" s="233"/>
      <c r="U39" s="233"/>
      <c r="V39" s="233"/>
      <c r="W39" s="502"/>
      <c r="X39" s="233"/>
      <c r="Y39" s="233"/>
      <c r="Z39" s="233"/>
      <c r="AA39" s="233"/>
      <c r="AB39" s="502"/>
      <c r="AC39" s="233"/>
      <c r="AD39" s="233"/>
      <c r="AE39" s="233"/>
      <c r="AF39" s="233"/>
      <c r="AG39" s="502"/>
      <c r="AH39" s="233"/>
      <c r="AI39" s="233"/>
      <c r="AJ39" s="233"/>
      <c r="AK39" s="233"/>
      <c r="AL39" s="502"/>
      <c r="AM39" s="233"/>
      <c r="AN39" s="233"/>
      <c r="AO39" s="233"/>
      <c r="AP39" s="233"/>
      <c r="AQ39" s="502"/>
      <c r="AR39" s="233"/>
      <c r="AS39" s="233"/>
      <c r="AT39" s="233"/>
      <c r="AU39" s="233"/>
      <c r="AV39" s="794"/>
      <c r="AW39" s="233"/>
      <c r="AX39" s="233"/>
      <c r="AY39" s="233"/>
      <c r="AZ39" s="731"/>
      <c r="BA39" s="794"/>
      <c r="BB39" s="731"/>
      <c r="BC39" s="233"/>
      <c r="BD39" s="735"/>
      <c r="BE39" s="735"/>
      <c r="BF39" s="795"/>
      <c r="BG39" s="233"/>
      <c r="BH39" s="233"/>
      <c r="BI39" s="731"/>
      <c r="BJ39" s="731"/>
      <c r="BK39" s="794"/>
      <c r="BL39" s="233"/>
      <c r="BM39" s="233"/>
      <c r="BN39" s="233"/>
      <c r="BO39" s="233"/>
      <c r="BP39" s="794"/>
      <c r="BQ39" s="233"/>
      <c r="BR39" s="233"/>
      <c r="BS39" s="233"/>
      <c r="BT39" s="233"/>
      <c r="BU39" s="794"/>
      <c r="CB39" s="286"/>
      <c r="CC39" s="286"/>
      <c r="CD39" s="286"/>
      <c r="CE39" s="286"/>
      <c r="CF39" s="286"/>
      <c r="CG39" s="286"/>
      <c r="CH39" s="286"/>
    </row>
    <row r="40" spans="2:86" s="106" customFormat="1" ht="12.75">
      <c r="B40" s="227"/>
      <c r="C40" s="227"/>
      <c r="D40" s="228"/>
      <c r="E40" s="228"/>
      <c r="F40" s="228"/>
      <c r="G40" s="228"/>
      <c r="H40" s="526"/>
      <c r="I40" s="228"/>
      <c r="J40" s="228"/>
      <c r="K40" s="228"/>
      <c r="L40" s="228"/>
      <c r="M40" s="526"/>
      <c r="N40" s="228"/>
      <c r="O40" s="228"/>
      <c r="P40" s="228"/>
      <c r="Q40" s="228"/>
      <c r="R40" s="526"/>
      <c r="S40" s="228"/>
      <c r="T40" s="228"/>
      <c r="U40" s="228"/>
      <c r="V40" s="228"/>
      <c r="W40" s="526"/>
      <c r="X40" s="228"/>
      <c r="Y40" s="228"/>
      <c r="Z40" s="228"/>
      <c r="AA40" s="228"/>
      <c r="AB40" s="526"/>
      <c r="AC40" s="228"/>
      <c r="AD40" s="228"/>
      <c r="AE40" s="228"/>
      <c r="AF40" s="228"/>
      <c r="AG40" s="526"/>
      <c r="AH40" s="228"/>
      <c r="AI40" s="228"/>
      <c r="AJ40" s="228"/>
      <c r="AK40" s="228"/>
      <c r="AL40" s="526"/>
      <c r="AM40" s="228"/>
      <c r="AN40" s="228"/>
      <c r="AO40" s="228"/>
      <c r="AP40" s="228"/>
      <c r="AQ40" s="526"/>
      <c r="AR40" s="228"/>
      <c r="AS40" s="228"/>
      <c r="AT40" s="228"/>
      <c r="AU40" s="228"/>
      <c r="AV40" s="798"/>
      <c r="AW40" s="228"/>
      <c r="AX40" s="228"/>
      <c r="AY40" s="228"/>
      <c r="AZ40" s="228"/>
      <c r="BA40" s="798"/>
      <c r="BB40" s="228"/>
      <c r="BC40" s="228"/>
      <c r="BD40" s="228"/>
      <c r="BE40" s="228"/>
      <c r="BF40" s="798"/>
      <c r="BG40" s="228"/>
      <c r="BH40" s="703"/>
      <c r="BI40" s="228"/>
      <c r="BJ40" s="228"/>
      <c r="BK40" s="798"/>
      <c r="BL40" s="228"/>
      <c r="BM40" s="228"/>
      <c r="BN40" s="228"/>
      <c r="BO40" s="228"/>
      <c r="BP40" s="798"/>
      <c r="BQ40" s="228"/>
      <c r="BR40" s="228"/>
      <c r="BS40" s="228"/>
      <c r="BT40" s="228"/>
      <c r="BU40" s="798"/>
      <c r="CB40" s="286"/>
      <c r="CC40" s="286"/>
      <c r="CD40" s="286"/>
      <c r="CE40" s="286"/>
      <c r="CF40" s="286"/>
      <c r="CG40" s="286"/>
      <c r="CH40" s="286"/>
    </row>
    <row r="41" spans="2:86" s="106" customFormat="1" ht="13.15">
      <c r="B41" s="231" t="s">
        <v>252</v>
      </c>
      <c r="C41" s="231"/>
      <c r="D41" s="416" t="s">
        <v>340</v>
      </c>
      <c r="E41" s="416" t="s">
        <v>340</v>
      </c>
      <c r="F41" s="416" t="s">
        <v>340</v>
      </c>
      <c r="G41" s="416" t="s">
        <v>340</v>
      </c>
      <c r="H41" s="786" t="s">
        <v>340</v>
      </c>
      <c r="I41" s="416" t="s">
        <v>340</v>
      </c>
      <c r="J41" s="416" t="s">
        <v>340</v>
      </c>
      <c r="K41" s="416" t="s">
        <v>340</v>
      </c>
      <c r="L41" s="787">
        <v>90.4</v>
      </c>
      <c r="M41" s="786">
        <f>+SUM(I41:L41)</f>
        <v>90.4</v>
      </c>
      <c r="N41" s="787">
        <v>96.1</v>
      </c>
      <c r="O41" s="787">
        <v>104.5</v>
      </c>
      <c r="P41" s="787">
        <v>110.3</v>
      </c>
      <c r="Q41" s="787">
        <v>121.2</v>
      </c>
      <c r="R41" s="786">
        <f>+Q41</f>
        <v>121.2</v>
      </c>
      <c r="S41" s="787">
        <v>128.4</v>
      </c>
      <c r="T41" s="787">
        <v>137.6</v>
      </c>
      <c r="U41" s="787">
        <v>148.69999999999999</v>
      </c>
      <c r="V41" s="787">
        <v>164.9</v>
      </c>
      <c r="W41" s="786">
        <f>+V41</f>
        <v>164.9</v>
      </c>
      <c r="X41" s="787">
        <v>177.8</v>
      </c>
      <c r="Y41" s="787">
        <v>198.6</v>
      </c>
      <c r="Z41" s="787">
        <v>217.4</v>
      </c>
      <c r="AA41" s="787">
        <v>251.8</v>
      </c>
      <c r="AB41" s="786">
        <f>+AA41</f>
        <v>251.8</v>
      </c>
      <c r="AC41" s="788">
        <v>268.19400000000002</v>
      </c>
      <c r="AD41" s="788">
        <v>290.01600000000002</v>
      </c>
      <c r="AE41" s="788">
        <f>310.184</f>
        <v>310.18400000000003</v>
      </c>
      <c r="AF41" s="788">
        <v>338.714</v>
      </c>
      <c r="AG41" s="786">
        <f>+AF41</f>
        <v>338.714</v>
      </c>
      <c r="AH41" s="789">
        <v>350.88400000000001</v>
      </c>
      <c r="AI41" s="789">
        <v>379.9</v>
      </c>
      <c r="AJ41" s="789">
        <f>398.725</f>
        <v>398.72500000000002</v>
      </c>
      <c r="AK41" s="788">
        <f>432.946</f>
        <v>432.94600000000003</v>
      </c>
      <c r="AL41" s="786">
        <f>+AK41</f>
        <v>432.94600000000003</v>
      </c>
      <c r="AM41" s="789">
        <f>455.797</f>
        <v>455.79700000000003</v>
      </c>
      <c r="AN41" s="789">
        <f>488.86</f>
        <v>488.86</v>
      </c>
      <c r="AO41" s="789">
        <f>550.044</f>
        <v>550.04399999999998</v>
      </c>
      <c r="AP41" s="790">
        <f>599.02</f>
        <v>599.02</v>
      </c>
      <c r="AQ41" s="786">
        <f>+AP41</f>
        <v>599.02</v>
      </c>
      <c r="AR41" s="416">
        <f>627.122</f>
        <v>627.12199999999996</v>
      </c>
      <c r="AS41" s="416">
        <f>658.172</f>
        <v>658.17200000000003</v>
      </c>
      <c r="AT41" s="416">
        <f>683.816</f>
        <v>683.81600000000003</v>
      </c>
      <c r="AU41" s="416">
        <f>714.231</f>
        <v>714.23099999999999</v>
      </c>
      <c r="AV41" s="799">
        <f>+AU41</f>
        <v>714.23099999999999</v>
      </c>
      <c r="AW41" s="781">
        <f>727.853</f>
        <v>727.85299999999995</v>
      </c>
      <c r="AX41" s="781">
        <f>750.85</f>
        <v>750.85</v>
      </c>
      <c r="AY41" s="781">
        <f>776.76</f>
        <v>776.76</v>
      </c>
      <c r="AZ41" s="781">
        <f>805.67</f>
        <v>805.67</v>
      </c>
      <c r="BA41" s="799">
        <f>+AZ41</f>
        <v>805.67</v>
      </c>
      <c r="BB41" s="791">
        <f>807.196</f>
        <v>807.19600000000003</v>
      </c>
      <c r="BC41" s="791">
        <f>815.63</f>
        <v>815.63</v>
      </c>
      <c r="BD41" s="791">
        <f>823.104</f>
        <v>823.10400000000004</v>
      </c>
      <c r="BE41" s="791">
        <f>839.819</f>
        <v>839.81899999999996</v>
      </c>
      <c r="BF41" s="799">
        <f>+BE41</f>
        <v>839.81899999999996</v>
      </c>
      <c r="BG41" s="791">
        <f>837.22</f>
        <v>837.22</v>
      </c>
      <c r="BH41" s="791">
        <f>840.61</f>
        <v>840.61</v>
      </c>
      <c r="BI41" s="791">
        <f>837.73</f>
        <v>837.73</v>
      </c>
      <c r="BJ41" s="791">
        <f>839.9</f>
        <v>839.9</v>
      </c>
      <c r="BK41" s="799">
        <f>+BJ41</f>
        <v>839.9</v>
      </c>
      <c r="BL41" s="781">
        <f>+BG41*(1+BL42)</f>
        <v>830.52224000000001</v>
      </c>
      <c r="BM41" s="781">
        <f>+BH41*(1+BM42)</f>
        <v>831.36329000000001</v>
      </c>
      <c r="BN41" s="781">
        <f>+BI41*(1+BN42)</f>
        <v>831.86589000000004</v>
      </c>
      <c r="BO41" s="781">
        <f>+BJ41*(1+BO42)</f>
        <v>832.34089999999992</v>
      </c>
      <c r="BP41" s="799">
        <f>+BO41</f>
        <v>832.34089999999992</v>
      </c>
      <c r="BQ41" s="781">
        <f>+BL41*(1+BQ42)</f>
        <v>855.43790720000004</v>
      </c>
      <c r="BR41" s="781">
        <f>+BM41*(1+BR42)</f>
        <v>857.96691528000008</v>
      </c>
      <c r="BS41" s="781">
        <f>+BN41*(1+BS42)</f>
        <v>860.14933026000006</v>
      </c>
      <c r="BT41" s="781">
        <f>+BO41*(1+BT42)</f>
        <v>861.47283149999987</v>
      </c>
      <c r="BU41" s="799">
        <f>+BT41</f>
        <v>861.47283149999987</v>
      </c>
    </row>
    <row r="42" spans="2:86" s="106" customFormat="1" ht="12.75">
      <c r="B42" s="227" t="s">
        <v>126</v>
      </c>
      <c r="C42" s="227"/>
      <c r="D42" s="371" t="s">
        <v>340</v>
      </c>
      <c r="E42" s="371" t="s">
        <v>340</v>
      </c>
      <c r="F42" s="371" t="s">
        <v>340</v>
      </c>
      <c r="G42" s="371" t="s">
        <v>340</v>
      </c>
      <c r="H42" s="533" t="s">
        <v>340</v>
      </c>
      <c r="I42" s="371" t="s">
        <v>340</v>
      </c>
      <c r="J42" s="371" t="s">
        <v>340</v>
      </c>
      <c r="K42" s="371" t="s">
        <v>340</v>
      </c>
      <c r="L42" s="371" t="s">
        <v>340</v>
      </c>
      <c r="M42" s="533" t="s">
        <v>340</v>
      </c>
      <c r="N42" s="371" t="s">
        <v>340</v>
      </c>
      <c r="O42" s="371" t="s">
        <v>340</v>
      </c>
      <c r="P42" s="371" t="s">
        <v>340</v>
      </c>
      <c r="Q42" s="233">
        <f t="shared" ref="Q42:BJ42" si="33">+Q41/L41-1</f>
        <v>0.34070796460176989</v>
      </c>
      <c r="R42" s="502">
        <f t="shared" si="33"/>
        <v>0.34070796460176989</v>
      </c>
      <c r="S42" s="233">
        <f t="shared" si="33"/>
        <v>0.33610822060353818</v>
      </c>
      <c r="T42" s="233">
        <f t="shared" si="33"/>
        <v>0.31674641148325344</v>
      </c>
      <c r="U42" s="233">
        <f t="shared" si="33"/>
        <v>0.34814143245693563</v>
      </c>
      <c r="V42" s="233">
        <f t="shared" si="33"/>
        <v>0.36056105610561051</v>
      </c>
      <c r="W42" s="502">
        <f t="shared" si="33"/>
        <v>0.36056105610561051</v>
      </c>
      <c r="X42" s="233">
        <f t="shared" si="33"/>
        <v>0.38473520249221194</v>
      </c>
      <c r="Y42" s="233">
        <f t="shared" si="33"/>
        <v>0.4433139534883721</v>
      </c>
      <c r="Z42" s="233">
        <f t="shared" si="33"/>
        <v>0.46200403496973785</v>
      </c>
      <c r="AA42" s="233">
        <f t="shared" si="33"/>
        <v>0.52698605215282002</v>
      </c>
      <c r="AB42" s="502">
        <f t="shared" si="33"/>
        <v>0.52698605215282002</v>
      </c>
      <c r="AC42" s="233">
        <f t="shared" si="33"/>
        <v>0.50840269966254215</v>
      </c>
      <c r="AD42" s="233">
        <f t="shared" si="33"/>
        <v>0.46030211480362548</v>
      </c>
      <c r="AE42" s="233">
        <f t="shared" si="33"/>
        <v>0.4267893284268629</v>
      </c>
      <c r="AF42" s="233">
        <f t="shared" si="33"/>
        <v>0.34517077045274025</v>
      </c>
      <c r="AG42" s="502">
        <f t="shared" si="33"/>
        <v>0.34517077045274025</v>
      </c>
      <c r="AH42" s="433">
        <f t="shared" si="33"/>
        <v>0.30832158810413346</v>
      </c>
      <c r="AI42" s="433">
        <f t="shared" si="33"/>
        <v>0.30992772812534475</v>
      </c>
      <c r="AJ42" s="433">
        <f t="shared" si="33"/>
        <v>0.28544670260232641</v>
      </c>
      <c r="AK42" s="233">
        <f t="shared" si="33"/>
        <v>0.27820521147634891</v>
      </c>
      <c r="AL42" s="502">
        <f>+AL41/AG41-1</f>
        <v>0.27820521147634891</v>
      </c>
      <c r="AM42" s="433">
        <f t="shared" si="33"/>
        <v>0.29899624947276027</v>
      </c>
      <c r="AN42" s="433">
        <f t="shared" si="33"/>
        <v>0.28681231903132409</v>
      </c>
      <c r="AO42" s="433">
        <f t="shared" si="33"/>
        <v>0.37950717913348786</v>
      </c>
      <c r="AP42" s="433">
        <f t="shared" si="33"/>
        <v>0.38359056325731133</v>
      </c>
      <c r="AQ42" s="502">
        <f>+AQ41/AL41-1</f>
        <v>0.38359056325731133</v>
      </c>
      <c r="AR42" s="433">
        <f t="shared" si="33"/>
        <v>0.37588005186519413</v>
      </c>
      <c r="AS42" s="433">
        <f t="shared" si="33"/>
        <v>0.34634046557296561</v>
      </c>
      <c r="AT42" s="433">
        <f t="shared" si="33"/>
        <v>0.24320236199285894</v>
      </c>
      <c r="AU42" s="433">
        <f t="shared" si="33"/>
        <v>0.19233247637808426</v>
      </c>
      <c r="AV42" s="797">
        <f>+AV41/AQ41-1</f>
        <v>0.19233247637808426</v>
      </c>
      <c r="AW42" s="768">
        <f t="shared" si="33"/>
        <v>0.16062424855131852</v>
      </c>
      <c r="AX42" s="768">
        <f t="shared" si="33"/>
        <v>0.14081121652090944</v>
      </c>
      <c r="AY42" s="768">
        <f t="shared" si="33"/>
        <v>0.13591960410402781</v>
      </c>
      <c r="AZ42" s="768">
        <f t="shared" si="33"/>
        <v>0.12802440666955084</v>
      </c>
      <c r="BA42" s="797">
        <f>+BA41/AV41-1</f>
        <v>0.12802440666955084</v>
      </c>
      <c r="BB42" s="768">
        <f t="shared" si="33"/>
        <v>0.109009648926363</v>
      </c>
      <c r="BC42" s="768">
        <f t="shared" si="33"/>
        <v>8.6275554371711971E-2</v>
      </c>
      <c r="BD42" s="768">
        <f t="shared" si="33"/>
        <v>5.9663216437509714E-2</v>
      </c>
      <c r="BE42" s="768">
        <f t="shared" si="33"/>
        <v>4.2385840356473414E-2</v>
      </c>
      <c r="BF42" s="797">
        <f>+BF41/BA41-1</f>
        <v>4.2385840356473414E-2</v>
      </c>
      <c r="BG42" s="768">
        <f t="shared" si="33"/>
        <v>3.7195427132939107E-2</v>
      </c>
      <c r="BH42" s="768">
        <f t="shared" si="33"/>
        <v>3.0626632173902379E-2</v>
      </c>
      <c r="BI42" s="768">
        <f t="shared" si="33"/>
        <v>1.7769321981183417E-2</v>
      </c>
      <c r="BJ42" s="768">
        <f t="shared" si="33"/>
        <v>9.6449353967908991E-5</v>
      </c>
      <c r="BK42" s="797">
        <f>+BK41/BF41-1</f>
        <v>9.6449353967908991E-5</v>
      </c>
      <c r="BL42" s="769">
        <v>-8.0000000000000002E-3</v>
      </c>
      <c r="BM42" s="769">
        <v>-1.0999999999999999E-2</v>
      </c>
      <c r="BN42" s="769">
        <v>-7.0000000000000001E-3</v>
      </c>
      <c r="BO42" s="769">
        <v>-8.9999999999999993E-3</v>
      </c>
      <c r="BP42" s="797">
        <f>+BP41/BK41-1</f>
        <v>-9.000000000000119E-3</v>
      </c>
      <c r="BQ42" s="769">
        <v>0.03</v>
      </c>
      <c r="BR42" s="769">
        <v>3.2000000000000001E-2</v>
      </c>
      <c r="BS42" s="769">
        <v>3.4000000000000002E-2</v>
      </c>
      <c r="BT42" s="769">
        <v>3.5000000000000003E-2</v>
      </c>
      <c r="BU42" s="797">
        <f>+BU41/BP41-1</f>
        <v>3.499999999999992E-2</v>
      </c>
    </row>
    <row r="43" spans="2:86" s="106" customFormat="1" ht="12.75">
      <c r="B43" s="227" t="s">
        <v>141</v>
      </c>
      <c r="C43" s="227"/>
      <c r="D43" s="371" t="s">
        <v>340</v>
      </c>
      <c r="E43" s="371" t="s">
        <v>340</v>
      </c>
      <c r="F43" s="371" t="s">
        <v>340</v>
      </c>
      <c r="G43" s="371" t="s">
        <v>340</v>
      </c>
      <c r="H43" s="533"/>
      <c r="I43" s="371" t="s">
        <v>340</v>
      </c>
      <c r="J43" s="371" t="s">
        <v>340</v>
      </c>
      <c r="K43" s="371" t="s">
        <v>340</v>
      </c>
      <c r="L43" s="371" t="s">
        <v>340</v>
      </c>
      <c r="M43" s="502"/>
      <c r="N43" s="233">
        <f>+N41/L41-1</f>
        <v>6.3053097345132647E-2</v>
      </c>
      <c r="O43" s="233">
        <f>+O41/N41-1</f>
        <v>8.7408949011446468E-2</v>
      </c>
      <c r="P43" s="233">
        <f>+P41/O41-1</f>
        <v>5.5502392344497498E-2</v>
      </c>
      <c r="Q43" s="233">
        <f>+Q41/P41-1</f>
        <v>9.8821396192203093E-2</v>
      </c>
      <c r="R43" s="502"/>
      <c r="S43" s="233">
        <f>+S41/Q41-1</f>
        <v>5.9405940594059459E-2</v>
      </c>
      <c r="T43" s="233">
        <f>+T41/S41-1</f>
        <v>7.1651090342679025E-2</v>
      </c>
      <c r="U43" s="233">
        <f>+U41/T41-1</f>
        <v>8.0668604651162656E-2</v>
      </c>
      <c r="V43" s="233">
        <f>+V41/U41-1</f>
        <v>0.10894418291862817</v>
      </c>
      <c r="W43" s="502"/>
      <c r="X43" s="233">
        <f>+X41/V41-1</f>
        <v>7.8229229836264347E-2</v>
      </c>
      <c r="Y43" s="233">
        <f>+Y41/X41-1</f>
        <v>0.11698537682789634</v>
      </c>
      <c r="Z43" s="233">
        <f>+Z41/Y41-1</f>
        <v>9.4662638469285021E-2</v>
      </c>
      <c r="AA43" s="233">
        <f>+AA41/Z41-1</f>
        <v>0.15823367065317395</v>
      </c>
      <c r="AB43" s="502"/>
      <c r="AC43" s="233">
        <f>+AC41/AA41-1</f>
        <v>6.51072279586975E-2</v>
      </c>
      <c r="AD43" s="233">
        <f>+AD41/AC41-1</f>
        <v>8.1366473522897609E-2</v>
      </c>
      <c r="AE43" s="233">
        <f>+AE41/AD41-1</f>
        <v>6.9540990841884698E-2</v>
      </c>
      <c r="AF43" s="233">
        <f>+AF41/AE41-1</f>
        <v>9.1977664869883569E-2</v>
      </c>
      <c r="AG43" s="502"/>
      <c r="AH43" s="433">
        <f>+AH41/AF41-1</f>
        <v>3.5930017655012803E-2</v>
      </c>
      <c r="AI43" s="233">
        <f>+AI41/AH41-1</f>
        <v>8.2693995736482506E-2</v>
      </c>
      <c r="AJ43" s="233">
        <f>+AJ41/AI41-1</f>
        <v>4.955251381942638E-2</v>
      </c>
      <c r="AK43" s="233">
        <f>+AK41/AJ41-1</f>
        <v>8.5826070600037552E-2</v>
      </c>
      <c r="AL43" s="502"/>
      <c r="AM43" s="433">
        <f>+AM41/AK41-1</f>
        <v>5.2780254350426992E-2</v>
      </c>
      <c r="AN43" s="233">
        <f>+AN41/AM41-1</f>
        <v>7.25388714712909E-2</v>
      </c>
      <c r="AO43" s="233">
        <f>+AO41/AN41-1</f>
        <v>0.12515648651965794</v>
      </c>
      <c r="AP43" s="233">
        <f>+AP41/AO41-1</f>
        <v>8.9040149515311473E-2</v>
      </c>
      <c r="AQ43" s="502"/>
      <c r="AR43" s="233">
        <f>+AR41/AP41-1</f>
        <v>4.6913291709792526E-2</v>
      </c>
      <c r="AS43" s="233">
        <f>+AS41/AR41-1</f>
        <v>4.9511897206604205E-2</v>
      </c>
      <c r="AT43" s="233">
        <f>+AT41/AS41-1</f>
        <v>3.8962459661000537E-2</v>
      </c>
      <c r="AU43" s="233">
        <f>+AU41/AT41-1</f>
        <v>4.4478339202358441E-2</v>
      </c>
      <c r="AV43" s="794"/>
      <c r="AW43" s="735">
        <f>+AW41/AU41-1</f>
        <v>1.9072260935187657E-2</v>
      </c>
      <c r="AX43" s="735">
        <f>+AX41/AW41-1</f>
        <v>3.1595665608302959E-2</v>
      </c>
      <c r="AY43" s="735">
        <f>+AY41/AX41-1</f>
        <v>3.4507558100818958E-2</v>
      </c>
      <c r="AZ43" s="735">
        <f>+AZ41/AY41-1</f>
        <v>3.7218703331788339E-2</v>
      </c>
      <c r="BA43" s="797"/>
      <c r="BB43" s="735">
        <f>+BB41/AZ41-1</f>
        <v>1.8940757382055473E-3</v>
      </c>
      <c r="BC43" s="735">
        <f>+BC41/BB41-1</f>
        <v>1.0448515602158537E-2</v>
      </c>
      <c r="BD43" s="735">
        <f>+BD41/BC41-1</f>
        <v>9.1634687296937578E-3</v>
      </c>
      <c r="BE43" s="735">
        <f>+BE41/BD41-1</f>
        <v>2.0307275872793573E-2</v>
      </c>
      <c r="BF43" s="797"/>
      <c r="BG43" s="735">
        <f>+BG41/BE41-1</f>
        <v>-3.0947144563292506E-3</v>
      </c>
      <c r="BH43" s="735">
        <f>+BH41/BG41-1</f>
        <v>4.0491149279759941E-3</v>
      </c>
      <c r="BI43" s="735">
        <f>+BI41/BH41-1</f>
        <v>-3.4260834394070905E-3</v>
      </c>
      <c r="BJ43" s="735">
        <f>+BJ41/BI41-1</f>
        <v>2.5903334009764745E-3</v>
      </c>
      <c r="BK43" s="797"/>
      <c r="BL43" s="735">
        <f>+BL41/BJ41-1</f>
        <v>-1.1165329205857777E-2</v>
      </c>
      <c r="BM43" s="735">
        <f>+BM41/BL41-1</f>
        <v>1.0126760723470074E-3</v>
      </c>
      <c r="BN43" s="735">
        <f>+BN41/BM41-1</f>
        <v>6.0454918571162253E-4</v>
      </c>
      <c r="BO43" s="735">
        <f>+BO41/BN41-1</f>
        <v>5.7101752302868292E-4</v>
      </c>
      <c r="BP43" s="797"/>
      <c r="BQ43" s="735">
        <f>+BQ41/BO41-1</f>
        <v>2.7749456022166052E-2</v>
      </c>
      <c r="BR43" s="735">
        <f>+BR41/BQ41-1</f>
        <v>2.9563900064679682E-3</v>
      </c>
      <c r="BS43" s="735">
        <f>+BS41/BR41-1</f>
        <v>2.5437052887846701E-3</v>
      </c>
      <c r="BT43" s="735">
        <f>+BT41/BS41-1</f>
        <v>1.5386877527414633E-3</v>
      </c>
      <c r="BU43" s="797"/>
    </row>
    <row r="44" spans="2:86" s="106" customFormat="1" ht="12.75">
      <c r="B44" s="227"/>
      <c r="C44" s="227"/>
      <c r="D44" s="371"/>
      <c r="E44" s="233"/>
      <c r="F44" s="233"/>
      <c r="G44" s="233"/>
      <c r="H44" s="502"/>
      <c r="I44" s="233"/>
      <c r="J44" s="233"/>
      <c r="K44" s="233"/>
      <c r="L44" s="233"/>
      <c r="M44" s="502"/>
      <c r="N44" s="233"/>
      <c r="O44" s="233"/>
      <c r="P44" s="233"/>
      <c r="Q44" s="233"/>
      <c r="R44" s="502"/>
      <c r="S44" s="233"/>
      <c r="T44" s="233"/>
      <c r="U44" s="233"/>
      <c r="V44" s="233"/>
      <c r="W44" s="502"/>
      <c r="X44" s="233"/>
      <c r="Y44" s="233"/>
      <c r="Z44" s="233"/>
      <c r="AA44" s="233"/>
      <c r="AB44" s="502"/>
      <c r="AC44" s="233"/>
      <c r="AD44" s="233"/>
      <c r="AE44" s="233"/>
      <c r="AF44" s="233"/>
      <c r="AG44" s="502"/>
      <c r="AH44" s="433"/>
      <c r="AI44" s="233"/>
      <c r="AJ44" s="233"/>
      <c r="AK44" s="233"/>
      <c r="AL44" s="502"/>
      <c r="AM44" s="433"/>
      <c r="AN44" s="233"/>
      <c r="AO44" s="233"/>
      <c r="AP44" s="233"/>
      <c r="AQ44" s="502"/>
      <c r="AR44" s="233"/>
      <c r="AS44" s="233"/>
      <c r="AT44" s="233"/>
      <c r="AU44" s="233"/>
      <c r="AV44" s="794"/>
      <c r="AW44" s="233"/>
      <c r="AX44" s="233"/>
      <c r="AY44" s="233"/>
      <c r="AZ44" s="233"/>
      <c r="BA44" s="794"/>
      <c r="BB44" s="233"/>
      <c r="BC44" s="233"/>
      <c r="BD44" s="233"/>
      <c r="BE44" s="233"/>
      <c r="BF44" s="794"/>
      <c r="BG44" s="233"/>
      <c r="BH44" s="233"/>
      <c r="BI44" s="233"/>
      <c r="BJ44" s="233"/>
      <c r="BK44" s="794"/>
      <c r="BL44" s="233"/>
      <c r="BM44" s="233"/>
      <c r="BN44" s="233"/>
      <c r="BO44" s="233"/>
      <c r="BP44" s="794"/>
      <c r="BQ44" s="233"/>
      <c r="BR44" s="233"/>
      <c r="BS44" s="233"/>
      <c r="BT44" s="233"/>
      <c r="BU44" s="794"/>
    </row>
    <row r="45" spans="2:86" s="106" customFormat="1" ht="13.15">
      <c r="B45" s="231" t="s">
        <v>349</v>
      </c>
      <c r="C45" s="227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410"/>
      <c r="T45" s="410"/>
      <c r="U45" s="410"/>
      <c r="V45" s="410"/>
      <c r="W45" s="410"/>
      <c r="X45" s="410"/>
      <c r="Y45" s="410"/>
      <c r="Z45" s="410"/>
      <c r="AA45" s="410"/>
      <c r="AB45" s="410"/>
      <c r="AC45" s="569">
        <f>AC41-AB41</f>
        <v>16.394000000000005</v>
      </c>
      <c r="AD45" s="569">
        <f>AD41-AC41</f>
        <v>21.822000000000003</v>
      </c>
      <c r="AE45" s="569">
        <f>AE41-AD41</f>
        <v>20.168000000000006</v>
      </c>
      <c r="AF45" s="569">
        <f>AF41-AE41</f>
        <v>28.529999999999973</v>
      </c>
      <c r="AG45" s="410"/>
      <c r="AH45" s="569">
        <f>AH41-AG41</f>
        <v>12.170000000000016</v>
      </c>
      <c r="AI45" s="569">
        <f>AI41-AH41</f>
        <v>29.015999999999963</v>
      </c>
      <c r="AJ45" s="569">
        <f>AJ41-AI41</f>
        <v>18.825000000000045</v>
      </c>
      <c r="AK45" s="569">
        <f>AK41-AJ41</f>
        <v>34.221000000000004</v>
      </c>
      <c r="AL45" s="536">
        <f>SUM(AH45:AK45)</f>
        <v>94.232000000000028</v>
      </c>
      <c r="AM45" s="569">
        <f>AM41-AL41</f>
        <v>22.850999999999999</v>
      </c>
      <c r="AN45" s="569">
        <f>AN41-AM41</f>
        <v>33.062999999999988</v>
      </c>
      <c r="AO45" s="569">
        <f>AO41-AN41</f>
        <v>61.183999999999969</v>
      </c>
      <c r="AP45" s="569">
        <f>AP41-AO41</f>
        <v>48.975999999999999</v>
      </c>
      <c r="AQ45" s="536">
        <f>SUM(AM45:AP45)</f>
        <v>166.07399999999996</v>
      </c>
      <c r="AR45" s="569">
        <f>AR41-AP41</f>
        <v>28.101999999999975</v>
      </c>
      <c r="AS45" s="569">
        <f>AS41-AR41</f>
        <v>31.050000000000068</v>
      </c>
      <c r="AT45" s="569">
        <f>AT41-AS41</f>
        <v>25.644000000000005</v>
      </c>
      <c r="AU45" s="569">
        <f>AU41-AT41</f>
        <v>30.414999999999964</v>
      </c>
      <c r="AV45" s="817">
        <f>SUM(AR45:AU45)</f>
        <v>115.21100000000001</v>
      </c>
      <c r="AW45" s="818">
        <f>AW41-AU41</f>
        <v>13.621999999999957</v>
      </c>
      <c r="AX45" s="818">
        <f>AX41-AW41</f>
        <v>22.997000000000071</v>
      </c>
      <c r="AY45" s="818">
        <f>AY41-AX41</f>
        <v>25.909999999999968</v>
      </c>
      <c r="AZ45" s="818">
        <f>AZ41-AY41</f>
        <v>28.909999999999968</v>
      </c>
      <c r="BA45" s="817">
        <f>SUM(AW45:AZ45)</f>
        <v>91.438999999999965</v>
      </c>
      <c r="BB45" s="818">
        <f>BB41-AZ41</f>
        <v>1.5260000000000673</v>
      </c>
      <c r="BC45" s="818">
        <f>BC41-BB41</f>
        <v>8.4339999999999691</v>
      </c>
      <c r="BD45" s="818">
        <f>BD41-BC41</f>
        <v>7.4740000000000464</v>
      </c>
      <c r="BE45" s="818">
        <f>BE41-BD41</f>
        <v>16.714999999999918</v>
      </c>
      <c r="BF45" s="817">
        <f>SUM(BB45:BE45)</f>
        <v>34.149000000000001</v>
      </c>
      <c r="BG45" s="818">
        <f>BG41-BE41</f>
        <v>-2.5989999999999327</v>
      </c>
      <c r="BH45" s="818">
        <f>BH41-BG41</f>
        <v>3.3899999999999864</v>
      </c>
      <c r="BI45" s="818">
        <f>BI41-BH41</f>
        <v>-2.8799999999999955</v>
      </c>
      <c r="BJ45" s="818">
        <f>BJ41-BI41</f>
        <v>2.1699999999999591</v>
      </c>
      <c r="BK45" s="817">
        <f>SUM(BG45:BJ45)</f>
        <v>8.100000000001728E-2</v>
      </c>
      <c r="BL45" s="818">
        <f>BL41-BJ41</f>
        <v>-9.3777599999999666</v>
      </c>
      <c r="BM45" s="818">
        <f>BM41-BL41</f>
        <v>0.84104999999999563</v>
      </c>
      <c r="BN45" s="818">
        <f>BN41-BM41</f>
        <v>0.50260000000002947</v>
      </c>
      <c r="BO45" s="818">
        <f>BO41-BN41</f>
        <v>0.4750099999998838</v>
      </c>
      <c r="BP45" s="817">
        <f>SUM(BL45:BO45)</f>
        <v>-7.5591000000000577</v>
      </c>
      <c r="BQ45" s="818">
        <f>BQ41-BO41</f>
        <v>23.097007200000121</v>
      </c>
      <c r="BR45" s="818">
        <f>BR41-BQ41</f>
        <v>2.5290080800000396</v>
      </c>
      <c r="BS45" s="818">
        <f>BS41-BR41</f>
        <v>2.1824149799999759</v>
      </c>
      <c r="BT45" s="818">
        <f>BT41-BS41</f>
        <v>1.3235012399998141</v>
      </c>
      <c r="BU45" s="817">
        <f>SUM(BQ45:BT45)</f>
        <v>29.131931499999951</v>
      </c>
    </row>
    <row r="46" spans="2:86" s="106" customFormat="1" ht="12.75">
      <c r="B46" s="227" t="s">
        <v>126</v>
      </c>
      <c r="C46" s="227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 t="e">
        <f>AC45/X45-1</f>
        <v>#DIV/0!</v>
      </c>
      <c r="AD46" s="228" t="e">
        <f>AD45/Y45-1</f>
        <v>#DIV/0!</v>
      </c>
      <c r="AE46" s="228" t="e">
        <f>AE45/Z45-1</f>
        <v>#DIV/0!</v>
      </c>
      <c r="AF46" s="228" t="e">
        <f>AF45/AA45-1</f>
        <v>#DIV/0!</v>
      </c>
      <c r="AG46" s="228"/>
      <c r="AH46" s="228">
        <f>AH45/AC45-1</f>
        <v>-0.25765523972184878</v>
      </c>
      <c r="AI46" s="228">
        <f>AI45/AD45-1</f>
        <v>0.3296673082210595</v>
      </c>
      <c r="AJ46" s="228">
        <f>AJ45/AE45-1</f>
        <v>-6.6590638635460109E-2</v>
      </c>
      <c r="AK46" s="228">
        <f>AK45/AF45-1</f>
        <v>0.19947423764458594</v>
      </c>
      <c r="AL46" s="228"/>
      <c r="AM46" s="228">
        <f t="shared" ref="AM46:BP46" si="34">AM45/AH45-1</f>
        <v>0.87764995891536302</v>
      </c>
      <c r="AN46" s="228">
        <f t="shared" si="34"/>
        <v>0.13947477253928975</v>
      </c>
      <c r="AO46" s="228">
        <f t="shared" si="34"/>
        <v>2.2501460823373081</v>
      </c>
      <c r="AP46" s="228">
        <f t="shared" si="34"/>
        <v>0.43116799625960645</v>
      </c>
      <c r="AQ46" s="228">
        <f t="shared" si="34"/>
        <v>0.76239494014771947</v>
      </c>
      <c r="AR46" s="228">
        <f t="shared" si="34"/>
        <v>0.22979300687059534</v>
      </c>
      <c r="AS46" s="228">
        <f t="shared" si="34"/>
        <v>-6.088376735323231E-2</v>
      </c>
      <c r="AT46" s="228">
        <f t="shared" si="34"/>
        <v>-0.58087081589958123</v>
      </c>
      <c r="AU46" s="228">
        <f t="shared" si="34"/>
        <v>-0.37898154197974587</v>
      </c>
      <c r="AV46" s="798">
        <f t="shared" si="34"/>
        <v>-0.3062670857569515</v>
      </c>
      <c r="AW46" s="228">
        <f t="shared" si="34"/>
        <v>-0.51526581737954702</v>
      </c>
      <c r="AX46" s="228">
        <f t="shared" si="34"/>
        <v>-0.2593558776167465</v>
      </c>
      <c r="AY46" s="228">
        <f t="shared" si="34"/>
        <v>1.0372796755574898E-2</v>
      </c>
      <c r="AZ46" s="228">
        <f t="shared" si="34"/>
        <v>-4.9482163406213919E-2</v>
      </c>
      <c r="BA46" s="798">
        <f t="shared" si="34"/>
        <v>-0.20633446459105509</v>
      </c>
      <c r="BB46" s="228">
        <f t="shared" si="34"/>
        <v>-0.88797533401849416</v>
      </c>
      <c r="BC46" s="228">
        <f t="shared" si="34"/>
        <v>-0.63325651171892239</v>
      </c>
      <c r="BD46" s="228">
        <f t="shared" si="34"/>
        <v>-0.71153994596680603</v>
      </c>
      <c r="BE46" s="228">
        <f t="shared" si="34"/>
        <v>-0.42182635766171095</v>
      </c>
      <c r="BF46" s="798">
        <f t="shared" si="34"/>
        <v>-0.62653791051958119</v>
      </c>
      <c r="BG46" s="228">
        <f t="shared" si="34"/>
        <v>-2.7031454783747169</v>
      </c>
      <c r="BH46" s="228">
        <f t="shared" si="34"/>
        <v>-0.59805548968460998</v>
      </c>
      <c r="BI46" s="228">
        <f t="shared" si="34"/>
        <v>-1.3853358308803823</v>
      </c>
      <c r="BJ46" s="228">
        <f t="shared" si="34"/>
        <v>-0.8701764881842674</v>
      </c>
      <c r="BK46" s="798">
        <f t="shared" si="34"/>
        <v>-0.9976280418167438</v>
      </c>
      <c r="BL46" s="228">
        <f t="shared" si="34"/>
        <v>2.6082185455945401</v>
      </c>
      <c r="BM46" s="228">
        <f t="shared" si="34"/>
        <v>-0.75190265486725694</v>
      </c>
      <c r="BN46" s="228">
        <f t="shared" si="34"/>
        <v>-1.1745138888888995</v>
      </c>
      <c r="BO46" s="228">
        <f t="shared" si="34"/>
        <v>-0.78110138248852867</v>
      </c>
      <c r="BP46" s="798">
        <f t="shared" si="34"/>
        <v>-94.322222222203024</v>
      </c>
      <c r="BQ46" s="228">
        <f t="shared" ref="BQ46" si="35">BQ45/BL45-1</f>
        <v>-3.4629556738496405</v>
      </c>
      <c r="BR46" s="228">
        <f t="shared" ref="BR46" si="36">BR45/BM45-1</f>
        <v>2.0069651982641372</v>
      </c>
      <c r="BS46" s="228">
        <f t="shared" ref="BS46" si="37">BS45/BN45-1</f>
        <v>3.3422502586546914</v>
      </c>
      <c r="BT46" s="228">
        <f t="shared" ref="BT46" si="38">BT45/BO45-1</f>
        <v>1.7862597419004604</v>
      </c>
      <c r="BU46" s="798">
        <f t="shared" ref="BU46" si="39">BU45/BP45-1</f>
        <v>-4.8538888888888536</v>
      </c>
    </row>
    <row r="47" spans="2:86" s="106" customFormat="1" ht="12.75">
      <c r="B47" s="227" t="s">
        <v>141</v>
      </c>
      <c r="C47" s="227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433" t="e">
        <f>+AC45/AA45-1</f>
        <v>#DIV/0!</v>
      </c>
      <c r="AD47" s="233">
        <f>+AD45/AC45-1</f>
        <v>0.33109674271074763</v>
      </c>
      <c r="AE47" s="233">
        <f>+AE45/AD45-1</f>
        <v>-7.5795069196223808E-2</v>
      </c>
      <c r="AF47" s="233">
        <f>+AF45/AE45-1</f>
        <v>0.41461721539071617</v>
      </c>
      <c r="AG47" s="228"/>
      <c r="AH47" s="433">
        <f>+AH45/AF45-1</f>
        <v>-0.57343147563967656</v>
      </c>
      <c r="AI47" s="233">
        <f>+AI45/AH45-1</f>
        <v>1.3842235004108403</v>
      </c>
      <c r="AJ47" s="233">
        <f>+AJ45/AI45-1</f>
        <v>-0.35122001654259483</v>
      </c>
      <c r="AK47" s="233">
        <f>+AK45/AJ45-1</f>
        <v>0.81784860557768502</v>
      </c>
      <c r="AL47" s="228"/>
      <c r="AM47" s="433">
        <f>+AM45/AK45-1</f>
        <v>-0.33225212588761299</v>
      </c>
      <c r="AN47" s="233">
        <f>+AN45/AM45-1</f>
        <v>0.44689510305894653</v>
      </c>
      <c r="AO47" s="233">
        <f>+AO45/AN45-1</f>
        <v>0.85052778029821829</v>
      </c>
      <c r="AP47" s="233">
        <f>+AP45/AO45-1</f>
        <v>-0.19952928870292852</v>
      </c>
      <c r="AQ47" s="228"/>
      <c r="AR47" s="228">
        <f>AR45/AP45-1</f>
        <v>-0.42620875530872315</v>
      </c>
      <c r="AS47" s="233">
        <f>+AS45/AR45-1</f>
        <v>0.10490356558252412</v>
      </c>
      <c r="AT47" s="233">
        <f>+AT45/AS45-1</f>
        <v>-0.17410628019323837</v>
      </c>
      <c r="AU47" s="233">
        <f>+AU45/AT45-1</f>
        <v>0.1860474184994525</v>
      </c>
      <c r="AV47" s="798"/>
      <c r="AW47" s="228">
        <f>AW45/AU45-1</f>
        <v>-0.55212888377445424</v>
      </c>
      <c r="AX47" s="233">
        <f>+AX45/AW45-1</f>
        <v>0.68822493025988418</v>
      </c>
      <c r="AY47" s="233">
        <f>+AY45/AX45-1</f>
        <v>0.12666869591685392</v>
      </c>
      <c r="AZ47" s="233">
        <f>+AZ45/AY45-1</f>
        <v>0.11578541103820927</v>
      </c>
      <c r="BA47" s="798"/>
      <c r="BB47" s="228">
        <f>BB45/AZ45-1</f>
        <v>-0.94721549636803637</v>
      </c>
      <c r="BC47" s="233">
        <f>+BC45/BB45-1</f>
        <v>4.526867627784795</v>
      </c>
      <c r="BD47" s="233">
        <f>+BD45/BC45-1</f>
        <v>-0.11382499407160618</v>
      </c>
      <c r="BE47" s="233">
        <f>+BE45/BD45-1</f>
        <v>1.2364195879047117</v>
      </c>
      <c r="BF47" s="798"/>
      <c r="BG47" s="228">
        <f>BG45/BE45-1</f>
        <v>-1.1554890816631735</v>
      </c>
      <c r="BH47" s="233">
        <f>+BH45/BG45-1</f>
        <v>-2.304347826086985</v>
      </c>
      <c r="BI47" s="233">
        <f>+BI45/BH45-1</f>
        <v>-1.849557522123896</v>
      </c>
      <c r="BJ47" s="233">
        <f>+BJ45/BI45-1</f>
        <v>-1.7534722222222092</v>
      </c>
      <c r="BK47" s="798"/>
      <c r="BL47" s="228">
        <f>BL45/BJ45-1</f>
        <v>-5.3215483870968399</v>
      </c>
      <c r="BM47" s="233">
        <f>+BM45/BL45-1</f>
        <v>-1.0896855965603724</v>
      </c>
      <c r="BN47" s="233">
        <f>+BN45/BM45-1</f>
        <v>-0.40241364960462267</v>
      </c>
      <c r="BO47" s="233">
        <f>+BO45/BN45-1</f>
        <v>-5.4894548348873973E-2</v>
      </c>
      <c r="BP47" s="798"/>
      <c r="BQ47" s="228">
        <f>BQ45/BO45-1</f>
        <v>47.624254647282733</v>
      </c>
      <c r="BR47" s="233">
        <f>+BR45/BQ45-1</f>
        <v>-0.89050494472721009</v>
      </c>
      <c r="BS47" s="233">
        <f>+BS45/BR45-1</f>
        <v>-0.13704705126923056</v>
      </c>
      <c r="BT47" s="233">
        <f>+BT45/BS45-1</f>
        <v>-0.39356114573598255</v>
      </c>
      <c r="BU47" s="798"/>
    </row>
    <row r="48" spans="2:86" s="106" customFormat="1" hidden="1" outlineLevel="1">
      <c r="B48" s="713" t="s">
        <v>410</v>
      </c>
      <c r="C48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800"/>
      <c r="AW48" s="712">
        <f>0.2*AW45</f>
        <v>2.7243999999999917</v>
      </c>
      <c r="AX48" s="712">
        <f>0.33*AX45</f>
        <v>7.589010000000024</v>
      </c>
      <c r="AY48" s="712">
        <f>0.4*AY45</f>
        <v>10.363999999999988</v>
      </c>
      <c r="AZ48" s="712">
        <f>0.42*AZ45</f>
        <v>12.142199999999987</v>
      </c>
      <c r="BA48" s="798"/>
      <c r="BB48" s="228"/>
      <c r="BC48" s="712"/>
      <c r="BD48" s="233"/>
      <c r="BE48" s="233"/>
      <c r="BF48" s="798"/>
      <c r="BG48" s="228"/>
      <c r="BH48" s="233"/>
      <c r="BI48" s="233"/>
      <c r="BJ48" s="233"/>
      <c r="BK48" s="798"/>
      <c r="BL48" s="228"/>
      <c r="BM48" s="233"/>
      <c r="BN48" s="233"/>
      <c r="BO48" s="233"/>
      <c r="BP48" s="798"/>
      <c r="BQ48" s="228"/>
      <c r="BR48" s="233"/>
      <c r="BS48" s="233"/>
      <c r="BT48" s="233"/>
      <c r="BU48" s="798"/>
    </row>
    <row r="49" spans="1:86" s="106" customFormat="1" collapsed="1">
      <c r="B49" s="713"/>
      <c r="C49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800"/>
      <c r="AW49" s="712"/>
      <c r="AX49" s="712"/>
      <c r="AY49" s="712"/>
      <c r="AZ49" s="712"/>
      <c r="BA49" s="798"/>
      <c r="BB49" s="228"/>
      <c r="BC49" s="712"/>
      <c r="BD49" s="233"/>
      <c r="BE49" s="233"/>
      <c r="BF49" s="798"/>
      <c r="BG49" s="228"/>
      <c r="BH49" s="233"/>
      <c r="BI49" s="233"/>
      <c r="BJ49" s="233"/>
      <c r="BK49" s="798"/>
      <c r="BL49" s="228"/>
      <c r="BM49" s="233"/>
      <c r="BN49" s="233"/>
      <c r="BO49" s="233"/>
      <c r="BP49" s="798"/>
      <c r="BQ49" s="228"/>
      <c r="BR49" s="233"/>
      <c r="BS49" s="233"/>
      <c r="BT49" s="233"/>
      <c r="BU49" s="798"/>
    </row>
    <row r="50" spans="1:86" s="106" customFormat="1" ht="13.15">
      <c r="B50" s="231" t="s">
        <v>296</v>
      </c>
      <c r="C50" s="803"/>
      <c r="D50" s="416" t="s">
        <v>340</v>
      </c>
      <c r="E50" s="416" t="s">
        <v>340</v>
      </c>
      <c r="F50" s="416" t="s">
        <v>340</v>
      </c>
      <c r="G50" s="416" t="s">
        <v>340</v>
      </c>
      <c r="H50" s="786" t="s">
        <v>340</v>
      </c>
      <c r="I50" s="416" t="s">
        <v>340</v>
      </c>
      <c r="J50" s="416" t="s">
        <v>340</v>
      </c>
      <c r="K50" s="416" t="s">
        <v>340</v>
      </c>
      <c r="L50" s="416" t="s">
        <v>340</v>
      </c>
      <c r="M50" s="786" t="s">
        <v>340</v>
      </c>
      <c r="N50" s="416" t="s">
        <v>340</v>
      </c>
      <c r="O50" s="416" t="s">
        <v>340</v>
      </c>
      <c r="P50" s="416" t="s">
        <v>340</v>
      </c>
      <c r="Q50" s="803">
        <v>19529</v>
      </c>
      <c r="R50" s="786" t="s">
        <v>340</v>
      </c>
      <c r="S50" s="803">
        <v>20220</v>
      </c>
      <c r="T50" s="803">
        <v>20979</v>
      </c>
      <c r="U50" s="803">
        <v>22049</v>
      </c>
      <c r="V50" s="803">
        <v>23457</v>
      </c>
      <c r="W50" s="786">
        <f>+V50</f>
        <v>23457</v>
      </c>
      <c r="X50" s="803">
        <v>24996</v>
      </c>
      <c r="Y50" s="803">
        <v>27519</v>
      </c>
      <c r="Z50" s="803">
        <v>29382</v>
      </c>
      <c r="AA50" s="803">
        <v>32249</v>
      </c>
      <c r="AB50" s="532">
        <f>+AA50</f>
        <v>32249</v>
      </c>
      <c r="AC50" s="351">
        <f>37826</f>
        <v>37826</v>
      </c>
      <c r="AD50" s="351">
        <v>38823</v>
      </c>
      <c r="AE50" s="804">
        <v>40000</v>
      </c>
      <c r="AF50" s="805">
        <f>(AF41*1000/7998)*1000</f>
        <v>42349.83745936484</v>
      </c>
      <c r="AG50" s="532">
        <f>+AF50</f>
        <v>42349.83745936484</v>
      </c>
      <c r="AH50" s="805">
        <f>(AH41*1000/AH7)*1000</f>
        <v>43453.126934984517</v>
      </c>
      <c r="AI50" s="805">
        <f>(AI41*1000/AI7)*1000</f>
        <v>46199.6838136933</v>
      </c>
      <c r="AJ50" s="805">
        <f>(AJ41*1000/AJ7)*1000</f>
        <v>47231.106372897411</v>
      </c>
      <c r="AK50" s="805">
        <f>(AK41*1000/AK7)*1000</f>
        <v>49661.160816701078</v>
      </c>
      <c r="AL50" s="532">
        <f>+AK50</f>
        <v>49661.160816701078</v>
      </c>
      <c r="AM50" s="804">
        <f>51000</f>
        <v>51000</v>
      </c>
      <c r="AN50" s="804">
        <f>52500</f>
        <v>52500</v>
      </c>
      <c r="AO50" s="804">
        <f>55500</f>
        <v>55500</v>
      </c>
      <c r="AP50" s="806">
        <f>58300</f>
        <v>58300</v>
      </c>
      <c r="AQ50" s="532">
        <f>+AP50</f>
        <v>58300</v>
      </c>
      <c r="AR50" s="351">
        <v>60300</v>
      </c>
      <c r="AS50" s="351">
        <f>62000</f>
        <v>62000</v>
      </c>
      <c r="AT50" s="351">
        <f>63400</f>
        <v>63400</v>
      </c>
      <c r="AU50" s="351">
        <f>65400</f>
        <v>65400</v>
      </c>
      <c r="AV50" s="807">
        <f>+AU50</f>
        <v>65400</v>
      </c>
      <c r="AW50" s="351">
        <f>(AW41*1000000)/AW7</f>
        <v>65964.564074678274</v>
      </c>
      <c r="AX50" s="351">
        <f>(AX41*1000000)/AX7</f>
        <v>66523.4340391601</v>
      </c>
      <c r="AY50" s="351">
        <f>(AY41*1000000)/AY7</f>
        <v>68065.194532071502</v>
      </c>
      <c r="AZ50" s="351">
        <f>(AZ41*1000000)/AZ7</f>
        <v>69900.225576956451</v>
      </c>
      <c r="BA50" s="807">
        <f>+AZ50</f>
        <v>69900.225576956451</v>
      </c>
      <c r="BB50" s="351">
        <f>(BB41*1000000)/BB7</f>
        <v>70423.660792182869</v>
      </c>
      <c r="BC50" s="351">
        <f>(BC41*1000000)/BC7</f>
        <v>71023.162661093695</v>
      </c>
      <c r="BD50" s="351">
        <f>(BD41*1000000)/BD7</f>
        <v>70841.20836560805</v>
      </c>
      <c r="BE50" s="351">
        <f>(BE41*1000000)/BE7</f>
        <v>71614.138313294112</v>
      </c>
      <c r="BF50" s="807">
        <f>+BE50</f>
        <v>71614.138313294112</v>
      </c>
      <c r="BG50" s="351">
        <f>(BG41*1000000)/BG7</f>
        <v>71649.122807017542</v>
      </c>
      <c r="BH50" s="351">
        <f>(BH41*1000000)/BH7</f>
        <v>72198.746027656103</v>
      </c>
      <c r="BI50" s="351">
        <f>(BI41*1000000)/BI7</f>
        <v>72106.214494749525</v>
      </c>
      <c r="BJ50" s="351">
        <f>(BJ41*1000000)/BJ7</f>
        <v>71946.205242419048</v>
      </c>
      <c r="BK50" s="807">
        <f>+BJ50</f>
        <v>71946.205242419048</v>
      </c>
      <c r="BL50" s="351">
        <f>(BL41*1000000)/BL7</f>
        <v>71313.948136699299</v>
      </c>
      <c r="BM50" s="351">
        <f>(BM41*1000000)/BM7</f>
        <v>71489.29333058164</v>
      </c>
      <c r="BN50" s="351">
        <f>(BN41*1000000)/BN7</f>
        <v>71687.856773526364</v>
      </c>
      <c r="BO50" s="351">
        <f>(BO41*1000000)/BO7</f>
        <v>71876.178947083405</v>
      </c>
      <c r="BP50" s="807">
        <f>+BO50</f>
        <v>71876.178947083405</v>
      </c>
      <c r="BQ50" s="351">
        <f>(BQ41*1000000)/BQ7</f>
        <v>73946.676025557827</v>
      </c>
      <c r="BR50" s="351">
        <f>(BR41*1000000)/BR7</f>
        <v>74221.246152639927</v>
      </c>
      <c r="BS50" s="351">
        <f>(BS41*1000000)/BS7</f>
        <v>74494.347889856406</v>
      </c>
      <c r="BT50" s="351">
        <f>(BT41*1000000)/BT7</f>
        <v>74697.833792262187</v>
      </c>
      <c r="BU50" s="807">
        <f>+BT50</f>
        <v>74697.833792262187</v>
      </c>
    </row>
    <row r="51" spans="1:86" s="106" customFormat="1" ht="12.75">
      <c r="B51" s="227" t="s">
        <v>126</v>
      </c>
      <c r="C51" s="227"/>
      <c r="D51" s="371" t="s">
        <v>340</v>
      </c>
      <c r="E51" s="371" t="s">
        <v>340</v>
      </c>
      <c r="F51" s="371" t="s">
        <v>340</v>
      </c>
      <c r="G51" s="371" t="s">
        <v>340</v>
      </c>
      <c r="H51" s="533" t="s">
        <v>340</v>
      </c>
      <c r="I51" s="371" t="s">
        <v>340</v>
      </c>
      <c r="J51" s="371" t="s">
        <v>340</v>
      </c>
      <c r="K51" s="371" t="s">
        <v>340</v>
      </c>
      <c r="L51" s="371" t="s">
        <v>340</v>
      </c>
      <c r="M51" s="533" t="s">
        <v>340</v>
      </c>
      <c r="N51" s="371" t="s">
        <v>340</v>
      </c>
      <c r="O51" s="371" t="s">
        <v>340</v>
      </c>
      <c r="P51" s="371" t="s">
        <v>340</v>
      </c>
      <c r="Q51" s="371" t="s">
        <v>340</v>
      </c>
      <c r="R51" s="533" t="s">
        <v>340</v>
      </c>
      <c r="S51" s="371" t="s">
        <v>340</v>
      </c>
      <c r="T51" s="371" t="s">
        <v>340</v>
      </c>
      <c r="U51" s="371" t="s">
        <v>340</v>
      </c>
      <c r="V51" s="233">
        <f>+V50/Q50-1</f>
        <v>0.20113677095601412</v>
      </c>
      <c r="W51" s="533" t="s">
        <v>340</v>
      </c>
      <c r="X51" s="233">
        <f>+X50/S50-1</f>
        <v>0.23620178041543016</v>
      </c>
      <c r="Y51" s="233">
        <f>+Y50/T50-1</f>
        <v>0.31174031174031169</v>
      </c>
      <c r="Z51" s="233">
        <f>+Z50/U50-1</f>
        <v>0.33257744115379384</v>
      </c>
      <c r="AA51" s="233">
        <f>+AA50/V50-1</f>
        <v>0.37481348851089225</v>
      </c>
      <c r="AB51" s="502">
        <f t="shared" ref="AB51:AQ51" si="40">+AB50/W50-1</f>
        <v>0.37481348851089225</v>
      </c>
      <c r="AC51" s="233"/>
      <c r="AD51" s="233"/>
      <c r="AE51" s="233"/>
      <c r="AF51" s="233"/>
      <c r="AG51" s="502">
        <f t="shared" si="40"/>
        <v>0.31321397436710718</v>
      </c>
      <c r="AH51" s="233">
        <f t="shared" si="40"/>
        <v>0.14876346785239036</v>
      </c>
      <c r="AI51" s="233">
        <f t="shared" si="40"/>
        <v>0.19000808319020424</v>
      </c>
      <c r="AJ51" s="233">
        <f t="shared" si="40"/>
        <v>0.18077765932243528</v>
      </c>
      <c r="AK51" s="233">
        <f t="shared" si="40"/>
        <v>0.17264111968201856</v>
      </c>
      <c r="AL51" s="502">
        <f t="shared" si="40"/>
        <v>0.17264111968201856</v>
      </c>
      <c r="AM51" s="233">
        <f t="shared" si="40"/>
        <v>0.17367848063747582</v>
      </c>
      <c r="AN51" s="233">
        <f>+AN50/AI50-1</f>
        <v>0.13637141352987636</v>
      </c>
      <c r="AO51" s="233">
        <f>+AO50/AJ50-1</f>
        <v>0.17507304533199597</v>
      </c>
      <c r="AP51" s="233">
        <f>+AP50/AK50-1</f>
        <v>0.17395564342897263</v>
      </c>
      <c r="AQ51" s="502">
        <f t="shared" si="40"/>
        <v>0.17395564342897263</v>
      </c>
      <c r="AR51" s="233">
        <f t="shared" ref="AR51:BP51" si="41">+AR50/AM50-1</f>
        <v>0.18235294117647061</v>
      </c>
      <c r="AS51" s="233">
        <f t="shared" si="41"/>
        <v>0.18095238095238098</v>
      </c>
      <c r="AT51" s="233">
        <f t="shared" si="41"/>
        <v>0.14234234234234244</v>
      </c>
      <c r="AU51" s="233">
        <f t="shared" si="41"/>
        <v>0.12178387650085765</v>
      </c>
      <c r="AV51" s="794">
        <f t="shared" si="41"/>
        <v>0.12178387650085765</v>
      </c>
      <c r="AW51" s="233">
        <f t="shared" si="41"/>
        <v>9.3939702730982955E-2</v>
      </c>
      <c r="AX51" s="233">
        <f t="shared" si="41"/>
        <v>7.2958613534840344E-2</v>
      </c>
      <c r="AY51" s="233">
        <f t="shared" si="41"/>
        <v>7.3583509969582073E-2</v>
      </c>
      <c r="AZ51" s="233">
        <f t="shared" si="41"/>
        <v>6.8810788638477893E-2</v>
      </c>
      <c r="BA51" s="794">
        <f t="shared" si="41"/>
        <v>6.8810788638477893E-2</v>
      </c>
      <c r="BB51" s="233">
        <f t="shared" si="41"/>
        <v>6.7598365577864916E-2</v>
      </c>
      <c r="BC51" s="233">
        <f t="shared" si="41"/>
        <v>6.7641255851054849E-2</v>
      </c>
      <c r="BD51" s="233">
        <f t="shared" si="41"/>
        <v>4.0784630861938176E-2</v>
      </c>
      <c r="BE51" s="233">
        <f t="shared" si="41"/>
        <v>2.451941638515498E-2</v>
      </c>
      <c r="BF51" s="794">
        <f t="shared" si="41"/>
        <v>2.451941638515498E-2</v>
      </c>
      <c r="BG51" s="233">
        <f t="shared" si="41"/>
        <v>1.7401282481621649E-2</v>
      </c>
      <c r="BH51" s="233">
        <f t="shared" si="41"/>
        <v>1.6552112332310909E-2</v>
      </c>
      <c r="BI51" s="233">
        <f t="shared" si="41"/>
        <v>1.7856924780458749E-2</v>
      </c>
      <c r="BJ51" s="233">
        <f t="shared" si="41"/>
        <v>4.6368906607829885E-3</v>
      </c>
      <c r="BK51" s="794">
        <f t="shared" si="41"/>
        <v>4.6368906607829885E-3</v>
      </c>
      <c r="BL51" s="233">
        <f t="shared" si="41"/>
        <v>-4.6780010303966169E-3</v>
      </c>
      <c r="BM51" s="233">
        <f t="shared" si="41"/>
        <v>-9.8263853059539219E-3</v>
      </c>
      <c r="BN51" s="233">
        <f t="shared" si="41"/>
        <v>-5.8019648397105161E-3</v>
      </c>
      <c r="BO51" s="233">
        <f t="shared" si="41"/>
        <v>-9.7331464668215517E-4</v>
      </c>
      <c r="BP51" s="794">
        <f t="shared" si="41"/>
        <v>-9.7331464668215517E-4</v>
      </c>
      <c r="BQ51" s="233">
        <f t="shared" ref="BQ51" si="42">+BQ50/BL50-1</f>
        <v>3.6917432811487849E-2</v>
      </c>
      <c r="BR51" s="233">
        <f t="shared" ref="BR51" si="43">+BR50/BM50-1</f>
        <v>3.8214852809149491E-2</v>
      </c>
      <c r="BS51" s="233">
        <f t="shared" ref="BS51" si="44">+BS50/BN50-1</f>
        <v>3.914876581115001E-2</v>
      </c>
      <c r="BT51" s="233">
        <f t="shared" ref="BT51" si="45">+BT50/BO50-1</f>
        <v>3.925716261650658E-2</v>
      </c>
      <c r="BU51" s="794">
        <f t="shared" ref="BU51" si="46">+BU50/BP50-1</f>
        <v>3.925716261650658E-2</v>
      </c>
    </row>
    <row r="52" spans="1:86" s="106" customFormat="1" ht="12.75">
      <c r="B52" s="227" t="s">
        <v>141</v>
      </c>
      <c r="C52" s="227"/>
      <c r="D52" s="371" t="s">
        <v>340</v>
      </c>
      <c r="E52" s="371" t="s">
        <v>340</v>
      </c>
      <c r="F52" s="371" t="s">
        <v>340</v>
      </c>
      <c r="G52" s="371" t="s">
        <v>340</v>
      </c>
      <c r="H52" s="533"/>
      <c r="I52" s="371" t="s">
        <v>340</v>
      </c>
      <c r="J52" s="371" t="s">
        <v>340</v>
      </c>
      <c r="K52" s="371" t="s">
        <v>340</v>
      </c>
      <c r="L52" s="371" t="s">
        <v>340</v>
      </c>
      <c r="M52" s="533"/>
      <c r="N52" s="371" t="s">
        <v>340</v>
      </c>
      <c r="O52" s="371" t="s">
        <v>340</v>
      </c>
      <c r="P52" s="371" t="s">
        <v>340</v>
      </c>
      <c r="Q52" s="371" t="s">
        <v>340</v>
      </c>
      <c r="R52" s="502"/>
      <c r="S52" s="233">
        <f>+S50/Q50-1</f>
        <v>3.5383276153412968E-2</v>
      </c>
      <c r="T52" s="233">
        <f>+T50/S50-1</f>
        <v>3.75370919881306E-2</v>
      </c>
      <c r="U52" s="233">
        <f>+U50/T50-1</f>
        <v>5.1003384336717694E-2</v>
      </c>
      <c r="V52" s="233">
        <f>+V50/U50-1</f>
        <v>6.3857771327497925E-2</v>
      </c>
      <c r="W52" s="502"/>
      <c r="X52" s="233">
        <f>+X50/V50-1</f>
        <v>6.5609412968410386E-2</v>
      </c>
      <c r="Y52" s="233">
        <f>+Y50/X50-1</f>
        <v>0.10093614978396537</v>
      </c>
      <c r="Z52" s="233">
        <f>+Z50/Y50-1</f>
        <v>6.7698680911370435E-2</v>
      </c>
      <c r="AA52" s="233">
        <f>+AA50/Z50-1</f>
        <v>9.7576747668640662E-2</v>
      </c>
      <c r="AB52" s="502"/>
      <c r="AC52" s="233"/>
      <c r="AD52" s="233"/>
      <c r="AE52" s="233"/>
      <c r="AF52" s="233"/>
      <c r="AG52" s="502"/>
      <c r="AH52" s="233">
        <f>+AH50/AG50-1</f>
        <v>2.6051799530005137E-2</v>
      </c>
      <c r="AI52" s="233">
        <f>+AI50/AH50-1</f>
        <v>6.3207347144849546E-2</v>
      </c>
      <c r="AJ52" s="233">
        <f>+AJ50/AI50-1</f>
        <v>2.2325316410464424E-2</v>
      </c>
      <c r="AK52" s="233">
        <f>+AK50/AJ50-1</f>
        <v>5.1450296857710409E-2</v>
      </c>
      <c r="AL52" s="502"/>
      <c r="AM52" s="233">
        <f>+AM50/AL50-1</f>
        <v>2.6959482244898858E-2</v>
      </c>
      <c r="AN52" s="233">
        <f>+AN50/AM50-1</f>
        <v>2.9411764705882248E-2</v>
      </c>
      <c r="AO52" s="233">
        <f>+AO50/AN50-1</f>
        <v>5.7142857142857162E-2</v>
      </c>
      <c r="AP52" s="233">
        <f>+AP50/AO50-1</f>
        <v>5.0450450450450379E-2</v>
      </c>
      <c r="AQ52" s="502"/>
      <c r="AR52" s="233">
        <f>+AR50/AP50-1</f>
        <v>3.4305317324185181E-2</v>
      </c>
      <c r="AS52" s="233">
        <f>+AS50/AR50-1</f>
        <v>2.8192371475953548E-2</v>
      </c>
      <c r="AT52" s="233">
        <f>+AT50/AS50-1</f>
        <v>2.2580645161290214E-2</v>
      </c>
      <c r="AU52" s="233">
        <f>+AU50/AT50-1</f>
        <v>3.1545741324921162E-2</v>
      </c>
      <c r="AV52" s="801"/>
      <c r="AW52" s="233">
        <f>+AW50/AU50-1</f>
        <v>8.6324782060898109E-3</v>
      </c>
      <c r="AX52" s="233">
        <f>+AX50/AW50-1</f>
        <v>8.4722755667592242E-3</v>
      </c>
      <c r="AY52" s="233">
        <f>+AY50/AX50-1</f>
        <v>2.3176201216609238E-2</v>
      </c>
      <c r="AZ52" s="233">
        <f>+AZ50/AY50-1</f>
        <v>2.695990303855389E-2</v>
      </c>
      <c r="BA52" s="794"/>
      <c r="BB52" s="233">
        <f>BB50/AZ50-1</f>
        <v>7.4883193996297948E-3</v>
      </c>
      <c r="BC52" s="233">
        <f>+BC50/BB50-1</f>
        <v>8.5127904764839002E-3</v>
      </c>
      <c r="BD52" s="233">
        <f>+BD50/BC50-1</f>
        <v>-2.561900775299053E-3</v>
      </c>
      <c r="BE52" s="233">
        <f>+BE50/BD50-1</f>
        <v>1.0910739180181706E-2</v>
      </c>
      <c r="BF52" s="794"/>
      <c r="BG52" s="233">
        <f>BG50/BE50-1</f>
        <v>4.8851378439240811E-4</v>
      </c>
      <c r="BH52" s="233">
        <f>+BH50/BG50-1</f>
        <v>7.6710390735548195E-3</v>
      </c>
      <c r="BI52" s="233">
        <f>+BI50/BH50-1</f>
        <v>-1.2816224380286512E-3</v>
      </c>
      <c r="BJ52" s="233">
        <f>+BJ50/BI50-1</f>
        <v>-2.2190771412931021E-3</v>
      </c>
      <c r="BK52" s="794"/>
      <c r="BL52" s="233">
        <f>BL50/BJ50-1</f>
        <v>-8.7879145757499E-3</v>
      </c>
      <c r="BM52" s="233">
        <f>+BM50/BL50-1</f>
        <v>2.4587783801597318E-3</v>
      </c>
      <c r="BN52" s="233">
        <f>+BN50/BM50-1</f>
        <v>2.7775270071075386E-3</v>
      </c>
      <c r="BO52" s="233">
        <f>+BO50/BN50-1</f>
        <v>2.6269745258529209E-3</v>
      </c>
      <c r="BP52" s="794"/>
      <c r="BQ52" s="233">
        <f>BQ50/BO50-1</f>
        <v>2.8806443369767454E-2</v>
      </c>
      <c r="BR52" s="233">
        <f>+BR50/BQ50-1</f>
        <v>3.713082748806773E-3</v>
      </c>
      <c r="BS52" s="233">
        <f>+BS50/BR50-1</f>
        <v>3.6795628121741863E-3</v>
      </c>
      <c r="BT52" s="233">
        <f>+BT50/BS50-1</f>
        <v>2.7315616307783674E-3</v>
      </c>
      <c r="BU52" s="794"/>
    </row>
    <row r="53" spans="1:86" s="106" customFormat="1" ht="12.75">
      <c r="B53" s="227"/>
      <c r="C53" s="227"/>
      <c r="D53" s="371"/>
      <c r="E53" s="371"/>
      <c r="F53" s="371"/>
      <c r="G53" s="371"/>
      <c r="H53" s="792"/>
      <c r="I53" s="371"/>
      <c r="J53" s="371"/>
      <c r="K53" s="371"/>
      <c r="L53" s="371"/>
      <c r="M53" s="792"/>
      <c r="N53" s="371"/>
      <c r="O53" s="371"/>
      <c r="P53" s="371"/>
      <c r="Q53" s="371"/>
      <c r="R53" s="793"/>
      <c r="S53" s="233"/>
      <c r="T53" s="233"/>
      <c r="U53" s="233"/>
      <c r="V53" s="233"/>
      <c r="W53" s="793"/>
      <c r="X53" s="233"/>
      <c r="Y53" s="233"/>
      <c r="Z53" s="233"/>
      <c r="AA53" s="233"/>
      <c r="AB53" s="793"/>
      <c r="AC53" s="233"/>
      <c r="AD53" s="233"/>
      <c r="AE53" s="233"/>
      <c r="AF53" s="233"/>
      <c r="AG53" s="793"/>
      <c r="AH53" s="233"/>
      <c r="AI53" s="233"/>
      <c r="AJ53" s="233"/>
      <c r="AK53" s="233"/>
      <c r="AL53" s="502"/>
      <c r="AM53" s="233"/>
      <c r="AN53" s="233"/>
      <c r="AO53" s="233"/>
      <c r="AP53" s="233"/>
      <c r="AQ53" s="502"/>
      <c r="AR53" s="233"/>
      <c r="AS53" s="233"/>
      <c r="AT53" s="233"/>
      <c r="AU53" s="233"/>
      <c r="AV53" s="801"/>
      <c r="AW53" s="233"/>
      <c r="AX53" s="233"/>
      <c r="AY53" s="233"/>
      <c r="AZ53" s="233"/>
      <c r="BA53" s="794"/>
      <c r="BB53" s="233"/>
      <c r="BC53" s="233"/>
      <c r="BD53" s="233"/>
      <c r="BE53" s="233"/>
      <c r="BF53" s="794"/>
      <c r="BG53" s="233"/>
      <c r="BH53" s="233"/>
      <c r="BI53" s="233"/>
      <c r="BJ53" s="233"/>
      <c r="BK53" s="794"/>
      <c r="BL53" s="233"/>
      <c r="BM53" s="233"/>
      <c r="BN53" s="233"/>
      <c r="BO53" s="233"/>
      <c r="BP53" s="794"/>
      <c r="BQ53" s="233"/>
      <c r="BR53" s="233"/>
      <c r="BS53" s="233"/>
      <c r="BT53" s="233"/>
      <c r="BU53" s="794"/>
    </row>
    <row r="54" spans="1:86" s="106" customFormat="1" ht="13.15" thickBot="1">
      <c r="B54" s="178" t="s">
        <v>356</v>
      </c>
      <c r="C54" s="227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I54" s="228"/>
      <c r="AJ54" s="228"/>
      <c r="AK54" s="228"/>
      <c r="AL54" s="228"/>
      <c r="AN54" s="228"/>
      <c r="AO54" s="228" t="s">
        <v>379</v>
      </c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A54" s="228"/>
      <c r="BB54" s="228"/>
      <c r="BC54" s="228"/>
      <c r="BD54" s="228"/>
      <c r="BE54" s="228"/>
      <c r="BF54" s="228"/>
      <c r="BG54" s="228"/>
      <c r="BH54" s="228"/>
      <c r="BI54" s="228"/>
      <c r="BJ54" s="228"/>
      <c r="BK54" s="228"/>
      <c r="BL54" s="228"/>
      <c r="BM54" s="228"/>
      <c r="BN54" s="228"/>
      <c r="BO54" s="228"/>
      <c r="BP54" s="228"/>
      <c r="BQ54" s="228"/>
      <c r="BR54" s="228"/>
      <c r="BS54" s="228"/>
      <c r="BT54" s="228"/>
      <c r="BU54" s="228"/>
      <c r="BV54" s="286"/>
      <c r="BW54" s="286"/>
      <c r="BX54" s="286"/>
      <c r="BY54" s="286"/>
      <c r="BZ54" s="286"/>
    </row>
    <row r="55" spans="1:86" s="286" customFormat="1" ht="12.75" customHeight="1">
      <c r="A55" s="106"/>
      <c r="B55" s="591"/>
      <c r="C55" s="591"/>
      <c r="D55" s="592"/>
      <c r="E55" s="592"/>
      <c r="F55" s="592"/>
      <c r="G55" s="592"/>
      <c r="H55" s="592"/>
      <c r="I55" s="592"/>
      <c r="J55" s="592"/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Y55" s="592"/>
      <c r="Z55" s="592"/>
      <c r="AA55" s="592"/>
      <c r="AB55" s="592"/>
      <c r="AC55" s="592"/>
      <c r="AD55" s="592"/>
      <c r="AE55" s="592"/>
      <c r="AF55" s="592"/>
      <c r="AG55" s="592"/>
      <c r="AH55" s="592"/>
      <c r="AI55" s="592"/>
      <c r="AJ55" s="592"/>
      <c r="AK55" s="592"/>
      <c r="AL55" s="592"/>
      <c r="AM55" s="592"/>
      <c r="AN55" s="592"/>
      <c r="AO55" s="592"/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CB55" s="106"/>
      <c r="CC55" s="106"/>
      <c r="CD55" s="106"/>
      <c r="CE55" s="106"/>
      <c r="CF55" s="106"/>
      <c r="CG55" s="106"/>
      <c r="CH55" s="106"/>
    </row>
    <row r="56" spans="1:86" s="286" customFormat="1" ht="12.75" customHeight="1">
      <c r="A56" s="106"/>
      <c r="B56" s="598"/>
      <c r="C56" s="598"/>
      <c r="D56" s="599"/>
      <c r="E56" s="599"/>
      <c r="F56" s="599"/>
      <c r="G56" s="599"/>
      <c r="H56" s="599"/>
      <c r="I56" s="599"/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  <c r="AH56" s="599"/>
      <c r="AI56" s="599"/>
      <c r="AJ56" s="599"/>
      <c r="AK56" s="599"/>
      <c r="AL56" s="599"/>
      <c r="AM56" s="599"/>
      <c r="AN56" s="599"/>
      <c r="AO56" s="599"/>
      <c r="AP56" s="599"/>
      <c r="AQ56" s="599"/>
      <c r="AR56" s="599"/>
      <c r="AS56" s="599"/>
      <c r="AT56" s="599"/>
      <c r="AU56" s="599"/>
      <c r="AV56" s="599"/>
      <c r="AW56" s="599"/>
      <c r="AX56" s="599"/>
      <c r="AY56" s="106"/>
      <c r="AZ56" s="599"/>
      <c r="BA56" s="599"/>
      <c r="BB56" s="600"/>
      <c r="BC56" s="106"/>
      <c r="BD56" s="106"/>
      <c r="BE56" s="106"/>
      <c r="BF56" s="106"/>
      <c r="BG56" s="106"/>
      <c r="BH56" s="106"/>
      <c r="BI56" s="106"/>
      <c r="BJ56" s="106"/>
      <c r="BK56" s="106"/>
      <c r="BL56" s="600"/>
      <c r="BM56" s="106"/>
      <c r="BN56" s="106"/>
      <c r="BO56" s="106"/>
      <c r="BP56" s="106"/>
      <c r="BQ56" s="600"/>
      <c r="BR56" s="106"/>
      <c r="BS56" s="106"/>
      <c r="BT56" s="106"/>
      <c r="BU56" s="106"/>
      <c r="CB56" s="106"/>
      <c r="CC56" s="106"/>
      <c r="CD56" s="106"/>
      <c r="CE56" s="106"/>
      <c r="CF56" s="106"/>
      <c r="CG56" s="106"/>
      <c r="CH56" s="106"/>
    </row>
    <row r="57" spans="1:86" s="286" customFormat="1" ht="12.75" customHeight="1">
      <c r="A57" s="106"/>
      <c r="B57"/>
      <c r="C57" s="598"/>
      <c r="D57" s="599"/>
      <c r="E57" s="599"/>
      <c r="F57" s="599"/>
      <c r="G57" s="599"/>
      <c r="H57" s="599"/>
      <c r="I57" s="599"/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  <c r="AH57" s="599"/>
      <c r="AI57" s="599"/>
      <c r="AJ57" s="220">
        <f>SUM(AJ45:AK45)/SUM(AH45:AK45)</f>
        <v>0.56292979030478008</v>
      </c>
      <c r="AK57" s="599"/>
      <c r="AL57" s="599"/>
      <c r="AM57" s="599"/>
      <c r="AN57" s="599"/>
      <c r="AO57" s="220">
        <f>SUM(AO45:AP45)/SUM(AM45:AP45)</f>
        <v>0.66331876151595071</v>
      </c>
      <c r="AP57" s="599"/>
      <c r="AQ57" s="599"/>
      <c r="AR57" s="599"/>
      <c r="AS57" s="599"/>
      <c r="AT57" s="220">
        <f>SUM(AT45:AU45)/SUM(AR45:AU45)</f>
        <v>0.486576802562255</v>
      </c>
      <c r="AU57" s="599"/>
      <c r="AV57" s="599"/>
      <c r="AW57" s="599"/>
      <c r="AX57" s="599"/>
      <c r="AY57" s="220"/>
      <c r="AZ57" s="599"/>
      <c r="BA57" s="599"/>
      <c r="BB57" s="600"/>
      <c r="BC57" s="106"/>
      <c r="BD57" s="220"/>
      <c r="BE57" s="106"/>
      <c r="BF57" s="106"/>
      <c r="BG57" s="600"/>
      <c r="BH57" s="106"/>
      <c r="BI57" s="220"/>
      <c r="BJ57" s="106"/>
      <c r="BK57" s="106"/>
      <c r="BL57" s="600"/>
      <c r="BM57" s="106"/>
      <c r="BN57" s="220">
        <f>SUM(BN45:BO45)/SUM(BL45:BO45)</f>
        <v>-0.1293288883597129</v>
      </c>
      <c r="BO57" s="106"/>
      <c r="BP57" s="106"/>
      <c r="BQ57" s="600"/>
      <c r="BR57" s="106"/>
      <c r="BS57" s="220">
        <f>SUM(BS45:BT45)/SUM(BQ45:BT45)</f>
        <v>0.12034616448277025</v>
      </c>
      <c r="BT57" s="106"/>
      <c r="BU57" s="106"/>
    </row>
    <row r="58" spans="1:86" s="286" customFormat="1" ht="12.75" customHeight="1">
      <c r="A58"/>
      <c r="B58" s="736" t="s">
        <v>502</v>
      </c>
      <c r="C58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706">
        <f>0.4*AL41</f>
        <v>173.17840000000001</v>
      </c>
      <c r="AM58" s="706"/>
      <c r="AN58" s="706"/>
      <c r="AO58" s="706"/>
      <c r="AP58" s="706"/>
      <c r="AQ58" s="706"/>
      <c r="AR58" s="706"/>
      <c r="AS58" s="706">
        <f>0.5*AS41</f>
        <v>329.08600000000001</v>
      </c>
      <c r="AT58" s="706"/>
      <c r="AU58" s="706"/>
      <c r="AV58" s="706"/>
      <c r="AW58" s="706"/>
      <c r="AX58" s="706"/>
      <c r="AY58" s="220"/>
      <c r="AZ58" s="706"/>
      <c r="BA58" s="706"/>
      <c r="BB58" s="783">
        <f>BB41-BB88</f>
        <v>445.24600000000004</v>
      </c>
      <c r="BC58" s="706"/>
      <c r="BD58"/>
      <c r="BE58" s="783">
        <f>BE41-BE88</f>
        <v>431.81899999999996</v>
      </c>
      <c r="BF58" s="706"/>
      <c r="BG58" s="783">
        <f>BG41-BG88</f>
        <v>410.23779999999999</v>
      </c>
      <c r="BH58" s="706"/>
      <c r="BI58" s="706"/>
      <c r="BJ58" s="706"/>
      <c r="BK58" s="706"/>
      <c r="BL58" s="783">
        <f>BL62+BL77+BL73</f>
        <v>388.39115399999997</v>
      </c>
      <c r="BM58" s="706"/>
      <c r="BN58" s="706"/>
      <c r="BO58" s="706"/>
      <c r="BP58" s="706"/>
      <c r="BQ58" s="783">
        <f>BQ62+BQ77+BQ73</f>
        <v>365.90017321999994</v>
      </c>
      <c r="BR58" s="706"/>
      <c r="BS58" s="706"/>
      <c r="BT58" s="706"/>
      <c r="BU58" s="706"/>
    </row>
    <row r="59" spans="1:86" s="286" customFormat="1" ht="12.75" customHeight="1">
      <c r="A59"/>
      <c r="B59" s="837" t="s">
        <v>126</v>
      </c>
      <c r="C59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706">
        <f>0.07*AL41</f>
        <v>30.306220000000003</v>
      </c>
      <c r="AM59" s="706"/>
      <c r="AN59" s="706"/>
      <c r="AO59" s="706"/>
      <c r="AP59" s="706"/>
      <c r="AQ59" s="706"/>
      <c r="AR59" s="706"/>
      <c r="AS59" s="706">
        <f>0.05*AS41</f>
        <v>32.9086</v>
      </c>
      <c r="AT59" s="706"/>
      <c r="AU59" s="706"/>
      <c r="AV59" s="706"/>
      <c r="AW59" s="747"/>
      <c r="AX59" s="747"/>
      <c r="AY59" s="747"/>
      <c r="AZ59" s="747"/>
      <c r="BA59" s="747"/>
      <c r="BB59" s="747"/>
      <c r="BC59" s="747"/>
      <c r="BD59" s="747"/>
      <c r="BE59" s="747"/>
      <c r="BF59" s="747"/>
      <c r="BG59" s="747">
        <f>BG58/BB58-1</f>
        <v>-7.8626646842419823E-2</v>
      </c>
      <c r="BH59" s="706"/>
      <c r="BI59" s="706"/>
      <c r="BJ59" s="706"/>
      <c r="BK59" s="706"/>
      <c r="BL59" s="747">
        <f>BL58/BG58-1</f>
        <v>-5.3253615342126026E-2</v>
      </c>
      <c r="BM59" s="706"/>
      <c r="BN59" s="706"/>
      <c r="BO59" s="706"/>
      <c r="BP59" s="706"/>
      <c r="BQ59" s="747">
        <f>BQ58/BL58-1</f>
        <v>-5.7908066515850787E-2</v>
      </c>
      <c r="BR59" s="706"/>
      <c r="BS59" s="706"/>
      <c r="BT59" s="706"/>
      <c r="BU59" s="706"/>
      <c r="BV59" s="106"/>
      <c r="BW59" s="106"/>
      <c r="BX59" s="106"/>
      <c r="BY59" s="106"/>
      <c r="BZ59" s="106"/>
    </row>
    <row r="60" spans="1:86" s="106" customFormat="1">
      <c r="A60"/>
      <c r="B60" s="837" t="s">
        <v>141</v>
      </c>
      <c r="C6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706"/>
      <c r="AM60" s="706"/>
      <c r="AN60" s="706"/>
      <c r="AO60" s="706"/>
      <c r="AP60" s="706"/>
      <c r="AQ60" s="706"/>
      <c r="AR60" s="706"/>
      <c r="AS60" s="706"/>
      <c r="AT60" s="706"/>
      <c r="AU60" s="706"/>
      <c r="AV60" s="706"/>
      <c r="AW60" s="747"/>
      <c r="AX60" s="747"/>
      <c r="AY60" s="747"/>
      <c r="AZ60" s="747"/>
      <c r="BA60" s="747"/>
      <c r="BB60" s="747"/>
      <c r="BC60" s="747"/>
      <c r="BD60" s="747"/>
      <c r="BE60" s="747"/>
      <c r="BF60" s="747"/>
      <c r="BG60" s="747">
        <f>BG58/BE58-1</f>
        <v>-4.9977421095412589E-2</v>
      </c>
      <c r="BH60" s="706"/>
      <c r="BI60" s="706"/>
      <c r="BJ60" s="706"/>
      <c r="BK60" s="706"/>
      <c r="BL60" s="747"/>
      <c r="BM60" s="706"/>
      <c r="BN60" s="706"/>
      <c r="BO60" s="706"/>
      <c r="BP60" s="706"/>
      <c r="BQ60" s="747"/>
      <c r="BR60" s="706"/>
      <c r="BS60" s="706"/>
      <c r="BT60" s="706"/>
      <c r="BU60" s="706"/>
    </row>
    <row r="61" spans="1:86" s="106" customFormat="1">
      <c r="A61"/>
      <c r="B61" t="s">
        <v>313</v>
      </c>
      <c r="C61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706">
        <f>0.53*AL41</f>
        <v>229.46138000000002</v>
      </c>
      <c r="AM61" s="706"/>
      <c r="AN61" s="706"/>
      <c r="AO61" s="706"/>
      <c r="AP61" s="706"/>
      <c r="AQ61" s="706"/>
      <c r="AR61" s="706"/>
      <c r="AS61" s="706">
        <f>0.45*AS41</f>
        <v>296.17740000000003</v>
      </c>
      <c r="AT61" s="706"/>
      <c r="AU61" s="706"/>
      <c r="AV61" s="706"/>
      <c r="AW61" s="747"/>
      <c r="AX61" s="747"/>
      <c r="AY61" s="747"/>
      <c r="AZ61" s="747"/>
      <c r="BA61" s="747"/>
      <c r="BB61" s="747">
        <f>1-BB91</f>
        <v>0.55159589492514827</v>
      </c>
      <c r="BC61" s="747"/>
      <c r="BD61" s="747"/>
      <c r="BE61" s="747">
        <f>1-BE91</f>
        <v>0.51418103186519948</v>
      </c>
      <c r="BF61" s="747"/>
      <c r="BG61" s="747">
        <f>1-BG91</f>
        <v>0.49</v>
      </c>
      <c r="BH61" s="706"/>
      <c r="BI61" s="706"/>
      <c r="BJ61" s="706"/>
      <c r="BK61" s="706"/>
      <c r="BL61" s="747"/>
      <c r="BM61" s="706"/>
      <c r="BN61" s="706"/>
      <c r="BO61" s="706"/>
      <c r="BP61" s="706"/>
      <c r="BQ61" s="747"/>
      <c r="BR61" s="706"/>
      <c r="BS61" s="706"/>
      <c r="BT61" s="706"/>
      <c r="BU61" s="706"/>
    </row>
    <row r="62" spans="1:86" s="106" customFormat="1" outlineLevel="1">
      <c r="A62"/>
      <c r="B62" s="825" t="s">
        <v>507</v>
      </c>
      <c r="C62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706"/>
      <c r="AM62" s="706"/>
      <c r="AN62" s="706"/>
      <c r="AO62" s="706"/>
      <c r="AP62" s="706"/>
      <c r="AQ62" s="706"/>
      <c r="AR62" s="706"/>
      <c r="AS62" s="706"/>
      <c r="AT62" s="706"/>
      <c r="AU62" s="706"/>
      <c r="AV62" s="706"/>
      <c r="AW62" s="747"/>
      <c r="AX62" s="747"/>
      <c r="AY62" s="747"/>
      <c r="AZ62" s="747"/>
      <c r="BA62" s="747"/>
      <c r="BB62" s="747"/>
      <c r="BC62" s="747"/>
      <c r="BD62" s="747"/>
      <c r="BE62" s="747"/>
      <c r="BF62" s="747"/>
      <c r="BG62" s="783">
        <f>BG58-BG73-BG77</f>
        <v>305.23779999999999</v>
      </c>
      <c r="BH62" s="706"/>
      <c r="BI62" s="706"/>
      <c r="BJ62" s="706"/>
      <c r="BK62" s="706"/>
      <c r="BL62" s="783">
        <f>BG62*(1+BL63)</f>
        <v>283.87115399999999</v>
      </c>
      <c r="BM62" s="706"/>
      <c r="BN62" s="706"/>
      <c r="BO62" s="706"/>
      <c r="BP62" s="706"/>
      <c r="BQ62" s="783">
        <f>BL62*(1+BQ63)</f>
        <v>264.00017321999997</v>
      </c>
      <c r="BR62" s="706"/>
      <c r="BS62" s="706"/>
      <c r="BT62" s="706"/>
      <c r="BU62" s="706"/>
    </row>
    <row r="63" spans="1:86" s="106" customFormat="1" outlineLevel="1">
      <c r="A63"/>
      <c r="B63" s="839" t="s">
        <v>126</v>
      </c>
      <c r="C63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706"/>
      <c r="AM63" s="706"/>
      <c r="AN63" s="706"/>
      <c r="AO63" s="706"/>
      <c r="AP63" s="706"/>
      <c r="AQ63" s="706"/>
      <c r="AR63" s="706"/>
      <c r="AS63" s="706"/>
      <c r="AT63" s="706"/>
      <c r="AU63" s="706"/>
      <c r="AV63" s="706"/>
      <c r="AW63" s="747"/>
      <c r="AX63" s="747"/>
      <c r="AY63" s="747"/>
      <c r="AZ63" s="747"/>
      <c r="BA63" s="747"/>
      <c r="BB63" s="747"/>
      <c r="BC63" s="747"/>
      <c r="BD63" s="747"/>
      <c r="BE63" s="747"/>
      <c r="BF63" s="747"/>
      <c r="BG63" s="783"/>
      <c r="BH63" s="706"/>
      <c r="BI63" s="706"/>
      <c r="BJ63" s="706"/>
      <c r="BK63" s="706"/>
      <c r="BL63" s="832">
        <v>-7.0000000000000007E-2</v>
      </c>
      <c r="BM63" s="706"/>
      <c r="BN63" s="706"/>
      <c r="BO63" s="706"/>
      <c r="BP63" s="706"/>
      <c r="BQ63" s="832">
        <v>-7.0000000000000007E-2</v>
      </c>
      <c r="BR63" s="706"/>
      <c r="BS63" s="706"/>
      <c r="BT63" s="706"/>
      <c r="BU63" s="706"/>
    </row>
    <row r="64" spans="1:86" s="106" customFormat="1" outlineLevel="1">
      <c r="A64"/>
      <c r="B64" s="839" t="s">
        <v>141</v>
      </c>
      <c r="C64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706"/>
      <c r="AM64" s="706"/>
      <c r="AN64" s="706"/>
      <c r="AO64" s="706"/>
      <c r="AP64" s="706"/>
      <c r="AQ64" s="706"/>
      <c r="AR64" s="706"/>
      <c r="AS64" s="706"/>
      <c r="AT64" s="706"/>
      <c r="AU64" s="706"/>
      <c r="AV64" s="706"/>
      <c r="AW64" s="747"/>
      <c r="AX64" s="747"/>
      <c r="AY64" s="747"/>
      <c r="AZ64" s="747"/>
      <c r="BA64" s="747"/>
      <c r="BB64" s="747"/>
      <c r="BC64" s="747"/>
      <c r="BD64" s="747"/>
      <c r="BE64" s="747"/>
      <c r="BF64" s="747"/>
      <c r="BG64" s="783"/>
      <c r="BH64" s="706"/>
      <c r="BI64" s="706"/>
      <c r="BJ64" s="706"/>
      <c r="BK64" s="706"/>
      <c r="BL64" s="706"/>
      <c r="BM64" s="706"/>
      <c r="BN64" s="706"/>
      <c r="BO64" s="706"/>
      <c r="BP64" s="706"/>
      <c r="BQ64" s="706"/>
      <c r="BR64" s="706"/>
      <c r="BS64" s="706"/>
      <c r="BT64" s="706"/>
      <c r="BU64" s="706"/>
    </row>
    <row r="65" spans="1:73" s="106" customFormat="1" outlineLevel="1">
      <c r="A65"/>
      <c r="B65" s="840" t="s">
        <v>313</v>
      </c>
      <c r="C65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706"/>
      <c r="AM65" s="706"/>
      <c r="AN65" s="706"/>
      <c r="AO65" s="706"/>
      <c r="AP65" s="706"/>
      <c r="AQ65" s="706"/>
      <c r="AR65" s="706"/>
      <c r="AS65" s="706"/>
      <c r="AT65" s="706"/>
      <c r="AU65" s="706"/>
      <c r="AV65" s="706"/>
      <c r="AW65" s="747"/>
      <c r="AX65" s="747"/>
      <c r="AY65" s="747"/>
      <c r="AZ65" s="747"/>
      <c r="BA65" s="747"/>
      <c r="BB65" s="747"/>
      <c r="BC65" s="747"/>
      <c r="BD65" s="747"/>
      <c r="BE65" s="747"/>
      <c r="BF65" s="747"/>
      <c r="BG65" s="783"/>
      <c r="BH65" s="706"/>
      <c r="BI65" s="706"/>
      <c r="BJ65" s="706"/>
      <c r="BK65" s="706"/>
      <c r="BL65" s="706"/>
      <c r="BM65" s="706"/>
      <c r="BN65" s="706"/>
      <c r="BO65" s="706"/>
      <c r="BP65" s="706"/>
      <c r="BQ65" s="706"/>
      <c r="BR65" s="706"/>
      <c r="BS65" s="706"/>
      <c r="BT65" s="706"/>
      <c r="BU65" s="706"/>
    </row>
    <row r="66" spans="1:73" s="106" customFormat="1" hidden="1" outlineLevel="2">
      <c r="A66"/>
      <c r="B66" s="826" t="s">
        <v>521</v>
      </c>
      <c r="C66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706"/>
      <c r="AM66" s="706"/>
      <c r="AN66" s="706"/>
      <c r="AO66" s="706"/>
      <c r="AP66" s="706"/>
      <c r="AQ66" s="706"/>
      <c r="AR66" s="706"/>
      <c r="AS66" s="706"/>
      <c r="AT66" s="706"/>
      <c r="AU66" s="706"/>
      <c r="AV66" s="706"/>
      <c r="AW66" s="747"/>
      <c r="AX66" s="747"/>
      <c r="AY66" s="747"/>
      <c r="AZ66" s="747"/>
      <c r="BA66" s="747"/>
      <c r="BB66" s="747"/>
      <c r="BC66" s="747"/>
      <c r="BD66" s="747"/>
      <c r="BE66" s="747"/>
      <c r="BF66" s="747"/>
      <c r="BG66" s="783"/>
      <c r="BH66" s="706"/>
      <c r="BI66" s="706"/>
      <c r="BJ66" s="706"/>
      <c r="BK66" s="706"/>
      <c r="BL66" s="783">
        <f>BL62-BG62</f>
        <v>-21.366646000000003</v>
      </c>
      <c r="BM66" s="706"/>
      <c r="BN66" s="706"/>
      <c r="BO66" s="706"/>
      <c r="BP66" s="706"/>
      <c r="BQ66" s="783">
        <f>BQ62-BL62</f>
        <v>-19.870980780000025</v>
      </c>
      <c r="BR66" s="706"/>
      <c r="BS66" s="706"/>
      <c r="BT66" s="706"/>
      <c r="BU66" s="706"/>
    </row>
    <row r="67" spans="1:73" s="106" customFormat="1" hidden="1" outlineLevel="2">
      <c r="A67"/>
      <c r="B67" s="838" t="s">
        <v>508</v>
      </c>
      <c r="C67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706"/>
      <c r="AM67" s="706"/>
      <c r="AN67" s="706"/>
      <c r="AO67" s="706"/>
      <c r="AP67" s="706"/>
      <c r="AQ67" s="706"/>
      <c r="AR67" s="706"/>
      <c r="AS67" s="706"/>
      <c r="AT67" s="706"/>
      <c r="AU67" s="706"/>
      <c r="AV67" s="706"/>
      <c r="AW67" s="747"/>
      <c r="AX67" s="747"/>
      <c r="AY67" s="747"/>
      <c r="AZ67" s="747"/>
      <c r="BA67" s="747"/>
      <c r="BB67" s="747"/>
      <c r="BC67" s="747"/>
      <c r="BD67" s="747"/>
      <c r="BE67" s="747"/>
      <c r="BF67" s="747"/>
      <c r="BG67" s="827">
        <f>0.72*BG7</f>
        <v>8413.1999999999989</v>
      </c>
      <c r="BH67" s="706"/>
      <c r="BI67" s="706"/>
      <c r="BJ67" s="706"/>
      <c r="BK67" s="706"/>
      <c r="BL67" s="706"/>
      <c r="BM67" s="706"/>
      <c r="BN67" s="706"/>
      <c r="BO67" s="706"/>
      <c r="BP67" s="706"/>
      <c r="BQ67" s="706"/>
      <c r="BR67" s="706"/>
      <c r="BS67" s="706"/>
      <c r="BT67" s="706"/>
      <c r="BU67" s="706"/>
    </row>
    <row r="68" spans="1:73" s="106" customFormat="1" hidden="1" outlineLevel="2">
      <c r="A68"/>
      <c r="B68" s="838" t="s">
        <v>516</v>
      </c>
      <c r="C68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706"/>
      <c r="AM68" s="706"/>
      <c r="AN68" s="706"/>
      <c r="AO68" s="706"/>
      <c r="AP68" s="706"/>
      <c r="AQ68" s="706"/>
      <c r="AR68" s="706"/>
      <c r="AS68" s="706"/>
      <c r="AT68" s="706"/>
      <c r="AU68" s="706"/>
      <c r="AV68" s="706"/>
      <c r="AW68" s="747"/>
      <c r="AX68" s="747"/>
      <c r="AY68" s="747"/>
      <c r="AZ68" s="747"/>
      <c r="BA68" s="747"/>
      <c r="BB68" s="747"/>
      <c r="BC68" s="747"/>
      <c r="BD68" s="747"/>
      <c r="BE68" s="747"/>
      <c r="BF68" s="747"/>
      <c r="BG68" s="783">
        <f>BG62/BG67*1000</f>
        <v>36.280820615223696</v>
      </c>
      <c r="BH68" s="706"/>
      <c r="BI68" s="706"/>
      <c r="BJ68" s="706"/>
      <c r="BK68" s="706"/>
      <c r="BL68" s="706"/>
      <c r="BM68" s="706"/>
      <c r="BN68" s="706"/>
      <c r="BO68" s="706"/>
      <c r="BP68" s="706"/>
      <c r="BQ68" s="706"/>
      <c r="BR68" s="706"/>
      <c r="BS68" s="706"/>
      <c r="BT68" s="706"/>
      <c r="BU68" s="706"/>
    </row>
    <row r="69" spans="1:73" s="106" customFormat="1" hidden="1" outlineLevel="2">
      <c r="A69"/>
      <c r="B69" s="831" t="s">
        <v>509</v>
      </c>
      <c r="C69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706"/>
      <c r="AM69" s="706"/>
      <c r="AN69" s="706"/>
      <c r="AO69" s="706"/>
      <c r="AP69" s="706"/>
      <c r="AQ69" s="706"/>
      <c r="AR69" s="706"/>
      <c r="AS69" s="706"/>
      <c r="AT69" s="706"/>
      <c r="AU69" s="706"/>
      <c r="AV69" s="706"/>
      <c r="AW69" s="747"/>
      <c r="AX69" s="747"/>
      <c r="AY69" s="747"/>
      <c r="AZ69" s="747"/>
      <c r="BA69" s="747"/>
      <c r="BB69" s="747"/>
      <c r="BC69" s="747"/>
      <c r="BD69" s="747"/>
      <c r="BE69" s="747"/>
      <c r="BF69" s="747"/>
      <c r="BH69" s="706"/>
      <c r="BI69" s="706"/>
      <c r="BJ69" s="706"/>
      <c r="BK69" s="706"/>
      <c r="BL69" s="706"/>
      <c r="BM69" s="706"/>
      <c r="BN69" s="706"/>
      <c r="BO69" s="706"/>
      <c r="BP69" s="706"/>
      <c r="BQ69" s="706"/>
      <c r="BR69" s="706"/>
      <c r="BS69" s="706"/>
      <c r="BT69" s="706"/>
      <c r="BU69" s="706"/>
    </row>
    <row r="70" spans="1:73" s="106" customFormat="1" hidden="1" outlineLevel="2">
      <c r="A70"/>
      <c r="B70" s="841" t="s">
        <v>515</v>
      </c>
      <c r="C7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706"/>
      <c r="AM70" s="706"/>
      <c r="AN70" s="706"/>
      <c r="AO70" s="706"/>
      <c r="AP70" s="706"/>
      <c r="AQ70" s="706"/>
      <c r="AR70" s="706"/>
      <c r="AS70" s="706"/>
      <c r="AT70" s="706"/>
      <c r="AU70" s="706"/>
      <c r="AV70" s="706"/>
      <c r="AW70" s="747"/>
      <c r="AX70" s="747"/>
      <c r="AY70" s="747"/>
      <c r="AZ70" s="747"/>
      <c r="BA70" s="747"/>
      <c r="BB70" s="747"/>
      <c r="BC70" s="747"/>
      <c r="BD70" s="747"/>
      <c r="BE70" s="747"/>
      <c r="BF70" s="747"/>
      <c r="BG70" s="783">
        <f>BG71*BG72*BG67/1000000</f>
        <v>300.35123999999996</v>
      </c>
      <c r="BH70" s="706"/>
      <c r="BI70" s="706"/>
      <c r="BJ70" s="706"/>
      <c r="BK70" s="706"/>
      <c r="BL70" s="706"/>
      <c r="BM70" s="706"/>
      <c r="BN70" s="706"/>
      <c r="BO70" s="706"/>
      <c r="BP70" s="706"/>
      <c r="BQ70" s="706"/>
      <c r="BR70" s="706"/>
      <c r="BS70" s="706"/>
      <c r="BT70" s="706"/>
      <c r="BU70" s="706"/>
    </row>
    <row r="71" spans="1:73" s="106" customFormat="1" hidden="1" outlineLevel="2">
      <c r="A71"/>
      <c r="B71" s="841" t="s">
        <v>510</v>
      </c>
      <c r="C71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706"/>
      <c r="AM71" s="706"/>
      <c r="AN71" s="706"/>
      <c r="AO71" s="706"/>
      <c r="AP71" s="706"/>
      <c r="AQ71" s="706"/>
      <c r="AR71" s="706"/>
      <c r="AS71" s="706"/>
      <c r="AT71" s="706"/>
      <c r="AU71" s="706"/>
      <c r="AV71" s="706"/>
      <c r="AW71" s="747"/>
      <c r="AX71" s="747"/>
      <c r="AY71" s="747"/>
      <c r="AZ71" s="747"/>
      <c r="BA71" s="747"/>
      <c r="BB71" s="747"/>
      <c r="BC71" s="747"/>
      <c r="BD71" s="747"/>
      <c r="BE71" s="747"/>
      <c r="BF71" s="747"/>
      <c r="BG71" s="828">
        <v>21</v>
      </c>
      <c r="BH71" s="834"/>
      <c r="BI71" s="834"/>
      <c r="BJ71" s="834"/>
      <c r="BK71" s="834"/>
      <c r="BL71" s="834"/>
      <c r="BM71" s="706"/>
      <c r="BN71" s="706"/>
      <c r="BO71" s="706"/>
      <c r="BP71" s="706"/>
      <c r="BQ71" s="834"/>
      <c r="BR71" s="706"/>
      <c r="BS71" s="706"/>
      <c r="BT71" s="706"/>
      <c r="BU71" s="706"/>
    </row>
    <row r="72" spans="1:73" s="106" customFormat="1" hidden="1" outlineLevel="2">
      <c r="A72"/>
      <c r="B72" s="841" t="s">
        <v>511</v>
      </c>
      <c r="C72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706"/>
      <c r="AM72" s="706"/>
      <c r="AN72" s="706"/>
      <c r="AO72" s="706"/>
      <c r="AP72" s="706"/>
      <c r="AQ72" s="706"/>
      <c r="AR72" s="706"/>
      <c r="AS72" s="706"/>
      <c r="AT72" s="706"/>
      <c r="AU72" s="706"/>
      <c r="AV72" s="706"/>
      <c r="AW72" s="747"/>
      <c r="AX72" s="747"/>
      <c r="AY72" s="747"/>
      <c r="AZ72" s="747"/>
      <c r="BA72" s="747"/>
      <c r="BB72" s="747"/>
      <c r="BC72" s="747"/>
      <c r="BD72" s="747"/>
      <c r="BE72" s="747"/>
      <c r="BF72" s="747"/>
      <c r="BG72" s="829">
        <v>1700</v>
      </c>
      <c r="BH72" s="834"/>
      <c r="BI72" s="834"/>
      <c r="BJ72" s="834"/>
      <c r="BK72" s="834"/>
      <c r="BL72" s="829">
        <v>1700</v>
      </c>
      <c r="BM72" s="706"/>
      <c r="BN72" s="706"/>
      <c r="BO72" s="706"/>
      <c r="BP72" s="706"/>
      <c r="BQ72" s="829">
        <v>1700</v>
      </c>
      <c r="BR72" s="706"/>
      <c r="BS72" s="706"/>
      <c r="BT72" s="706"/>
      <c r="BU72" s="706"/>
    </row>
    <row r="73" spans="1:73" s="106" customFormat="1" outlineLevel="1" collapsed="1">
      <c r="A73"/>
      <c r="B73" s="825" t="s">
        <v>514</v>
      </c>
      <c r="C73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706"/>
      <c r="AM73" s="706"/>
      <c r="AN73" s="706"/>
      <c r="AO73" s="706"/>
      <c r="AP73" s="706"/>
      <c r="AQ73" s="706"/>
      <c r="AR73" s="706"/>
      <c r="AS73" s="706"/>
      <c r="AT73" s="706"/>
      <c r="AU73" s="706"/>
      <c r="AV73" s="706"/>
      <c r="AW73" s="747"/>
      <c r="AX73" s="747"/>
      <c r="AY73" s="747"/>
      <c r="AZ73" s="747"/>
      <c r="BA73" s="747"/>
      <c r="BB73" s="747"/>
      <c r="BC73" s="747"/>
      <c r="BD73" s="747"/>
      <c r="BE73" s="747"/>
      <c r="BF73" s="747"/>
      <c r="BG73" s="783">
        <v>100</v>
      </c>
      <c r="BH73" s="706"/>
      <c r="BI73" s="706"/>
      <c r="BJ73" s="706"/>
      <c r="BK73" s="706"/>
      <c r="BL73" s="830">
        <v>95</v>
      </c>
      <c r="BM73" s="706"/>
      <c r="BN73" s="706"/>
      <c r="BO73" s="706"/>
      <c r="BP73" s="706"/>
      <c r="BQ73" s="830">
        <v>90</v>
      </c>
      <c r="BR73" s="706"/>
      <c r="BS73" s="706"/>
      <c r="BT73" s="706"/>
      <c r="BU73" s="706"/>
    </row>
    <row r="74" spans="1:73" s="106" customFormat="1" outlineLevel="1">
      <c r="A74"/>
      <c r="B74" s="839" t="s">
        <v>126</v>
      </c>
      <c r="C74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706"/>
      <c r="AM74" s="706"/>
      <c r="AN74" s="706"/>
      <c r="AO74" s="706"/>
      <c r="AP74" s="706"/>
      <c r="AQ74" s="706"/>
      <c r="AR74" s="706"/>
      <c r="AS74" s="706"/>
      <c r="AT74" s="706"/>
      <c r="AU74" s="706"/>
      <c r="AV74" s="706"/>
      <c r="AW74" s="747"/>
      <c r="AX74" s="747"/>
      <c r="AY74" s="747"/>
      <c r="AZ74" s="747"/>
      <c r="BA74" s="747"/>
      <c r="BB74" s="747"/>
      <c r="BC74" s="747"/>
      <c r="BD74" s="747"/>
      <c r="BE74" s="747"/>
      <c r="BF74" s="747"/>
      <c r="BG74" s="747"/>
      <c r="BH74" s="706"/>
      <c r="BI74" s="706"/>
      <c r="BJ74" s="706"/>
      <c r="BK74" s="706"/>
      <c r="BL74" s="706"/>
      <c r="BM74" s="706"/>
      <c r="BN74" s="706"/>
      <c r="BO74" s="706"/>
      <c r="BP74" s="706"/>
      <c r="BQ74" s="706"/>
      <c r="BR74" s="706"/>
      <c r="BS74" s="706"/>
      <c r="BT74" s="706"/>
      <c r="BU74" s="706"/>
    </row>
    <row r="75" spans="1:73" s="106" customFormat="1" outlineLevel="1">
      <c r="A75"/>
      <c r="B75" s="839" t="s">
        <v>141</v>
      </c>
      <c r="C75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706"/>
      <c r="AM75" s="706"/>
      <c r="AN75" s="706"/>
      <c r="AO75" s="706"/>
      <c r="AP75" s="706"/>
      <c r="AQ75" s="706"/>
      <c r="AR75" s="706"/>
      <c r="AS75" s="706"/>
      <c r="AT75" s="706"/>
      <c r="AU75" s="706"/>
      <c r="AV75" s="706"/>
      <c r="AW75" s="747"/>
      <c r="AX75" s="747"/>
      <c r="AY75" s="747"/>
      <c r="AZ75" s="747"/>
      <c r="BA75" s="747"/>
      <c r="BB75" s="747"/>
      <c r="BC75" s="747"/>
      <c r="BD75" s="747"/>
      <c r="BE75" s="747"/>
      <c r="BF75" s="747"/>
      <c r="BG75" s="747"/>
      <c r="BH75" s="706"/>
      <c r="BI75" s="706"/>
      <c r="BJ75" s="706"/>
      <c r="BK75" s="706"/>
      <c r="BL75" s="706"/>
      <c r="BM75" s="706"/>
      <c r="BN75" s="706"/>
      <c r="BO75" s="706"/>
      <c r="BP75" s="706"/>
      <c r="BQ75" s="706"/>
      <c r="BR75" s="706"/>
      <c r="BS75" s="706"/>
      <c r="BT75" s="706"/>
      <c r="BU75" s="706"/>
    </row>
    <row r="76" spans="1:73" s="106" customFormat="1" outlineLevel="1">
      <c r="A76"/>
      <c r="B76" s="826" t="s">
        <v>520</v>
      </c>
      <c r="C76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706"/>
      <c r="AM76" s="706"/>
      <c r="AN76" s="706"/>
      <c r="AO76" s="706"/>
      <c r="AP76" s="706"/>
      <c r="AQ76" s="706"/>
      <c r="AR76" s="706"/>
      <c r="AS76" s="706"/>
      <c r="AT76" s="706"/>
      <c r="AU76" s="706"/>
      <c r="AV76" s="706"/>
      <c r="AW76" s="747"/>
      <c r="AX76" s="747"/>
      <c r="AY76" s="747"/>
      <c r="AZ76" s="747"/>
      <c r="BA76" s="747"/>
      <c r="BB76" s="747"/>
      <c r="BC76" s="747"/>
      <c r="BD76" s="747"/>
      <c r="BE76" s="747"/>
      <c r="BF76" s="747"/>
      <c r="BG76" s="747"/>
      <c r="BH76" s="706"/>
      <c r="BI76" s="706"/>
      <c r="BJ76" s="706"/>
      <c r="BK76" s="706"/>
      <c r="BL76" s="783">
        <f>BL73-BG73</f>
        <v>-5</v>
      </c>
      <c r="BM76" s="706"/>
      <c r="BN76" s="706"/>
      <c r="BO76" s="706"/>
      <c r="BP76" s="706"/>
      <c r="BQ76" s="783">
        <f>BQ73-BL73</f>
        <v>-5</v>
      </c>
      <c r="BR76" s="706"/>
      <c r="BS76" s="706"/>
      <c r="BT76" s="706"/>
      <c r="BU76" s="706"/>
    </row>
    <row r="77" spans="1:73" s="106" customFormat="1" outlineLevel="1">
      <c r="A77"/>
      <c r="B77" s="825" t="s">
        <v>513</v>
      </c>
      <c r="C77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706"/>
      <c r="AM77" s="706"/>
      <c r="AN77" s="706"/>
      <c r="AO77" s="706"/>
      <c r="AP77" s="706"/>
      <c r="AQ77" s="706"/>
      <c r="AR77" s="706"/>
      <c r="AS77" s="706"/>
      <c r="AT77" s="706"/>
      <c r="AU77" s="706"/>
      <c r="AV77" s="706"/>
      <c r="AW77" s="747"/>
      <c r="AX77" s="747"/>
      <c r="AY77" s="747"/>
      <c r="AZ77" s="747"/>
      <c r="BA77" s="747"/>
      <c r="BB77" s="747"/>
      <c r="BC77" s="747"/>
      <c r="BD77" s="747"/>
      <c r="BE77" s="747"/>
      <c r="BF77" s="747"/>
      <c r="BG77" s="830">
        <v>5</v>
      </c>
      <c r="BH77" s="706"/>
      <c r="BI77" s="706"/>
      <c r="BJ77" s="706"/>
      <c r="BK77" s="706"/>
      <c r="BL77" s="783">
        <f>BL83/1000000</f>
        <v>9.52</v>
      </c>
      <c r="BM77" s="706"/>
      <c r="BN77" s="706"/>
      <c r="BO77" s="706"/>
      <c r="BP77" s="706"/>
      <c r="BQ77" s="783">
        <f>BQ83/1000000</f>
        <v>11.9</v>
      </c>
      <c r="BR77" s="706"/>
      <c r="BS77" s="706"/>
      <c r="BT77" s="706"/>
      <c r="BU77" s="706"/>
    </row>
    <row r="78" spans="1:73" s="106" customFormat="1" outlineLevel="1">
      <c r="A78"/>
      <c r="B78" s="839" t="s">
        <v>126</v>
      </c>
      <c r="C78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706"/>
      <c r="AM78" s="706"/>
      <c r="AN78" s="706"/>
      <c r="AO78" s="706"/>
      <c r="AP78" s="706"/>
      <c r="AQ78" s="706"/>
      <c r="AR78" s="706"/>
      <c r="AS78" s="706"/>
      <c r="AT78" s="706"/>
      <c r="AU78" s="706"/>
      <c r="AV78" s="706"/>
      <c r="AW78" s="747"/>
      <c r="AX78" s="747"/>
      <c r="AY78" s="747"/>
      <c r="AZ78" s="747"/>
      <c r="BA78" s="747"/>
      <c r="BB78" s="747"/>
      <c r="BC78" s="747"/>
      <c r="BD78" s="747"/>
      <c r="BE78" s="747"/>
      <c r="BF78" s="747"/>
      <c r="BG78" s="783"/>
      <c r="BH78" s="706"/>
      <c r="BI78" s="706"/>
      <c r="BJ78" s="706"/>
      <c r="BK78" s="706"/>
      <c r="BL78" s="706"/>
      <c r="BM78" s="706"/>
      <c r="BN78" s="706"/>
      <c r="BO78" s="706"/>
      <c r="BP78" s="706"/>
      <c r="BQ78" s="706"/>
      <c r="BR78" s="706"/>
      <c r="BS78" s="706"/>
      <c r="BT78" s="706"/>
      <c r="BU78" s="706"/>
    </row>
    <row r="79" spans="1:73" s="106" customFormat="1" outlineLevel="1">
      <c r="A79"/>
      <c r="B79" s="839" t="s">
        <v>141</v>
      </c>
      <c r="C79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706"/>
      <c r="AM79" s="706"/>
      <c r="AN79" s="706"/>
      <c r="AO79" s="706"/>
      <c r="AP79" s="706"/>
      <c r="AQ79" s="706"/>
      <c r="AR79" s="706"/>
      <c r="AS79" s="706"/>
      <c r="AT79" s="706"/>
      <c r="AU79" s="706"/>
      <c r="AV79" s="706"/>
      <c r="AW79" s="747"/>
      <c r="AX79" s="747"/>
      <c r="AY79" s="747"/>
      <c r="AZ79" s="747"/>
      <c r="BA79" s="747"/>
      <c r="BB79" s="747"/>
      <c r="BC79" s="747"/>
      <c r="BD79" s="747"/>
      <c r="BE79" s="747"/>
      <c r="BF79" s="747"/>
      <c r="BG79" s="783"/>
      <c r="BH79" s="706"/>
      <c r="BI79" s="706"/>
      <c r="BJ79" s="706"/>
      <c r="BK79" s="706"/>
      <c r="BL79" s="706"/>
      <c r="BM79" s="706"/>
      <c r="BN79" s="706"/>
      <c r="BO79" s="706"/>
      <c r="BP79" s="706"/>
      <c r="BQ79" s="706"/>
      <c r="BR79" s="706"/>
      <c r="BS79" s="706"/>
      <c r="BT79" s="706"/>
      <c r="BU79" s="706"/>
    </row>
    <row r="80" spans="1:73" s="106" customFormat="1" outlineLevel="1">
      <c r="A80"/>
      <c r="B80" s="833"/>
      <c r="C8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706"/>
      <c r="AM80" s="706"/>
      <c r="AN80" s="706"/>
      <c r="AO80" s="706"/>
      <c r="AP80" s="706"/>
      <c r="AQ80" s="706"/>
      <c r="AR80" s="706"/>
      <c r="AS80" s="706"/>
      <c r="AT80" s="706"/>
      <c r="AU80" s="706"/>
      <c r="AV80" s="706"/>
      <c r="AW80" s="747"/>
      <c r="AX80" s="747"/>
      <c r="AY80" s="747"/>
      <c r="AZ80" s="747"/>
      <c r="BA80" s="747"/>
      <c r="BB80" s="747"/>
      <c r="BC80" s="747"/>
      <c r="BD80" s="747"/>
      <c r="BE80" s="747"/>
      <c r="BF80" s="747"/>
      <c r="BG80" s="783"/>
      <c r="BH80" s="706"/>
      <c r="BI80" s="706"/>
      <c r="BJ80" s="706"/>
      <c r="BK80" s="706"/>
      <c r="BL80" s="706"/>
      <c r="BM80" s="706"/>
      <c r="BN80" s="706"/>
      <c r="BO80" s="706"/>
      <c r="BP80" s="706"/>
      <c r="BQ80" s="706"/>
      <c r="BR80" s="706"/>
      <c r="BS80" s="706"/>
      <c r="BT80" s="706"/>
      <c r="BU80" s="706"/>
    </row>
    <row r="81" spans="1:73" s="106" customFormat="1" hidden="1" outlineLevel="2">
      <c r="A81"/>
      <c r="B81" s="826" t="s">
        <v>512</v>
      </c>
      <c r="C81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706"/>
      <c r="AM81" s="706"/>
      <c r="AN81" s="706"/>
      <c r="AO81" s="706"/>
      <c r="AP81" s="706"/>
      <c r="AQ81" s="706"/>
      <c r="AR81" s="706"/>
      <c r="AS81" s="706"/>
      <c r="AT81" s="706"/>
      <c r="AU81" s="706"/>
      <c r="AV81" s="706"/>
      <c r="AW81" s="747"/>
      <c r="AX81" s="747"/>
      <c r="AY81" s="747"/>
      <c r="AZ81" s="747"/>
      <c r="BA81" s="747"/>
      <c r="BB81" s="747"/>
      <c r="BC81" s="747"/>
      <c r="BD81" s="747"/>
      <c r="BE81" s="747"/>
      <c r="BF81" s="747"/>
      <c r="BG81" s="830">
        <v>7</v>
      </c>
      <c r="BH81" s="706"/>
      <c r="BI81" s="706"/>
      <c r="BJ81" s="706"/>
      <c r="BK81" s="706"/>
      <c r="BL81" s="830">
        <v>7</v>
      </c>
      <c r="BM81" s="706"/>
      <c r="BN81" s="706"/>
      <c r="BO81" s="706"/>
      <c r="BP81" s="706"/>
      <c r="BQ81" s="830">
        <v>7</v>
      </c>
      <c r="BR81" s="706"/>
      <c r="BS81" s="706"/>
      <c r="BT81" s="706"/>
      <c r="BU81" s="706"/>
    </row>
    <row r="82" spans="1:73" s="106" customFormat="1" hidden="1" outlineLevel="2">
      <c r="A82"/>
      <c r="B82" s="826" t="s">
        <v>517</v>
      </c>
      <c r="C82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706"/>
      <c r="AM82" s="706"/>
      <c r="AN82" s="706"/>
      <c r="AO82" s="706"/>
      <c r="AP82" s="706"/>
      <c r="AQ82" s="706"/>
      <c r="AR82" s="706"/>
      <c r="AS82" s="706"/>
      <c r="AT82" s="706"/>
      <c r="AU82" s="706"/>
      <c r="AV82" s="706"/>
      <c r="AW82" s="747"/>
      <c r="AX82" s="747"/>
      <c r="AY82" s="747"/>
      <c r="AZ82" s="747"/>
      <c r="BA82" s="747"/>
      <c r="BB82" s="747"/>
      <c r="BC82" s="747"/>
      <c r="BD82" s="747"/>
      <c r="BE82" s="747"/>
      <c r="BF82" s="747"/>
      <c r="BG82" s="835">
        <v>400</v>
      </c>
      <c r="BH82" s="834"/>
      <c r="BI82" s="834"/>
      <c r="BJ82" s="834"/>
      <c r="BK82" s="834"/>
      <c r="BL82" s="836">
        <v>800</v>
      </c>
      <c r="BM82" s="706"/>
      <c r="BN82" s="706"/>
      <c r="BO82" s="706"/>
      <c r="BP82" s="706"/>
      <c r="BQ82" s="836">
        <v>1000</v>
      </c>
      <c r="BR82" s="706"/>
      <c r="BS82" s="706"/>
      <c r="BT82" s="706"/>
      <c r="BU82" s="706"/>
    </row>
    <row r="83" spans="1:73" s="106" customFormat="1" hidden="1" outlineLevel="2">
      <c r="A83"/>
      <c r="B83" s="826" t="s">
        <v>519</v>
      </c>
      <c r="C83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706"/>
      <c r="AM83" s="706"/>
      <c r="AN83" s="706"/>
      <c r="AO83" s="706"/>
      <c r="AP83" s="706"/>
      <c r="AQ83" s="706"/>
      <c r="AR83" s="706"/>
      <c r="AS83" s="706"/>
      <c r="AT83" s="706"/>
      <c r="AU83" s="706"/>
      <c r="AV83" s="706"/>
      <c r="AW83" s="747"/>
      <c r="AX83" s="747"/>
      <c r="AY83" s="747"/>
      <c r="AZ83" s="747"/>
      <c r="BA83" s="747"/>
      <c r="BB83" s="747"/>
      <c r="BC83" s="747"/>
      <c r="BD83" s="747"/>
      <c r="BE83" s="747"/>
      <c r="BF83" s="747"/>
      <c r="BG83" s="783">
        <f>BG82*BG81*BG72</f>
        <v>4760000</v>
      </c>
      <c r="BH83" s="706"/>
      <c r="BI83" s="706"/>
      <c r="BJ83" s="706"/>
      <c r="BK83" s="706"/>
      <c r="BL83" s="783">
        <f>BL82*BL81*BL72</f>
        <v>9520000</v>
      </c>
      <c r="BM83" s="706"/>
      <c r="BN83" s="706"/>
      <c r="BO83" s="706"/>
      <c r="BP83" s="706"/>
      <c r="BQ83" s="783">
        <f>BQ82*BQ81*BQ72</f>
        <v>11900000</v>
      </c>
      <c r="BR83" s="706"/>
      <c r="BS83" s="706"/>
      <c r="BT83" s="706"/>
      <c r="BU83" s="706"/>
    </row>
    <row r="84" spans="1:73" s="106" customFormat="1" hidden="1" outlineLevel="2">
      <c r="A84"/>
      <c r="B84" s="826" t="s">
        <v>518</v>
      </c>
      <c r="C84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706"/>
      <c r="AM84" s="706"/>
      <c r="AN84" s="706"/>
      <c r="AO84" s="706"/>
      <c r="AP84" s="706"/>
      <c r="AQ84" s="706"/>
      <c r="AR84" s="706"/>
      <c r="AS84" s="706"/>
      <c r="AT84" s="706"/>
      <c r="AU84" s="706"/>
      <c r="AV84" s="706"/>
      <c r="AW84" s="747"/>
      <c r="AX84" s="747"/>
      <c r="AY84" s="747"/>
      <c r="AZ84" s="747"/>
      <c r="BA84" s="747"/>
      <c r="BB84" s="747"/>
      <c r="BC84" s="747"/>
      <c r="BD84" s="747"/>
      <c r="BE84" s="747"/>
      <c r="BF84" s="747"/>
      <c r="BG84" s="783">
        <f>BG81*BG72</f>
        <v>11900</v>
      </c>
      <c r="BH84" s="706"/>
      <c r="BI84" s="706"/>
      <c r="BJ84" s="706"/>
      <c r="BK84" s="706"/>
      <c r="BL84" s="783">
        <f>BL81*BL72</f>
        <v>11900</v>
      </c>
      <c r="BM84" s="706"/>
      <c r="BN84" s="706"/>
      <c r="BO84" s="706"/>
      <c r="BP84" s="706"/>
      <c r="BQ84" s="783">
        <f>BQ81*BQ72</f>
        <v>11900</v>
      </c>
      <c r="BR84" s="706"/>
      <c r="BS84" s="706"/>
      <c r="BT84" s="706"/>
      <c r="BU84" s="706"/>
    </row>
    <row r="85" spans="1:73" s="106" customFormat="1" hidden="1" outlineLevel="2">
      <c r="A85"/>
      <c r="B85" s="826" t="s">
        <v>520</v>
      </c>
      <c r="C85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706"/>
      <c r="AM85" s="706"/>
      <c r="AN85" s="706"/>
      <c r="AO85" s="706"/>
      <c r="AP85" s="706"/>
      <c r="AQ85" s="706"/>
      <c r="AR85" s="706"/>
      <c r="AS85" s="706"/>
      <c r="AT85" s="706"/>
      <c r="AU85" s="706"/>
      <c r="AV85" s="706"/>
      <c r="AW85" s="747"/>
      <c r="AX85" s="747"/>
      <c r="AY85" s="747"/>
      <c r="AZ85" s="747"/>
      <c r="BA85" s="747"/>
      <c r="BB85" s="747"/>
      <c r="BC85" s="747"/>
      <c r="BD85" s="747"/>
      <c r="BE85" s="747"/>
      <c r="BF85" s="747"/>
      <c r="BG85" s="783"/>
      <c r="BH85" s="706"/>
      <c r="BI85" s="706"/>
      <c r="BJ85" s="706"/>
      <c r="BK85" s="706"/>
      <c r="BL85" s="783">
        <f>BL83-BG83</f>
        <v>4760000</v>
      </c>
      <c r="BM85" s="706">
        <f>BL85/1000000</f>
        <v>4.76</v>
      </c>
      <c r="BN85" s="706"/>
      <c r="BO85" s="706"/>
      <c r="BP85" s="706"/>
      <c r="BQ85" s="783">
        <f>BQ83-BL83</f>
        <v>2380000</v>
      </c>
      <c r="BR85" s="706">
        <f>BQ85/1000000</f>
        <v>2.38</v>
      </c>
      <c r="BS85" s="706"/>
      <c r="BT85" s="706"/>
      <c r="BU85" s="706"/>
    </row>
    <row r="86" spans="1:73" s="106" customFormat="1" outlineLevel="1" collapsed="1">
      <c r="A86"/>
      <c r="B86" s="826"/>
      <c r="C86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706"/>
      <c r="AM86" s="706"/>
      <c r="AN86" s="706"/>
      <c r="AO86" s="706"/>
      <c r="AP86" s="706"/>
      <c r="AQ86" s="706"/>
      <c r="AR86" s="706"/>
      <c r="AS86" s="706"/>
      <c r="AT86" s="706"/>
      <c r="AU86" s="706"/>
      <c r="AV86" s="706"/>
      <c r="AW86" s="747"/>
      <c r="AX86" s="747"/>
      <c r="AY86" s="747"/>
      <c r="AZ86" s="747"/>
      <c r="BA86" s="747"/>
      <c r="BB86" s="747"/>
      <c r="BC86" s="747"/>
      <c r="BD86" s="747"/>
      <c r="BE86" s="747"/>
      <c r="BF86" s="747"/>
      <c r="BG86" s="783"/>
      <c r="BH86" s="706"/>
      <c r="BI86" s="706"/>
      <c r="BJ86" s="706"/>
      <c r="BK86" s="706"/>
      <c r="BL86" s="783"/>
      <c r="BM86" s="706"/>
      <c r="BN86" s="706"/>
      <c r="BO86" s="706"/>
      <c r="BP86" s="706"/>
      <c r="BQ86" s="783"/>
      <c r="BR86" s="706"/>
      <c r="BS86" s="706"/>
      <c r="BT86" s="706"/>
      <c r="BU86" s="706"/>
    </row>
    <row r="87" spans="1:73" s="106" customFormat="1">
      <c r="A87"/>
      <c r="B87"/>
      <c r="C87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706"/>
      <c r="AM87" s="706"/>
      <c r="AN87" s="706"/>
      <c r="AO87" s="706"/>
      <c r="AP87" s="706"/>
      <c r="AQ87" s="706"/>
      <c r="AR87" s="706"/>
      <c r="AS87" s="706"/>
      <c r="AT87" s="706"/>
      <c r="AU87" s="706"/>
      <c r="AV87" s="706"/>
      <c r="AW87" s="747"/>
      <c r="AX87" s="747"/>
      <c r="AY87" s="747"/>
      <c r="AZ87" s="747"/>
      <c r="BA87" s="747"/>
      <c r="BB87" s="783"/>
      <c r="BC87" s="747"/>
      <c r="BD87" s="747"/>
      <c r="BE87" s="747"/>
      <c r="BF87" s="747"/>
      <c r="BG87" s="747"/>
      <c r="BH87" s="706"/>
      <c r="BI87" s="706"/>
      <c r="BJ87" s="706"/>
      <c r="BK87" s="706"/>
      <c r="BL87" s="706"/>
      <c r="BM87" s="706"/>
      <c r="BN87" s="706"/>
      <c r="BO87" s="706"/>
      <c r="BP87" s="706"/>
      <c r="BQ87" s="706"/>
      <c r="BR87" s="706"/>
      <c r="BS87" s="706"/>
      <c r="BT87" s="706"/>
      <c r="BU87" s="706"/>
    </row>
    <row r="88" spans="1:73" s="106" customFormat="1">
      <c r="A88"/>
      <c r="B88" s="736" t="s">
        <v>467</v>
      </c>
      <c r="C88" s="736"/>
      <c r="D88" s="779"/>
      <c r="E88" s="779"/>
      <c r="F88" s="779"/>
      <c r="G88" s="779"/>
      <c r="H88" s="779"/>
      <c r="I88" s="779"/>
      <c r="J88" s="779"/>
      <c r="K88" s="779"/>
      <c r="L88" s="779"/>
      <c r="M88" s="779"/>
      <c r="N88" s="779"/>
      <c r="O88" s="779"/>
      <c r="P88" s="779"/>
      <c r="Q88" s="779"/>
      <c r="R88" s="779"/>
      <c r="S88" s="779"/>
      <c r="T88" s="779"/>
      <c r="U88" s="779"/>
      <c r="V88" s="779"/>
      <c r="W88" s="779"/>
      <c r="X88" s="779"/>
      <c r="Y88" s="779"/>
      <c r="Z88" s="779"/>
      <c r="AA88" s="779"/>
      <c r="AB88" s="779"/>
      <c r="AC88" s="779"/>
      <c r="AD88" s="779"/>
      <c r="AE88" s="779"/>
      <c r="AF88" s="779"/>
      <c r="AG88" s="779"/>
      <c r="AH88" s="779"/>
      <c r="AI88" s="779"/>
      <c r="AJ88" s="779"/>
      <c r="AK88" s="779"/>
      <c r="AL88" s="780"/>
      <c r="AM88" s="780"/>
      <c r="AN88" s="780"/>
      <c r="AO88" s="780"/>
      <c r="AP88" s="780"/>
      <c r="AQ88" s="780"/>
      <c r="AR88" s="780"/>
      <c r="AS88" s="781">
        <f>AX88/(1+AX89)</f>
        <v>240</v>
      </c>
      <c r="AT88" s="780"/>
      <c r="AU88" s="780"/>
      <c r="AV88" s="780"/>
      <c r="AW88" s="416">
        <v>285</v>
      </c>
      <c r="AX88" s="416">
        <v>300</v>
      </c>
      <c r="AY88" s="782"/>
      <c r="AZ88" s="783">
        <f>BE88/(1+BE89)</f>
        <v>351.72413793103453</v>
      </c>
      <c r="BA88" s="416"/>
      <c r="BB88" s="783">
        <f>AW88*(1+BB89)</f>
        <v>361.95</v>
      </c>
      <c r="BC88" s="784"/>
      <c r="BD88" s="784"/>
      <c r="BE88" s="785">
        <f>408</f>
        <v>408</v>
      </c>
      <c r="BF88" s="416"/>
      <c r="BG88" s="416">
        <f>BG41*BG91</f>
        <v>426.98220000000003</v>
      </c>
      <c r="BH88" s="780"/>
      <c r="BI88" s="780"/>
      <c r="BJ88" s="785">
        <f>BE88*(1+BJ89)</f>
        <v>436.56</v>
      </c>
      <c r="BK88" s="706"/>
      <c r="BL88" s="783">
        <f>BG88*(1+BL89)</f>
        <v>469.68042000000008</v>
      </c>
      <c r="BM88" s="706"/>
      <c r="BN88" s="706"/>
      <c r="BO88" s="706"/>
      <c r="BP88" s="706"/>
      <c r="BQ88" s="783">
        <f>BL88*(1+BQ89)</f>
        <v>507.2548536000001</v>
      </c>
      <c r="BR88" s="706"/>
      <c r="BS88" s="706"/>
      <c r="BT88" s="706"/>
      <c r="BU88" s="706"/>
    </row>
    <row r="89" spans="1:73" s="106" customFormat="1">
      <c r="A89"/>
      <c r="B89" s="227" t="s">
        <v>126</v>
      </c>
      <c r="C89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706"/>
      <c r="AM89" s="706"/>
      <c r="AN89" s="706"/>
      <c r="AO89" s="706"/>
      <c r="AP89" s="706"/>
      <c r="AQ89" s="706"/>
      <c r="AR89" s="706"/>
      <c r="AS89" s="706"/>
      <c r="AT89" s="706"/>
      <c r="AU89" s="706"/>
      <c r="AV89" s="706"/>
      <c r="AW89" s="706"/>
      <c r="AX89" s="747">
        <v>0.25</v>
      </c>
      <c r="AY89" s="706"/>
      <c r="AZ89" s="706"/>
      <c r="BA89" s="220"/>
      <c r="BB89" s="777">
        <v>0.27</v>
      </c>
      <c r="BC89" s="706"/>
      <c r="BD89" s="706"/>
      <c r="BE89" s="777">
        <v>0.16</v>
      </c>
      <c r="BF89" s="220"/>
      <c r="BG89" s="777">
        <v>0.16</v>
      </c>
      <c r="BH89" s="706"/>
      <c r="BI89" s="706"/>
      <c r="BJ89" s="777">
        <v>7.0000000000000007E-2</v>
      </c>
      <c r="BK89" s="706"/>
      <c r="BL89" s="777">
        <v>0.1</v>
      </c>
      <c r="BM89" s="706"/>
      <c r="BN89" s="706"/>
      <c r="BO89" s="706"/>
      <c r="BP89" s="706"/>
      <c r="BQ89" s="777">
        <v>0.08</v>
      </c>
      <c r="BR89" s="706"/>
      <c r="BS89" s="706"/>
      <c r="BT89" s="706"/>
      <c r="BU89" s="706"/>
    </row>
    <row r="90" spans="1:73" s="106" customFormat="1">
      <c r="A90"/>
      <c r="B90" s="227" t="s">
        <v>141</v>
      </c>
      <c r="C9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706"/>
      <c r="AM90" s="706"/>
      <c r="AN90" s="706"/>
      <c r="AO90" s="706"/>
      <c r="AP90" s="706"/>
      <c r="AQ90" s="706"/>
      <c r="AR90" s="706"/>
      <c r="AS90" s="706"/>
      <c r="AT90" s="706"/>
      <c r="AU90" s="706"/>
      <c r="AV90" s="706"/>
      <c r="AW90" s="706"/>
      <c r="AX90" s="744"/>
      <c r="AY90" s="706"/>
      <c r="AZ90" s="706"/>
      <c r="BA90" s="706"/>
      <c r="BB90" s="706"/>
      <c r="BC90" s="706"/>
      <c r="BD90" s="706"/>
      <c r="BE90" s="706"/>
      <c r="BF90" s="706"/>
      <c r="BG90" s="747">
        <f>BG88/BE88-1</f>
        <v>4.652500000000015E-2</v>
      </c>
      <c r="BH90" s="706"/>
      <c r="BI90" s="706"/>
      <c r="BJ90" s="706"/>
      <c r="BK90" s="706"/>
      <c r="BL90" s="706"/>
      <c r="BM90" s="706"/>
      <c r="BN90" s="706"/>
      <c r="BO90" s="706"/>
      <c r="BP90" s="706"/>
      <c r="BQ90" s="706"/>
      <c r="BR90" s="706"/>
      <c r="BS90" s="706"/>
      <c r="BT90" s="706"/>
      <c r="BU90" s="706"/>
    </row>
    <row r="91" spans="1:73" s="106" customFormat="1">
      <c r="A91"/>
      <c r="B91" t="s">
        <v>313</v>
      </c>
      <c r="C91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706"/>
      <c r="AM91" s="706"/>
      <c r="AN91" s="706"/>
      <c r="AO91" s="706"/>
      <c r="AP91" s="706"/>
      <c r="AQ91" s="706"/>
      <c r="AR91" s="706"/>
      <c r="AS91" s="747">
        <f>AS88/AS41</f>
        <v>0.36464632345344378</v>
      </c>
      <c r="AT91" s="706"/>
      <c r="AU91" s="706"/>
      <c r="AV91" s="706"/>
      <c r="AW91" s="747">
        <f>AW88/AW41</f>
        <v>0.39156258200488286</v>
      </c>
      <c r="AX91" s="747">
        <f>AX88/AX41</f>
        <v>0.39954717986282212</v>
      </c>
      <c r="AY91" s="706"/>
      <c r="AZ91" s="747">
        <f>AZ88/AZ41</f>
        <v>0.4365610460002663</v>
      </c>
      <c r="BA91" s="747"/>
      <c r="BB91" s="747">
        <f>BB88/BB41</f>
        <v>0.44840410507485168</v>
      </c>
      <c r="BC91" s="706"/>
      <c r="BD91" s="706"/>
      <c r="BE91" s="747">
        <f>BE88/BE41</f>
        <v>0.48581896813480052</v>
      </c>
      <c r="BF91" s="747"/>
      <c r="BG91" s="777">
        <v>0.51</v>
      </c>
      <c r="BH91" s="706"/>
      <c r="BI91" s="706"/>
      <c r="BJ91" s="706"/>
      <c r="BK91" s="706"/>
      <c r="BL91" s="706"/>
      <c r="BM91" s="706"/>
      <c r="BN91" s="706"/>
      <c r="BO91" s="706"/>
      <c r="BP91" s="706"/>
      <c r="BQ91" s="706"/>
      <c r="BR91" s="706"/>
      <c r="BS91" s="706"/>
      <c r="BT91" s="706"/>
      <c r="BU91" s="706"/>
    </row>
    <row r="92" spans="1:73" s="106" customFormat="1">
      <c r="A92"/>
      <c r="B92" s="227" t="s">
        <v>501</v>
      </c>
      <c r="C92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706"/>
      <c r="AM92" s="706"/>
      <c r="AN92" s="706"/>
      <c r="AO92" s="706"/>
      <c r="AP92" s="706"/>
      <c r="AQ92" s="706"/>
      <c r="AR92" s="706"/>
      <c r="AS92" s="706"/>
      <c r="AT92" s="706"/>
      <c r="AU92" s="706"/>
      <c r="AV92" s="706"/>
      <c r="AW92" s="706"/>
      <c r="AX92" s="744"/>
      <c r="AY92" s="706"/>
      <c r="AZ92" s="706"/>
      <c r="BA92" s="706"/>
      <c r="BB92" s="706"/>
      <c r="BC92" s="706"/>
      <c r="BD92" s="706"/>
      <c r="BE92" s="778">
        <f>98</f>
        <v>98</v>
      </c>
      <c r="BF92" s="706"/>
      <c r="BG92" s="706"/>
      <c r="BH92" s="706"/>
      <c r="BI92" s="706"/>
      <c r="BJ92" s="706"/>
      <c r="BK92" s="706"/>
      <c r="BL92" s="706"/>
      <c r="BM92" s="706"/>
      <c r="BN92" s="706"/>
      <c r="BO92" s="706"/>
      <c r="BP92" s="706"/>
      <c r="BQ92" s="706"/>
      <c r="BR92" s="706"/>
      <c r="BS92" s="706"/>
      <c r="BT92" s="706"/>
      <c r="BU92" s="706"/>
    </row>
    <row r="93" spans="1:73" s="106" customFormat="1">
      <c r="A93"/>
      <c r="B93" s="231" t="s">
        <v>521</v>
      </c>
      <c r="C93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706"/>
      <c r="AM93" s="706"/>
      <c r="AN93" s="706"/>
      <c r="AO93" s="706"/>
      <c r="AP93" s="706"/>
      <c r="AQ93" s="706"/>
      <c r="AR93" s="706"/>
      <c r="AS93" s="706"/>
      <c r="AT93" s="706"/>
      <c r="AU93" s="706"/>
      <c r="AV93" s="706"/>
      <c r="AW93" s="706"/>
      <c r="AX93" s="744"/>
      <c r="AY93" s="706"/>
      <c r="AZ93" s="706"/>
      <c r="BA93" s="706"/>
      <c r="BB93" s="706"/>
      <c r="BC93" s="706"/>
      <c r="BD93" s="706"/>
      <c r="BE93" s="778"/>
      <c r="BF93" s="706"/>
      <c r="BG93" s="706"/>
      <c r="BH93" s="706"/>
      <c r="BI93" s="706"/>
      <c r="BJ93" s="706"/>
      <c r="BK93" s="706"/>
      <c r="BL93" s="783">
        <f>BL88-BG88</f>
        <v>42.698220000000049</v>
      </c>
      <c r="BM93" s="706"/>
      <c r="BN93" s="706"/>
      <c r="BO93" s="706"/>
      <c r="BP93" s="706"/>
      <c r="BQ93" s="783">
        <f>BQ88-BL88</f>
        <v>37.57443360000002</v>
      </c>
      <c r="BR93" s="706"/>
      <c r="BS93" s="706"/>
      <c r="BT93" s="706"/>
      <c r="BU93" s="706"/>
    </row>
    <row r="94" spans="1:73" s="106" customFormat="1">
      <c r="A94"/>
      <c r="B94" s="227"/>
      <c r="C94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706"/>
      <c r="AM94" s="706"/>
      <c r="AN94" s="706"/>
      <c r="AO94" s="706"/>
      <c r="AP94" s="706"/>
      <c r="AQ94" s="706"/>
      <c r="AR94" s="706"/>
      <c r="AS94" s="706"/>
      <c r="AT94" s="706"/>
      <c r="AU94" s="706"/>
      <c r="AV94" s="706"/>
      <c r="AW94" s="706"/>
      <c r="AX94" s="744"/>
      <c r="AY94" s="706"/>
      <c r="AZ94" s="706"/>
      <c r="BA94" s="706"/>
      <c r="BB94" s="706"/>
      <c r="BC94" s="706"/>
      <c r="BD94" s="706"/>
      <c r="BE94" s="778"/>
      <c r="BF94" s="706"/>
      <c r="BG94" s="706"/>
      <c r="BH94" s="706"/>
      <c r="BI94" s="706"/>
      <c r="BJ94" s="706"/>
      <c r="BK94" s="706"/>
      <c r="BL94" s="706"/>
      <c r="BM94" s="706"/>
      <c r="BN94" s="706"/>
      <c r="BO94" s="706"/>
      <c r="BP94" s="706"/>
      <c r="BQ94" s="706"/>
      <c r="BR94" s="706"/>
      <c r="BS94" s="706"/>
      <c r="BT94" s="706"/>
      <c r="BU94" s="706"/>
    </row>
    <row r="95" spans="1:73" s="106" customFormat="1">
      <c r="A95"/>
      <c r="B95" s="227" t="s">
        <v>522</v>
      </c>
      <c r="C95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706"/>
      <c r="AM95" s="706"/>
      <c r="AN95" s="706"/>
      <c r="AO95" s="706"/>
      <c r="AP95" s="706"/>
      <c r="AQ95" s="706"/>
      <c r="AR95" s="706"/>
      <c r="AS95" s="706"/>
      <c r="AT95" s="706"/>
      <c r="AU95" s="706"/>
      <c r="AV95" s="706"/>
      <c r="AW95" s="706"/>
      <c r="AX95" s="744"/>
      <c r="AY95" s="706"/>
      <c r="AZ95" s="706"/>
      <c r="BA95" s="706"/>
      <c r="BB95" s="706"/>
      <c r="BC95" s="706"/>
      <c r="BD95" s="706"/>
      <c r="BE95" s="778"/>
      <c r="BF95" s="706"/>
      <c r="BG95" s="706"/>
      <c r="BH95" s="706"/>
      <c r="BI95" s="706"/>
      <c r="BJ95" s="706"/>
      <c r="BK95" s="706"/>
      <c r="BL95" s="706">
        <f>BL93+BM85+BL66+BL76</f>
        <v>21.091574000000044</v>
      </c>
      <c r="BM95" s="706"/>
      <c r="BN95" s="706"/>
      <c r="BO95" s="706"/>
      <c r="BP95" s="706"/>
      <c r="BQ95" s="706">
        <f>BQ93+BR85+BQ66+BQ76</f>
        <v>15.083452819999998</v>
      </c>
      <c r="BR95" s="706"/>
      <c r="BS95" s="706"/>
      <c r="BT95" s="706"/>
      <c r="BU95" s="706"/>
    </row>
    <row r="96" spans="1:73" s="106" customFormat="1">
      <c r="A96"/>
      <c r="B96"/>
      <c r="C96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/>
      <c r="AX96" s="220"/>
      <c r="AY96" s="220"/>
      <c r="AZ96" s="220"/>
      <c r="BA96" s="220"/>
      <c r="BB96"/>
      <c r="BC96"/>
      <c r="BD96"/>
      <c r="BE96"/>
      <c r="BF96"/>
      <c r="BG96"/>
      <c r="BH96"/>
      <c r="BI96"/>
      <c r="BJ96"/>
      <c r="BK96"/>
      <c r="BM96"/>
      <c r="BN96"/>
      <c r="BO96"/>
      <c r="BP96"/>
      <c r="BR96"/>
      <c r="BS96"/>
      <c r="BT96"/>
      <c r="BU96"/>
    </row>
    <row r="97" spans="1:73" s="106" customFormat="1">
      <c r="A97"/>
      <c r="B97" s="736" t="s">
        <v>444</v>
      </c>
      <c r="C97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0"/>
      <c r="AZ97" s="220"/>
      <c r="BA97" s="220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</row>
    <row r="98" spans="1:73" s="106" customFormat="1">
      <c r="A98"/>
      <c r="B98"/>
      <c r="C98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710"/>
      <c r="AI98" s="710"/>
      <c r="AJ98" s="710"/>
      <c r="AK98" s="710"/>
      <c r="AL98" s="710"/>
      <c r="AM98" s="710"/>
      <c r="AN98" s="710"/>
      <c r="AO98" s="710"/>
      <c r="AP98" s="710"/>
      <c r="AQ98" s="710"/>
      <c r="AR98" s="710"/>
      <c r="AS98" s="710"/>
      <c r="AT98" s="710"/>
      <c r="AU98" s="710"/>
      <c r="AV98" s="710"/>
      <c r="AW98" s="710"/>
      <c r="AX98" s="710"/>
      <c r="AY98" s="710"/>
      <c r="AZ98" s="710"/>
      <c r="BA98" s="710"/>
      <c r="BB98" s="710"/>
      <c r="BC98" s="710"/>
      <c r="BD98" s="710"/>
      <c r="BE98" s="710"/>
      <c r="BF98" s="710"/>
      <c r="BG98" s="710"/>
      <c r="BH98" s="710"/>
      <c r="BI98" s="710"/>
      <c r="BJ98" s="710"/>
      <c r="BK98" s="710"/>
      <c r="BL98" s="710"/>
      <c r="BM98" s="710"/>
      <c r="BN98" s="710"/>
      <c r="BO98" s="710"/>
      <c r="BP98" s="710"/>
      <c r="BQ98" s="710"/>
      <c r="BR98" s="710"/>
      <c r="BS98" s="710"/>
      <c r="BT98" s="710"/>
      <c r="BU98" s="710"/>
    </row>
    <row r="99" spans="1:73" s="106" customFormat="1">
      <c r="A99"/>
      <c r="B99" t="s">
        <v>441</v>
      </c>
      <c r="C99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710"/>
      <c r="AI99" s="710"/>
      <c r="AJ99" s="710"/>
      <c r="AK99" s="710"/>
      <c r="AL99" s="710"/>
      <c r="AM99" s="710">
        <f>AM100+(79.335+2.917+1.084)</f>
        <v>393.25600000000003</v>
      </c>
      <c r="AN99" s="710">
        <f>AN100+(91.75+1.813+1.142)</f>
        <v>429.25799999999998</v>
      </c>
      <c r="AO99" s="710">
        <f>AO100+105.728</f>
        <v>464.86200000000002</v>
      </c>
      <c r="AP99" s="710">
        <f>AP100+130.752</f>
        <v>549.48199999999997</v>
      </c>
      <c r="AQ99" s="710"/>
      <c r="AR99" s="710">
        <f>AR100+129.865</f>
        <v>557.97500000000002</v>
      </c>
      <c r="AS99" s="710">
        <f>AS100+151.096</f>
        <v>603.44399999999996</v>
      </c>
      <c r="AT99" s="710">
        <f>AT100+161.94</f>
        <v>616.71900000000005</v>
      </c>
      <c r="AU99" s="710">
        <f>496.04+196.444</f>
        <v>692.48400000000004</v>
      </c>
      <c r="AV99" s="710"/>
      <c r="AW99" s="710">
        <f>AW100+204.126</f>
        <v>701.23699999999997</v>
      </c>
      <c r="AX99" s="710">
        <f>522.034+212.594</f>
        <v>734.62799999999993</v>
      </c>
      <c r="AY99" s="710">
        <f>528.791+242.511</f>
        <v>771.30200000000002</v>
      </c>
      <c r="AZ99" s="710">
        <f>AZ100+293.89</f>
        <v>865.36900000000003</v>
      </c>
      <c r="BA99" s="710"/>
      <c r="BB99" s="710">
        <f>BB100+280.124</f>
        <v>851.11099999999999</v>
      </c>
      <c r="BC99" s="710">
        <v>856.31200000000013</v>
      </c>
      <c r="BD99" s="710">
        <v>848.11500000000001</v>
      </c>
      <c r="BE99" s="764">
        <f>BE100+296.769</f>
        <v>898.38599999999997</v>
      </c>
      <c r="BF99" s="710"/>
      <c r="BG99" s="764">
        <f>BG100+287.11</f>
        <v>877.17399999999998</v>
      </c>
      <c r="BH99" s="764">
        <f t="shared" ref="BH99:BJ100" si="47">BG99*(1+BH120)</f>
        <v>885.94574</v>
      </c>
      <c r="BI99" s="764">
        <f t="shared" si="47"/>
        <v>894.8051974</v>
      </c>
      <c r="BJ99" s="764">
        <f t="shared" si="47"/>
        <v>903.75324937400001</v>
      </c>
      <c r="BK99" s="710"/>
      <c r="BL99" s="710">
        <f>BJ99*(1+BL120)</f>
        <v>912.79078186774007</v>
      </c>
      <c r="BM99" s="710">
        <f t="shared" ref="BM99:BO100" si="48">BL99*(1+BM120)</f>
        <v>921.91868968641745</v>
      </c>
      <c r="BN99" s="710">
        <f t="shared" si="48"/>
        <v>931.13787658328158</v>
      </c>
      <c r="BO99" s="710">
        <f t="shared" si="48"/>
        <v>940.44925534911442</v>
      </c>
      <c r="BP99" s="710"/>
      <c r="BQ99" s="710">
        <f>BO99*(1+BQ120)</f>
        <v>949.85374790260562</v>
      </c>
      <c r="BR99" s="710">
        <f t="shared" ref="BR99:BR100" si="49">BQ99*(1+BR120)</f>
        <v>959.35228538163165</v>
      </c>
      <c r="BS99" s="710">
        <f t="shared" ref="BS99:BS100" si="50">BR99*(1+BS120)</f>
        <v>968.945808235448</v>
      </c>
      <c r="BT99" s="710">
        <f t="shared" ref="BT99:BT100" si="51">BS99*(1+BT120)</f>
        <v>978.63526631780246</v>
      </c>
      <c r="BU99" s="710"/>
    </row>
    <row r="100" spans="1:73" s="106" customFormat="1">
      <c r="A100"/>
      <c r="B100" t="s">
        <v>442</v>
      </c>
      <c r="C10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710"/>
      <c r="AI100" s="710"/>
      <c r="AJ100" s="710"/>
      <c r="AK100" s="710"/>
      <c r="AL100" s="710"/>
      <c r="AM100" s="710">
        <f>290.552+6.88+12.488</f>
        <v>309.92</v>
      </c>
      <c r="AN100" s="710">
        <f>(314.471+5.981+14.101)</f>
        <v>334.553</v>
      </c>
      <c r="AO100" s="710">
        <f>359.134</f>
        <v>359.13400000000001</v>
      </c>
      <c r="AP100" s="710">
        <f>418.73</f>
        <v>418.73</v>
      </c>
      <c r="AQ100" s="710"/>
      <c r="AR100" s="710">
        <f>428.11</f>
        <v>428.11</v>
      </c>
      <c r="AS100" s="710">
        <f>452.348</f>
        <v>452.34800000000001</v>
      </c>
      <c r="AT100" s="710">
        <f>454.779</f>
        <v>454.779</v>
      </c>
      <c r="AU100" s="710">
        <f>496.04</f>
        <v>496.04</v>
      </c>
      <c r="AV100" s="710"/>
      <c r="AW100" s="710">
        <f>497.111</f>
        <v>497.11099999999999</v>
      </c>
      <c r="AX100" s="710">
        <f>522.034</f>
        <v>522.03399999999999</v>
      </c>
      <c r="AY100" s="710">
        <f>528.791</f>
        <v>528.79100000000005</v>
      </c>
      <c r="AZ100" s="710">
        <f>571.479</f>
        <v>571.47900000000004</v>
      </c>
      <c r="BA100" s="710"/>
      <c r="BB100" s="710">
        <f>570.987</f>
        <v>570.98699999999997</v>
      </c>
      <c r="BC100" s="710">
        <v>576.40199999999993</v>
      </c>
      <c r="BD100" s="710">
        <f>573.069</f>
        <v>573.06899999999996</v>
      </c>
      <c r="BE100" s="764">
        <f>601.617</f>
        <v>601.61699999999996</v>
      </c>
      <c r="BF100" s="710"/>
      <c r="BG100" s="764">
        <f>590.064</f>
        <v>590.06399999999996</v>
      </c>
      <c r="BH100" s="710">
        <f t="shared" si="47"/>
        <v>593.30935199999999</v>
      </c>
      <c r="BI100" s="710">
        <f t="shared" si="47"/>
        <v>596.57255343600002</v>
      </c>
      <c r="BJ100" s="710">
        <f t="shared" si="47"/>
        <v>599.85370247989806</v>
      </c>
      <c r="BK100" s="710"/>
      <c r="BL100" s="710">
        <f>BJ100*(1+BL121)</f>
        <v>603.15289784353752</v>
      </c>
      <c r="BM100" s="710">
        <f t="shared" si="48"/>
        <v>606.47023878167704</v>
      </c>
      <c r="BN100" s="710">
        <f t="shared" si="48"/>
        <v>609.80582509497629</v>
      </c>
      <c r="BO100" s="710">
        <f t="shared" si="48"/>
        <v>613.15975713299872</v>
      </c>
      <c r="BP100" s="710"/>
      <c r="BQ100" s="710">
        <f>BO100*(1+BQ121)</f>
        <v>616.53213579723024</v>
      </c>
      <c r="BR100" s="710">
        <f t="shared" si="49"/>
        <v>619.92306254411506</v>
      </c>
      <c r="BS100" s="710">
        <f t="shared" si="50"/>
        <v>623.33263938810774</v>
      </c>
      <c r="BT100" s="710">
        <f t="shared" si="51"/>
        <v>626.76096890474241</v>
      </c>
      <c r="BU100" s="710"/>
    </row>
    <row r="101" spans="1:73" s="106" customFormat="1">
      <c r="A101"/>
      <c r="B101" t="s">
        <v>440</v>
      </c>
      <c r="C101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710"/>
      <c r="AI101" s="710"/>
      <c r="AJ101" s="710"/>
      <c r="AK101" s="710"/>
      <c r="AL101" s="710"/>
      <c r="AM101" s="710"/>
      <c r="AN101" s="710"/>
      <c r="AO101" s="710"/>
      <c r="AP101" s="710"/>
      <c r="AQ101" s="710"/>
      <c r="AR101" s="220"/>
      <c r="AS101" s="220"/>
      <c r="AT101" s="220"/>
      <c r="AU101" s="220"/>
      <c r="AV101" s="710"/>
      <c r="AW101" s="220"/>
      <c r="AX101" s="220"/>
      <c r="AY101" s="220"/>
      <c r="AZ101" s="220"/>
      <c r="BA101" s="710"/>
      <c r="BB101" s="220"/>
      <c r="BC101" s="220"/>
      <c r="BD101" s="220">
        <f>BD100/((BG21+BH21+BE21+BI21)/1000)</f>
        <v>0.66739376265770078</v>
      </c>
      <c r="BE101" s="710"/>
      <c r="BF101" s="710"/>
      <c r="BG101" s="710"/>
      <c r="BH101" s="710"/>
      <c r="BI101" s="710"/>
      <c r="BJ101" s="710"/>
      <c r="BK101" s="710"/>
      <c r="BL101" s="710"/>
      <c r="BM101" s="710"/>
      <c r="BN101" s="710"/>
      <c r="BO101" s="710"/>
      <c r="BP101" s="710"/>
      <c r="BQ101" s="710"/>
      <c r="BR101" s="710"/>
      <c r="BS101" s="710"/>
      <c r="BT101" s="710"/>
      <c r="BU101" s="710"/>
    </row>
    <row r="102" spans="1:73" s="106" customFormat="1">
      <c r="A102"/>
      <c r="B102"/>
      <c r="C102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710"/>
      <c r="AI102" s="710"/>
      <c r="AJ102" s="710"/>
      <c r="AK102" s="710"/>
      <c r="AL102" s="710"/>
      <c r="AM102" s="710"/>
      <c r="AN102" s="710"/>
      <c r="AO102" s="710"/>
      <c r="AP102" s="710"/>
      <c r="AQ102" s="710"/>
      <c r="AR102" s="220"/>
      <c r="AS102" s="220"/>
      <c r="AT102" s="220"/>
      <c r="AU102" s="220"/>
      <c r="AV102" s="710"/>
      <c r="AW102" s="220"/>
      <c r="AX102" s="220"/>
      <c r="AY102" s="220"/>
      <c r="AZ102" s="220"/>
      <c r="BA102" s="710"/>
      <c r="BB102" s="220"/>
      <c r="BC102" s="220"/>
      <c r="BD102" s="710"/>
      <c r="BE102" s="710"/>
      <c r="BF102" s="710"/>
      <c r="BG102" s="710"/>
      <c r="BH102" s="710"/>
      <c r="BI102" s="710"/>
      <c r="BJ102" s="710"/>
      <c r="BK102" s="710"/>
      <c r="BL102" s="710"/>
      <c r="BM102" s="710"/>
      <c r="BN102" s="710"/>
      <c r="BO102" s="710"/>
      <c r="BP102" s="710"/>
      <c r="BQ102" s="710"/>
      <c r="BR102" s="710"/>
      <c r="BS102" s="710"/>
      <c r="BT102" s="710"/>
      <c r="BU102" s="710"/>
    </row>
    <row r="103" spans="1:73" s="106" customFormat="1">
      <c r="A103"/>
      <c r="B103" s="736" t="s">
        <v>439</v>
      </c>
      <c r="C103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710"/>
      <c r="AI103" s="710"/>
      <c r="AJ103" s="710"/>
      <c r="AK103" s="710"/>
      <c r="AL103" s="710"/>
      <c r="AM103" s="710"/>
      <c r="AN103" s="710"/>
      <c r="AO103" s="710"/>
      <c r="AP103" s="710"/>
      <c r="AQ103" s="710"/>
      <c r="AR103" s="710"/>
      <c r="AS103" s="710"/>
      <c r="AT103" s="710"/>
      <c r="AU103" s="710">
        <f>AU104+191.817</f>
        <v>669.99099999999999</v>
      </c>
      <c r="AV103" s="710"/>
      <c r="AW103" s="710">
        <f>AW104+198.798</f>
        <v>680.11799999999994</v>
      </c>
      <c r="AX103" s="710">
        <f>AX104+206.173</f>
        <v>709.74900000000002</v>
      </c>
      <c r="AY103" s="710">
        <f>AY104+234.563</f>
        <v>742.37</v>
      </c>
      <c r="AZ103" s="710">
        <f>AZ104+285.791</f>
        <v>839.59799999999996</v>
      </c>
      <c r="BA103" s="710"/>
      <c r="BB103" s="764">
        <f>BB104+271.822</f>
        <v>826.39499999999998</v>
      </c>
      <c r="BC103" s="764">
        <f>BC104+272.911</f>
        <v>833.1579999999999</v>
      </c>
      <c r="BD103" s="764">
        <f>BD104+268.636</f>
        <v>824.92000000000007</v>
      </c>
      <c r="BE103" s="764">
        <f>BE104+291.435</f>
        <v>878.88499999999999</v>
      </c>
      <c r="BF103" s="710"/>
      <c r="BG103" s="764">
        <f>BG104+282.354</f>
        <v>857.827</v>
      </c>
      <c r="BH103" s="710"/>
      <c r="BI103" s="710"/>
      <c r="BJ103" s="710"/>
      <c r="BK103" s="710"/>
      <c r="BL103" s="710"/>
      <c r="BM103" s="710"/>
      <c r="BN103" s="710"/>
      <c r="BO103" s="710"/>
      <c r="BP103" s="710"/>
      <c r="BQ103" s="710"/>
      <c r="BR103" s="710"/>
      <c r="BS103" s="710"/>
      <c r="BT103" s="710"/>
      <c r="BU103" s="710"/>
    </row>
    <row r="104" spans="1:73" s="106" customFormat="1">
      <c r="A104"/>
      <c r="B104" s="736" t="s">
        <v>454</v>
      </c>
      <c r="C104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710"/>
      <c r="AI104" s="710"/>
      <c r="AJ104" s="710"/>
      <c r="AK104" s="710"/>
      <c r="AL104" s="710"/>
      <c r="AM104" s="710"/>
      <c r="AN104" s="710"/>
      <c r="AO104" s="710"/>
      <c r="AP104" s="710"/>
      <c r="AQ104" s="710"/>
      <c r="AR104" s="710"/>
      <c r="AS104" s="710"/>
      <c r="AT104" s="710"/>
      <c r="AU104" s="710">
        <f>478.174</f>
        <v>478.17399999999998</v>
      </c>
      <c r="AV104" s="220"/>
      <c r="AW104" s="710">
        <f>481.32</f>
        <v>481.32</v>
      </c>
      <c r="AX104" s="710">
        <f>503.576</f>
        <v>503.57600000000002</v>
      </c>
      <c r="AY104" s="710">
        <f>507.807</f>
        <v>507.80700000000002</v>
      </c>
      <c r="AZ104" s="710">
        <f>553.807</f>
        <v>553.80700000000002</v>
      </c>
      <c r="BA104" s="220"/>
      <c r="BB104" s="764">
        <f>554.573</f>
        <v>554.57299999999998</v>
      </c>
      <c r="BC104" s="764">
        <f>560.247</f>
        <v>560.24699999999996</v>
      </c>
      <c r="BD104" s="764">
        <f>556.284</f>
        <v>556.28399999999999</v>
      </c>
      <c r="BE104" s="764">
        <f>587.45</f>
        <v>587.45000000000005</v>
      </c>
      <c r="BF104" s="710"/>
      <c r="BG104" s="764">
        <f>575.473</f>
        <v>575.47299999999996</v>
      </c>
      <c r="BH104" s="710"/>
      <c r="BI104" s="710"/>
      <c r="BJ104" s="710"/>
      <c r="BK104" s="710"/>
      <c r="BL104" s="710"/>
      <c r="BM104" s="710"/>
      <c r="BN104" s="710"/>
      <c r="BO104" s="710"/>
      <c r="BP104" s="710"/>
      <c r="BQ104" s="710"/>
      <c r="BR104" s="710"/>
      <c r="BS104" s="710"/>
      <c r="BT104" s="710"/>
      <c r="BU104" s="710"/>
    </row>
    <row r="105" spans="1:73" s="106" customFormat="1">
      <c r="A105"/>
      <c r="B105" s="736" t="s">
        <v>456</v>
      </c>
      <c r="C105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0"/>
      <c r="AR105" s="220"/>
      <c r="AS105" s="220"/>
      <c r="AT105" s="220"/>
      <c r="AU105" s="220"/>
      <c r="AV105" s="220"/>
      <c r="AW105" s="710">
        <f>AW106+5.195+0.133</f>
        <v>21.119</v>
      </c>
      <c r="AX105" s="710">
        <f>AX106+6.312+0.109</f>
        <v>24.879000000000001</v>
      </c>
      <c r="AY105" s="710">
        <f>AY106+7.52+0.428</f>
        <v>28.931999999999999</v>
      </c>
      <c r="AZ105" s="710">
        <f>AZ106+8.066+0.033</f>
        <v>25.771000000000001</v>
      </c>
      <c r="BA105" s="710"/>
      <c r="BB105" s="764">
        <f>BB106+8.302</f>
        <v>24.716000000000001</v>
      </c>
      <c r="BC105" s="764">
        <f>BC106+6.999</f>
        <v>23.154</v>
      </c>
      <c r="BD105" s="764">
        <f>BD106+6.41</f>
        <v>23.195</v>
      </c>
      <c r="BE105" s="764">
        <f>BE106+5.334</f>
        <v>19.500999999999998</v>
      </c>
      <c r="BF105" s="710"/>
      <c r="BG105" s="764">
        <f>BG106+4.756</f>
        <v>19.347000000000001</v>
      </c>
      <c r="BH105" s="710"/>
      <c r="BI105" s="710"/>
      <c r="BJ105" s="710"/>
      <c r="BK105"/>
      <c r="BL105"/>
      <c r="BM105"/>
      <c r="BN105"/>
      <c r="BO105"/>
      <c r="BP105"/>
      <c r="BQ105"/>
      <c r="BR105"/>
      <c r="BS105"/>
      <c r="BT105"/>
      <c r="BU105"/>
    </row>
    <row r="106" spans="1:73" s="106" customFormat="1">
      <c r="A106"/>
      <c r="B106" s="736" t="s">
        <v>455</v>
      </c>
      <c r="C106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  <c r="AV106" s="220"/>
      <c r="AW106" s="710">
        <f>15.484+0.307</f>
        <v>15.791</v>
      </c>
      <c r="AX106" s="710">
        <f>18.258+0.2</f>
        <v>18.457999999999998</v>
      </c>
      <c r="AY106" s="710">
        <f>19.729+1.255</f>
        <v>20.983999999999998</v>
      </c>
      <c r="AZ106" s="710">
        <f>17.545+0.127</f>
        <v>17.672000000000001</v>
      </c>
      <c r="BA106" s="710"/>
      <c r="BB106" s="764">
        <f>16.414</f>
        <v>16.414000000000001</v>
      </c>
      <c r="BC106" s="764">
        <f>16.155</f>
        <v>16.155000000000001</v>
      </c>
      <c r="BD106" s="764">
        <f>16.785</f>
        <v>16.785</v>
      </c>
      <c r="BE106" s="764">
        <f>14.167</f>
        <v>14.167</v>
      </c>
      <c r="BF106" s="710"/>
      <c r="BG106" s="764">
        <f>14.591</f>
        <v>14.590999999999999</v>
      </c>
      <c r="BH106" s="710"/>
      <c r="BI106" s="710"/>
      <c r="BJ106" s="710"/>
      <c r="BK106"/>
      <c r="BL106"/>
      <c r="BM106"/>
      <c r="BN106"/>
      <c r="BO106"/>
      <c r="BP106"/>
      <c r="BQ106"/>
      <c r="BR106"/>
      <c r="BS106"/>
      <c r="BT106"/>
      <c r="BU106"/>
    </row>
    <row r="107" spans="1:73" s="106" customFormat="1">
      <c r="A107"/>
      <c r="B107" s="736"/>
      <c r="C107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 spans="1:73" s="106" customFormat="1">
      <c r="A108"/>
      <c r="B108" t="s">
        <v>443</v>
      </c>
      <c r="C108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715">
        <f>AM100/AM$99</f>
        <v>0.78808714933783586</v>
      </c>
      <c r="AN108" s="715">
        <f>AN100/AN$99</f>
        <v>0.77937510774406071</v>
      </c>
      <c r="AO108" s="715">
        <f>AO100/AO$99</f>
        <v>0.77256045880282753</v>
      </c>
      <c r="AP108" s="715">
        <f>AP100/AP$99</f>
        <v>0.76204498054531367</v>
      </c>
      <c r="AQ108" s="220"/>
      <c r="AR108" s="715">
        <f>AR100/AR$99</f>
        <v>0.76725659751780995</v>
      </c>
      <c r="AS108" s="715">
        <f>AS100/AS$99</f>
        <v>0.74961056866917231</v>
      </c>
      <c r="AT108" s="715">
        <f>AT100/AT$99</f>
        <v>0.73741687867570149</v>
      </c>
      <c r="AU108" s="715">
        <f>AU100/AU$99</f>
        <v>0.71631979944662982</v>
      </c>
      <c r="AV108" s="220"/>
      <c r="AW108" s="715">
        <f>AW100/AW$99</f>
        <v>0.7089058335484294</v>
      </c>
      <c r="AX108" s="715">
        <f>AX100/AX$99</f>
        <v>0.71060999580740192</v>
      </c>
      <c r="AY108" s="715">
        <f>AY100/AY$99</f>
        <v>0.68558230109606877</v>
      </c>
      <c r="AZ108" s="715">
        <f>AZ100/AZ$99</f>
        <v>0.66038764966158947</v>
      </c>
      <c r="BA108" s="220"/>
      <c r="BB108" s="715">
        <f>BB100/BB$99</f>
        <v>0.67087254188936574</v>
      </c>
      <c r="BC108" s="715">
        <f>BC100/BC$99</f>
        <v>0.67312147908706155</v>
      </c>
      <c r="BD108" s="715">
        <f>BD100/BD$99</f>
        <v>0.67569728161864839</v>
      </c>
      <c r="BE108" s="715">
        <f>BE100/BE$99</f>
        <v>0.6696642645811488</v>
      </c>
      <c r="BF108"/>
      <c r="BG108" s="715">
        <f>BG100/BG$99</f>
        <v>0.67268751695786699</v>
      </c>
      <c r="BH108" s="715">
        <f>BH100/BH$99</f>
        <v>0.66969039435755962</v>
      </c>
      <c r="BI108" s="715">
        <f>BI100/BI$99</f>
        <v>0.66670662527378832</v>
      </c>
      <c r="BJ108" s="715">
        <f>BJ100/BJ$99</f>
        <v>0.66373615021068733</v>
      </c>
      <c r="BK108"/>
      <c r="BL108" s="715">
        <f>BL100/BL$99</f>
        <v>0.66077890993747135</v>
      </c>
      <c r="BM108" s="715">
        <f>BM100/BM$99</f>
        <v>0.65783484548725502</v>
      </c>
      <c r="BN108" s="715">
        <f>BN100/BN$99</f>
        <v>0.65490389815587624</v>
      </c>
      <c r="BO108" s="715">
        <f>BO100/BO$99</f>
        <v>0.65198600950072638</v>
      </c>
      <c r="BP108"/>
      <c r="BQ108" s="715">
        <f>BQ100/BQ$99</f>
        <v>0.64908112133958451</v>
      </c>
      <c r="BR108" s="715">
        <f>BR100/BR$99</f>
        <v>0.64618917574945767</v>
      </c>
      <c r="BS108" s="715">
        <f>BS100/BS$99</f>
        <v>0.64331011506542546</v>
      </c>
      <c r="BT108" s="715">
        <f>BT100/BT$99</f>
        <v>0.64044388187949053</v>
      </c>
      <c r="BU108"/>
    </row>
    <row r="109" spans="1:73" s="106" customFormat="1">
      <c r="A109"/>
      <c r="B109"/>
      <c r="C109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715"/>
      <c r="AS109" s="715"/>
      <c r="AT109" s="715"/>
      <c r="AU109" s="715"/>
      <c r="AV109" s="220"/>
      <c r="AW109" s="220"/>
      <c r="AX109" s="220"/>
      <c r="AY109" s="220"/>
      <c r="AZ109" s="220"/>
      <c r="BA109" s="220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 spans="1:73" s="106" customFormat="1">
      <c r="A110"/>
      <c r="B110"/>
      <c r="C11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715"/>
      <c r="AS110" s="715"/>
      <c r="AT110" s="715"/>
      <c r="AU110" s="715"/>
      <c r="AV110" s="220"/>
      <c r="AW110" s="220"/>
      <c r="AX110" s="220"/>
      <c r="AY110" s="220"/>
      <c r="AZ110" s="220"/>
      <c r="BA110" s="22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 spans="1:73" s="106" customFormat="1">
      <c r="A111"/>
      <c r="B111" s="716" t="s">
        <v>458</v>
      </c>
      <c r="C111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  <c r="AV111" s="220"/>
      <c r="AW111" s="220"/>
      <c r="AX111" s="220"/>
      <c r="AY111" s="220"/>
      <c r="AZ111" s="220"/>
      <c r="BA111" s="220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 spans="1:73" s="106" customFormat="1">
      <c r="A112"/>
      <c r="B112" s="717" t="s">
        <v>405</v>
      </c>
      <c r="C112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0"/>
      <c r="AR112" s="568">
        <f t="shared" ref="AR112:AU113" si="52">+AR99/AM99-1</f>
        <v>0.41885947067559037</v>
      </c>
      <c r="AS112" s="568">
        <f t="shared" si="52"/>
        <v>0.40578393413751157</v>
      </c>
      <c r="AT112" s="568">
        <f t="shared" si="52"/>
        <v>0.32667114111284645</v>
      </c>
      <c r="AU112" s="568">
        <f t="shared" si="52"/>
        <v>0.26024874336193005</v>
      </c>
      <c r="AV112" s="220"/>
      <c r="AW112" s="568">
        <f t="shared" ref="AW112:AZ113" si="53">+AW99/AR99-1</f>
        <v>0.25675343877413859</v>
      </c>
      <c r="AX112" s="568">
        <f t="shared" si="53"/>
        <v>0.21739216895022562</v>
      </c>
      <c r="AY112" s="568">
        <f t="shared" si="53"/>
        <v>0.25065386342888729</v>
      </c>
      <c r="AZ112" s="568">
        <f t="shared" si="53"/>
        <v>0.24965919790204527</v>
      </c>
      <c r="BA112" s="220"/>
      <c r="BB112" s="568">
        <f t="shared" ref="BB112:BE113" si="54">+BB99/AW99-1</f>
        <v>0.21372802633061294</v>
      </c>
      <c r="BC112" s="568">
        <f t="shared" si="54"/>
        <v>0.16564029685772974</v>
      </c>
      <c r="BD112" s="568">
        <f t="shared" si="54"/>
        <v>9.9588747338915207E-2</v>
      </c>
      <c r="BE112" s="568">
        <f t="shared" si="54"/>
        <v>3.8153666239488571E-2</v>
      </c>
      <c r="BF112"/>
      <c r="BG112" s="568">
        <f t="shared" ref="BG112:BJ113" si="55">+BG99/BB99-1</f>
        <v>3.0622327757483969E-2</v>
      </c>
      <c r="BH112" s="568">
        <f t="shared" si="55"/>
        <v>3.4606241650239511E-2</v>
      </c>
      <c r="BI112" s="568">
        <f t="shared" si="55"/>
        <v>5.5051729305577668E-2</v>
      </c>
      <c r="BJ112" s="568">
        <f t="shared" si="55"/>
        <v>5.9743243705934201E-3</v>
      </c>
      <c r="BK112"/>
      <c r="BL112" s="568">
        <f t="shared" ref="BL112:BO113" si="56">+BL99/BG99-1</f>
        <v>4.0604010000000024E-2</v>
      </c>
      <c r="BM112" s="568">
        <f t="shared" si="56"/>
        <v>4.0604010000000024E-2</v>
      </c>
      <c r="BN112" s="568">
        <f t="shared" si="56"/>
        <v>4.0604010000000024E-2</v>
      </c>
      <c r="BO112" s="568">
        <f t="shared" si="56"/>
        <v>4.0604010000000024E-2</v>
      </c>
      <c r="BP112"/>
      <c r="BQ112" s="568">
        <f t="shared" ref="BQ112:BQ113" si="57">+BQ99/BL99-1</f>
        <v>4.0604010000000024E-2</v>
      </c>
      <c r="BR112" s="568">
        <f t="shared" ref="BR112:BR113" si="58">+BR99/BM99-1</f>
        <v>4.0604010000000024E-2</v>
      </c>
      <c r="BS112" s="568">
        <f t="shared" ref="BS112:BS113" si="59">+BS99/BN99-1</f>
        <v>4.0604010000000024E-2</v>
      </c>
      <c r="BT112" s="568">
        <f t="shared" ref="BT112:BT113" si="60">+BT99/BO99-1</f>
        <v>4.0604010000000024E-2</v>
      </c>
      <c r="BU112"/>
    </row>
    <row r="113" spans="1:78" s="106" customFormat="1">
      <c r="A113"/>
      <c r="B113" s="717" t="s">
        <v>406</v>
      </c>
      <c r="C113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0"/>
      <c r="AR113" s="568">
        <f t="shared" si="52"/>
        <v>0.38135647909137838</v>
      </c>
      <c r="AS113" s="568">
        <f t="shared" si="52"/>
        <v>0.3520966782542676</v>
      </c>
      <c r="AT113" s="568">
        <f t="shared" si="52"/>
        <v>0.26632120601224041</v>
      </c>
      <c r="AU113" s="568">
        <f t="shared" si="52"/>
        <v>0.18462971365796577</v>
      </c>
      <c r="AV113" s="220"/>
      <c r="AW113" s="568">
        <f t="shared" si="53"/>
        <v>0.16117586601574363</v>
      </c>
      <c r="AX113" s="568">
        <f t="shared" si="53"/>
        <v>0.15405395845676328</v>
      </c>
      <c r="AY113" s="568">
        <f t="shared" si="53"/>
        <v>0.16274278275821885</v>
      </c>
      <c r="AZ113" s="568">
        <f t="shared" si="53"/>
        <v>0.15208249334731083</v>
      </c>
      <c r="BA113" s="220"/>
      <c r="BB113" s="568">
        <f t="shared" si="54"/>
        <v>0.14861067246550563</v>
      </c>
      <c r="BC113" s="568">
        <f t="shared" si="54"/>
        <v>0.10414647321821935</v>
      </c>
      <c r="BD113" s="568">
        <f t="shared" si="54"/>
        <v>8.3734405464540584E-2</v>
      </c>
      <c r="BE113" s="568">
        <f t="shared" si="54"/>
        <v>5.2736845973342605E-2</v>
      </c>
      <c r="BF113"/>
      <c r="BG113" s="568">
        <f t="shared" si="55"/>
        <v>3.3410568016434716E-2</v>
      </c>
      <c r="BH113" s="568">
        <f t="shared" si="55"/>
        <v>2.9332569977203571E-2</v>
      </c>
      <c r="BI113" s="568">
        <f t="shared" si="55"/>
        <v>4.1013479067965708E-2</v>
      </c>
      <c r="BJ113" s="568">
        <f t="shared" si="55"/>
        <v>-2.9309303428957101E-3</v>
      </c>
      <c r="BK113"/>
      <c r="BL113" s="568">
        <f t="shared" si="56"/>
        <v>2.2182166415062765E-2</v>
      </c>
      <c r="BM113" s="568">
        <f t="shared" si="56"/>
        <v>2.2182166415062765E-2</v>
      </c>
      <c r="BN113" s="568">
        <f t="shared" si="56"/>
        <v>2.2182166415062765E-2</v>
      </c>
      <c r="BO113" s="568">
        <f t="shared" si="56"/>
        <v>2.2182166415062765E-2</v>
      </c>
      <c r="BP113"/>
      <c r="BQ113" s="568">
        <f t="shared" si="57"/>
        <v>2.2182166415062765E-2</v>
      </c>
      <c r="BR113" s="568">
        <f t="shared" si="58"/>
        <v>2.2182166415062765E-2</v>
      </c>
      <c r="BS113" s="568">
        <f t="shared" si="59"/>
        <v>2.2182166415062765E-2</v>
      </c>
      <c r="BT113" s="568">
        <f t="shared" si="60"/>
        <v>2.2182166415062765E-2</v>
      </c>
      <c r="BU113"/>
      <c r="BV113"/>
      <c r="BW113"/>
      <c r="BX113"/>
      <c r="BY113"/>
      <c r="BZ113"/>
    </row>
    <row r="114" spans="1:78">
      <c r="B114" t="s">
        <v>472</v>
      </c>
      <c r="AR114" s="568"/>
      <c r="AS114" s="568"/>
      <c r="AT114" s="568"/>
      <c r="AU114" s="568"/>
      <c r="AW114" s="568" t="e">
        <f t="shared" ref="AW114:AZ117" si="61">+AW103/AR103-1</f>
        <v>#DIV/0!</v>
      </c>
      <c r="AX114" s="568" t="e">
        <f t="shared" si="61"/>
        <v>#DIV/0!</v>
      </c>
      <c r="AY114" s="568" t="e">
        <f t="shared" si="61"/>
        <v>#DIV/0!</v>
      </c>
      <c r="AZ114" s="568">
        <f t="shared" si="61"/>
        <v>0.25314817661729783</v>
      </c>
      <c r="BB114" s="568">
        <f t="shared" ref="BB114:BE117" si="62">+BB103/AW103-1</f>
        <v>0.2150759132973985</v>
      </c>
      <c r="BC114" s="568">
        <f t="shared" si="62"/>
        <v>0.17387696213731885</v>
      </c>
      <c r="BD114" s="568">
        <f t="shared" si="62"/>
        <v>0.11119792017457608</v>
      </c>
      <c r="BE114" s="568">
        <f t="shared" si="62"/>
        <v>4.6792631711843002E-2</v>
      </c>
      <c r="BG114" s="568">
        <f t="shared" ref="BG114:BJ117" si="63">+BG103/BB103-1</f>
        <v>3.8035080076718852E-2</v>
      </c>
      <c r="BH114" s="568">
        <f t="shared" si="63"/>
        <v>-1</v>
      </c>
      <c r="BI114" s="568">
        <f t="shared" si="63"/>
        <v>-1</v>
      </c>
      <c r="BJ114" s="568">
        <f t="shared" si="63"/>
        <v>-1</v>
      </c>
      <c r="BL114" s="568">
        <f t="shared" ref="BL114:BO117" si="64">+BL103/BG103-1</f>
        <v>-1</v>
      </c>
      <c r="BM114" s="568" t="e">
        <f t="shared" si="64"/>
        <v>#DIV/0!</v>
      </c>
      <c r="BN114" s="568" t="e">
        <f t="shared" si="64"/>
        <v>#DIV/0!</v>
      </c>
      <c r="BO114" s="568" t="e">
        <f t="shared" si="64"/>
        <v>#DIV/0!</v>
      </c>
      <c r="BQ114" s="568" t="e">
        <f t="shared" ref="BQ114:BQ117" si="65">+BQ103/BL103-1</f>
        <v>#DIV/0!</v>
      </c>
      <c r="BR114" s="568" t="e">
        <f t="shared" ref="BR114:BR117" si="66">+BR103/BM103-1</f>
        <v>#DIV/0!</v>
      </c>
      <c r="BS114" s="568" t="e">
        <f t="shared" ref="BS114:BS117" si="67">+BS103/BN103-1</f>
        <v>#DIV/0!</v>
      </c>
      <c r="BT114" s="568" t="e">
        <f t="shared" ref="BT114:BT117" si="68">+BT103/BO103-1</f>
        <v>#DIV/0!</v>
      </c>
    </row>
    <row r="115" spans="1:78">
      <c r="B115" t="s">
        <v>454</v>
      </c>
      <c r="AR115" s="568"/>
      <c r="AS115" s="568"/>
      <c r="AT115" s="568"/>
      <c r="AU115" s="568"/>
      <c r="AW115" s="568" t="e">
        <f t="shared" si="61"/>
        <v>#DIV/0!</v>
      </c>
      <c r="AX115" s="568" t="e">
        <f t="shared" si="61"/>
        <v>#DIV/0!</v>
      </c>
      <c r="AY115" s="568" t="e">
        <f t="shared" si="61"/>
        <v>#DIV/0!</v>
      </c>
      <c r="AZ115" s="568">
        <f t="shared" si="61"/>
        <v>0.15817045677933139</v>
      </c>
      <c r="BB115" s="568">
        <f t="shared" si="62"/>
        <v>0.15219188897199376</v>
      </c>
      <c r="BC115" s="568">
        <f t="shared" si="62"/>
        <v>0.11253713441466617</v>
      </c>
      <c r="BD115" s="568">
        <f t="shared" si="62"/>
        <v>9.5463433942422959E-2</v>
      </c>
      <c r="BE115" s="568">
        <f t="shared" si="62"/>
        <v>6.0748600144093556E-2</v>
      </c>
      <c r="BG115" s="568">
        <f t="shared" si="63"/>
        <v>3.7686652613812655E-2</v>
      </c>
      <c r="BH115" s="568">
        <f t="shared" si="63"/>
        <v>-1</v>
      </c>
      <c r="BI115" s="568">
        <f t="shared" si="63"/>
        <v>-1</v>
      </c>
      <c r="BJ115" s="568">
        <f t="shared" si="63"/>
        <v>-1</v>
      </c>
      <c r="BL115" s="568">
        <f t="shared" si="64"/>
        <v>-1</v>
      </c>
      <c r="BM115" s="568" t="e">
        <f t="shared" si="64"/>
        <v>#DIV/0!</v>
      </c>
      <c r="BN115" s="568" t="e">
        <f t="shared" si="64"/>
        <v>#DIV/0!</v>
      </c>
      <c r="BO115" s="568" t="e">
        <f t="shared" si="64"/>
        <v>#DIV/0!</v>
      </c>
      <c r="BQ115" s="568" t="e">
        <f t="shared" si="65"/>
        <v>#DIV/0!</v>
      </c>
      <c r="BR115" s="568" t="e">
        <f t="shared" si="66"/>
        <v>#DIV/0!</v>
      </c>
      <c r="BS115" s="568" t="e">
        <f t="shared" si="67"/>
        <v>#DIV/0!</v>
      </c>
      <c r="BT115" s="568" t="e">
        <f t="shared" si="68"/>
        <v>#DIV/0!</v>
      </c>
    </row>
    <row r="116" spans="1:78">
      <c r="B116" t="s">
        <v>473</v>
      </c>
      <c r="AR116" s="568"/>
      <c r="AS116" s="568"/>
      <c r="AT116" s="568"/>
      <c r="AU116" s="568"/>
      <c r="AW116" s="568" t="e">
        <f t="shared" si="61"/>
        <v>#DIV/0!</v>
      </c>
      <c r="AX116" s="568" t="e">
        <f t="shared" si="61"/>
        <v>#DIV/0!</v>
      </c>
      <c r="AY116" s="568" t="e">
        <f t="shared" si="61"/>
        <v>#DIV/0!</v>
      </c>
      <c r="AZ116" s="568" t="e">
        <f t="shared" si="61"/>
        <v>#DIV/0!</v>
      </c>
      <c r="BB116" s="568">
        <f t="shared" si="62"/>
        <v>0.17032056442066401</v>
      </c>
      <c r="BC116" s="568">
        <f t="shared" si="62"/>
        <v>-6.9335584227661951E-2</v>
      </c>
      <c r="BD116" s="568">
        <f t="shared" si="62"/>
        <v>-0.19829254804368857</v>
      </c>
      <c r="BE116" s="568">
        <f t="shared" si="62"/>
        <v>-0.24329672888130083</v>
      </c>
      <c r="BG116" s="568">
        <f t="shared" si="63"/>
        <v>-0.21722770674866476</v>
      </c>
      <c r="BH116" s="568">
        <f t="shared" si="63"/>
        <v>-1</v>
      </c>
      <c r="BI116" s="568">
        <f t="shared" si="63"/>
        <v>-1</v>
      </c>
      <c r="BJ116" s="568">
        <f t="shared" si="63"/>
        <v>-1</v>
      </c>
      <c r="BL116" s="568">
        <f t="shared" si="64"/>
        <v>-1</v>
      </c>
      <c r="BM116" s="568" t="e">
        <f t="shared" si="64"/>
        <v>#DIV/0!</v>
      </c>
      <c r="BN116" s="568" t="e">
        <f t="shared" si="64"/>
        <v>#DIV/0!</v>
      </c>
      <c r="BO116" s="568" t="e">
        <f t="shared" si="64"/>
        <v>#DIV/0!</v>
      </c>
      <c r="BQ116" s="568" t="e">
        <f t="shared" si="65"/>
        <v>#DIV/0!</v>
      </c>
      <c r="BR116" s="568" t="e">
        <f t="shared" si="66"/>
        <v>#DIV/0!</v>
      </c>
      <c r="BS116" s="568" t="e">
        <f t="shared" si="67"/>
        <v>#DIV/0!</v>
      </c>
      <c r="BT116" s="568" t="e">
        <f t="shared" si="68"/>
        <v>#DIV/0!</v>
      </c>
    </row>
    <row r="117" spans="1:78">
      <c r="B117" t="s">
        <v>455</v>
      </c>
      <c r="AR117" s="568"/>
      <c r="AS117" s="568"/>
      <c r="AT117" s="568"/>
      <c r="AU117" s="568"/>
      <c r="AW117" s="568" t="e">
        <f t="shared" si="61"/>
        <v>#DIV/0!</v>
      </c>
      <c r="AX117" s="568" t="e">
        <f t="shared" si="61"/>
        <v>#DIV/0!</v>
      </c>
      <c r="AY117" s="568" t="e">
        <f t="shared" si="61"/>
        <v>#DIV/0!</v>
      </c>
      <c r="AZ117" s="568" t="e">
        <f t="shared" si="61"/>
        <v>#DIV/0!</v>
      </c>
      <c r="BB117" s="568">
        <f t="shared" si="62"/>
        <v>3.9452852890887291E-2</v>
      </c>
      <c r="BC117" s="568">
        <f t="shared" si="62"/>
        <v>-0.12476974753494408</v>
      </c>
      <c r="BD117" s="568">
        <f t="shared" si="62"/>
        <v>-0.2001048417842165</v>
      </c>
      <c r="BE117" s="568">
        <f t="shared" si="62"/>
        <v>-0.19833635129017657</v>
      </c>
      <c r="BG117" s="568">
        <f t="shared" si="63"/>
        <v>-0.11106372608748638</v>
      </c>
      <c r="BH117" s="568">
        <f t="shared" si="63"/>
        <v>-1</v>
      </c>
      <c r="BI117" s="568">
        <f t="shared" si="63"/>
        <v>-1</v>
      </c>
      <c r="BJ117" s="568">
        <f t="shared" si="63"/>
        <v>-1</v>
      </c>
      <c r="BL117" s="568">
        <f t="shared" si="64"/>
        <v>-1</v>
      </c>
      <c r="BM117" s="568" t="e">
        <f t="shared" si="64"/>
        <v>#DIV/0!</v>
      </c>
      <c r="BN117" s="568" t="e">
        <f t="shared" si="64"/>
        <v>#DIV/0!</v>
      </c>
      <c r="BO117" s="568" t="e">
        <f t="shared" si="64"/>
        <v>#DIV/0!</v>
      </c>
      <c r="BQ117" s="568" t="e">
        <f t="shared" si="65"/>
        <v>#DIV/0!</v>
      </c>
      <c r="BR117" s="568" t="e">
        <f t="shared" si="66"/>
        <v>#DIV/0!</v>
      </c>
      <c r="BS117" s="568" t="e">
        <f t="shared" si="67"/>
        <v>#DIV/0!</v>
      </c>
      <c r="BT117" s="568" t="e">
        <f t="shared" si="68"/>
        <v>#DIV/0!</v>
      </c>
    </row>
    <row r="118" spans="1:78">
      <c r="B118" s="717"/>
      <c r="AR118" s="568"/>
      <c r="AS118" s="568"/>
      <c r="AT118" s="568"/>
      <c r="AU118" s="568"/>
      <c r="AW118" s="568"/>
      <c r="AX118" s="568"/>
      <c r="AY118" s="568"/>
      <c r="AZ118" s="568"/>
      <c r="BB118" s="568"/>
      <c r="BC118" s="568"/>
      <c r="BD118" s="568"/>
      <c r="BE118" s="568"/>
      <c r="BG118" s="568"/>
      <c r="BH118" s="568"/>
      <c r="BI118" s="568"/>
      <c r="BJ118" s="568"/>
      <c r="BL118" s="568"/>
      <c r="BM118" s="568"/>
      <c r="BN118" s="568"/>
      <c r="BO118" s="568"/>
      <c r="BQ118" s="568"/>
      <c r="BR118" s="568"/>
      <c r="BS118" s="568"/>
      <c r="BT118" s="568"/>
    </row>
    <row r="119" spans="1:78">
      <c r="B119" s="716" t="s">
        <v>457</v>
      </c>
    </row>
    <row r="120" spans="1:78">
      <c r="B120" s="717" t="s">
        <v>405</v>
      </c>
      <c r="AR120" s="220">
        <f>AR99/AP99-1</f>
        <v>1.5456375277079326E-2</v>
      </c>
      <c r="AS120" s="220">
        <f t="shared" ref="AS120:AU121" si="69">AS99/AR99-1</f>
        <v>8.1489314037367144E-2</v>
      </c>
      <c r="AT120" s="220">
        <f t="shared" si="69"/>
        <v>2.1998727305267973E-2</v>
      </c>
      <c r="AU120" s="220">
        <f t="shared" si="69"/>
        <v>0.12285173636615698</v>
      </c>
      <c r="AW120" s="220">
        <f>AW99/AU99-1</f>
        <v>1.2640003234731578E-2</v>
      </c>
      <c r="AX120" s="220">
        <f t="shared" ref="AX120:AZ121" si="70">AX99/AW99-1</f>
        <v>4.7617282031609864E-2</v>
      </c>
      <c r="AY120" s="220">
        <f t="shared" si="70"/>
        <v>4.992186521613684E-2</v>
      </c>
      <c r="AZ120" s="220">
        <f t="shared" si="70"/>
        <v>0.12195871396677305</v>
      </c>
      <c r="BB120" s="220">
        <f>BB99/AZ99-1</f>
        <v>-1.6476208415138527E-2</v>
      </c>
      <c r="BC120" s="220">
        <f t="shared" ref="BC120:BE121" si="71">BC99/BB99-1</f>
        <v>6.1108363068977933E-3</v>
      </c>
      <c r="BD120" s="220">
        <f t="shared" si="71"/>
        <v>-9.5724455572269163E-3</v>
      </c>
      <c r="BE120" s="220">
        <f t="shared" si="71"/>
        <v>5.9273801312321961E-2</v>
      </c>
      <c r="BG120" s="220">
        <f>BG99/BE99-1</f>
        <v>-2.3611231697733492E-2</v>
      </c>
      <c r="BH120" s="739">
        <v>0.01</v>
      </c>
      <c r="BI120" s="739">
        <v>0.01</v>
      </c>
      <c r="BJ120" s="739">
        <v>0.01</v>
      </c>
      <c r="BL120" s="739">
        <v>0.01</v>
      </c>
      <c r="BM120" s="739">
        <v>0.01</v>
      </c>
      <c r="BN120" s="739">
        <v>0.01</v>
      </c>
      <c r="BO120" s="739">
        <v>0.01</v>
      </c>
      <c r="BQ120" s="739">
        <v>0.01</v>
      </c>
      <c r="BR120" s="739">
        <v>0.01</v>
      </c>
      <c r="BS120" s="739">
        <v>0.01</v>
      </c>
      <c r="BT120" s="739">
        <v>0.01</v>
      </c>
    </row>
    <row r="121" spans="1:78">
      <c r="B121" s="717" t="s">
        <v>406</v>
      </c>
      <c r="AR121" s="220">
        <f>AR100/AP100-1</f>
        <v>2.2401069901845982E-2</v>
      </c>
      <c r="AS121" s="220">
        <f t="shared" si="69"/>
        <v>5.6616290205788289E-2</v>
      </c>
      <c r="AT121" s="220">
        <f t="shared" si="69"/>
        <v>5.3741809403380358E-3</v>
      </c>
      <c r="AU121" s="220">
        <f t="shared" si="69"/>
        <v>9.0727584167255015E-2</v>
      </c>
      <c r="AW121" s="220">
        <f>AW100/AU100-1</f>
        <v>2.1591000725746934E-3</v>
      </c>
      <c r="AX121" s="220">
        <f t="shared" si="70"/>
        <v>5.0135683982048374E-2</v>
      </c>
      <c r="AY121" s="220">
        <f t="shared" si="70"/>
        <v>1.2943601374623137E-2</v>
      </c>
      <c r="AZ121" s="220">
        <f t="shared" si="70"/>
        <v>8.0727546421932361E-2</v>
      </c>
      <c r="BB121" s="220">
        <f>BB100/AZ100-1</f>
        <v>-8.6092402345505636E-4</v>
      </c>
      <c r="BC121" s="220">
        <f t="shared" si="71"/>
        <v>9.4835784352358399E-3</v>
      </c>
      <c r="BD121" s="220">
        <f t="shared" si="71"/>
        <v>-5.7824226841682869E-3</v>
      </c>
      <c r="BE121" s="220">
        <f t="shared" si="71"/>
        <v>4.9815990744570104E-2</v>
      </c>
      <c r="BG121" s="220">
        <f>BG100/BE100-1</f>
        <v>-1.9203247248664845E-2</v>
      </c>
      <c r="BH121" s="739">
        <v>5.4999999999999997E-3</v>
      </c>
      <c r="BI121" s="739">
        <v>5.4999999999999997E-3</v>
      </c>
      <c r="BJ121" s="739">
        <v>5.4999999999999997E-3</v>
      </c>
      <c r="BL121" s="739">
        <v>5.4999999999999997E-3</v>
      </c>
      <c r="BM121" s="739">
        <v>5.4999999999999997E-3</v>
      </c>
      <c r="BN121" s="739">
        <v>5.4999999999999997E-3</v>
      </c>
      <c r="BO121" s="739">
        <v>5.4999999999999997E-3</v>
      </c>
      <c r="BQ121" s="739">
        <v>5.4999999999999997E-3</v>
      </c>
      <c r="BR121" s="739">
        <v>5.4999999999999997E-3</v>
      </c>
      <c r="BS121" s="739">
        <v>5.4999999999999997E-3</v>
      </c>
      <c r="BT121" s="739">
        <v>5.4999999999999997E-3</v>
      </c>
    </row>
    <row r="122" spans="1:78">
      <c r="B122" t="s">
        <v>472</v>
      </c>
      <c r="AW122" s="220">
        <f>AW103/AU103-1</f>
        <v>1.5115128412172663E-2</v>
      </c>
      <c r="AX122" s="220">
        <f t="shared" ref="AX122:AZ125" si="72">AX103/AW103-1</f>
        <v>4.3567439767805194E-2</v>
      </c>
      <c r="AY122" s="220">
        <f t="shared" si="72"/>
        <v>4.5961318719716315E-2</v>
      </c>
      <c r="AZ122" s="220">
        <f t="shared" si="72"/>
        <v>0.1309697320743024</v>
      </c>
      <c r="BB122" s="220">
        <f>BB103/AZ103-1</f>
        <v>-1.5725382861798143E-2</v>
      </c>
      <c r="BC122" s="220">
        <f t="shared" ref="BC122:BE125" si="73">BC103/BB103-1</f>
        <v>8.1837378009304018E-3</v>
      </c>
      <c r="BD122" s="220">
        <f t="shared" si="73"/>
        <v>-9.8876803679491809E-3</v>
      </c>
      <c r="BE122" s="220">
        <f t="shared" si="73"/>
        <v>6.5418464820830913E-2</v>
      </c>
      <c r="BG122" s="220">
        <f>BG103/BE103-1</f>
        <v>-2.3959903741672672E-2</v>
      </c>
      <c r="BH122" s="220">
        <f t="shared" ref="BH122:BJ125" si="74">BH103/BG103-1</f>
        <v>-1</v>
      </c>
      <c r="BI122" s="220" t="e">
        <f t="shared" si="74"/>
        <v>#DIV/0!</v>
      </c>
      <c r="BJ122" s="220" t="e">
        <f t="shared" si="74"/>
        <v>#DIV/0!</v>
      </c>
      <c r="BL122" s="220" t="e">
        <f>BL103/BJ103-1</f>
        <v>#DIV/0!</v>
      </c>
      <c r="BM122" s="220" t="e">
        <f t="shared" ref="BM122:BO125" si="75">BM103/BL103-1</f>
        <v>#DIV/0!</v>
      </c>
      <c r="BN122" s="220" t="e">
        <f t="shared" si="75"/>
        <v>#DIV/0!</v>
      </c>
      <c r="BO122" s="220" t="e">
        <f t="shared" si="75"/>
        <v>#DIV/0!</v>
      </c>
      <c r="BQ122" s="220" t="e">
        <f>BQ103/BO103-1</f>
        <v>#DIV/0!</v>
      </c>
      <c r="BR122" s="220" t="e">
        <f t="shared" ref="BR122:BR125" si="76">BR103/BQ103-1</f>
        <v>#DIV/0!</v>
      </c>
      <c r="BS122" s="220" t="e">
        <f t="shared" ref="BS122:BS125" si="77">BS103/BR103-1</f>
        <v>#DIV/0!</v>
      </c>
      <c r="BT122" s="220" t="e">
        <f t="shared" ref="BT122:BT125" si="78">BT103/BS103-1</f>
        <v>#DIV/0!</v>
      </c>
    </row>
    <row r="123" spans="1:78">
      <c r="B123" t="s">
        <v>454</v>
      </c>
      <c r="AW123" s="220">
        <f>AW104/AU104-1</f>
        <v>6.5791950210594141E-3</v>
      </c>
      <c r="AX123" s="220">
        <f t="shared" si="72"/>
        <v>4.6239508019612741E-2</v>
      </c>
      <c r="AY123" s="220">
        <f t="shared" si="72"/>
        <v>8.4019095429488377E-3</v>
      </c>
      <c r="AZ123" s="220">
        <f t="shared" si="72"/>
        <v>9.0585596496306708E-2</v>
      </c>
      <c r="BB123" s="220">
        <f>BB104/AZ104-1</f>
        <v>1.3831533368122706E-3</v>
      </c>
      <c r="BC123" s="220">
        <f t="shared" si="73"/>
        <v>1.0231295068457991E-2</v>
      </c>
      <c r="BD123" s="220">
        <f t="shared" si="73"/>
        <v>-7.07366572244017E-3</v>
      </c>
      <c r="BE123" s="220">
        <f t="shared" si="73"/>
        <v>5.6025339574749644E-2</v>
      </c>
      <c r="BG123" s="220">
        <f>BG104/BE104-1</f>
        <v>-2.0388118137714017E-2</v>
      </c>
      <c r="BH123" s="220">
        <f t="shared" si="74"/>
        <v>-1</v>
      </c>
      <c r="BI123" s="220" t="e">
        <f t="shared" si="74"/>
        <v>#DIV/0!</v>
      </c>
      <c r="BJ123" s="220" t="e">
        <f t="shared" si="74"/>
        <v>#DIV/0!</v>
      </c>
      <c r="BL123" s="220" t="e">
        <f>BL104/BJ104-1</f>
        <v>#DIV/0!</v>
      </c>
      <c r="BM123" s="220" t="e">
        <f t="shared" si="75"/>
        <v>#DIV/0!</v>
      </c>
      <c r="BN123" s="220" t="e">
        <f t="shared" si="75"/>
        <v>#DIV/0!</v>
      </c>
      <c r="BO123" s="220" t="e">
        <f t="shared" si="75"/>
        <v>#DIV/0!</v>
      </c>
      <c r="BQ123" s="220" t="e">
        <f>BQ104/BO104-1</f>
        <v>#DIV/0!</v>
      </c>
      <c r="BR123" s="220" t="e">
        <f t="shared" si="76"/>
        <v>#DIV/0!</v>
      </c>
      <c r="BS123" s="220" t="e">
        <f t="shared" si="77"/>
        <v>#DIV/0!</v>
      </c>
      <c r="BT123" s="220" t="e">
        <f t="shared" si="78"/>
        <v>#DIV/0!</v>
      </c>
    </row>
    <row r="124" spans="1:78">
      <c r="B124" t="s">
        <v>473</v>
      </c>
      <c r="AX124" s="220">
        <f t="shared" si="72"/>
        <v>0.17803873289455008</v>
      </c>
      <c r="AY124" s="220">
        <f t="shared" si="72"/>
        <v>0.16290847702881939</v>
      </c>
      <c r="AZ124" s="220">
        <f t="shared" si="72"/>
        <v>-0.10925618692105621</v>
      </c>
      <c r="BB124" s="220">
        <f>BB105/AZ105-1</f>
        <v>-4.0937487873966893E-2</v>
      </c>
      <c r="BC124" s="220">
        <f t="shared" si="73"/>
        <v>-6.3197928467389586E-2</v>
      </c>
      <c r="BD124" s="220">
        <f t="shared" si="73"/>
        <v>1.7707523538050829E-3</v>
      </c>
      <c r="BE124" s="220">
        <f t="shared" si="73"/>
        <v>-0.15925846087518869</v>
      </c>
      <c r="BG124" s="220">
        <f>BG105/BE105-1</f>
        <v>-7.8970309214909662E-3</v>
      </c>
      <c r="BH124" s="220">
        <f t="shared" si="74"/>
        <v>-1</v>
      </c>
      <c r="BI124" s="220" t="e">
        <f t="shared" si="74"/>
        <v>#DIV/0!</v>
      </c>
      <c r="BJ124" s="220" t="e">
        <f t="shared" si="74"/>
        <v>#DIV/0!</v>
      </c>
      <c r="BL124" s="220" t="e">
        <f>BL105/BJ105-1</f>
        <v>#DIV/0!</v>
      </c>
      <c r="BM124" s="220" t="e">
        <f t="shared" si="75"/>
        <v>#DIV/0!</v>
      </c>
      <c r="BN124" s="220" t="e">
        <f t="shared" si="75"/>
        <v>#DIV/0!</v>
      </c>
      <c r="BO124" s="220" t="e">
        <f t="shared" si="75"/>
        <v>#DIV/0!</v>
      </c>
      <c r="BQ124" s="220" t="e">
        <f>BQ105/BO105-1</f>
        <v>#DIV/0!</v>
      </c>
      <c r="BR124" s="220" t="e">
        <f t="shared" si="76"/>
        <v>#DIV/0!</v>
      </c>
      <c r="BS124" s="220" t="e">
        <f t="shared" si="77"/>
        <v>#DIV/0!</v>
      </c>
      <c r="BT124" s="220" t="e">
        <f t="shared" si="78"/>
        <v>#DIV/0!</v>
      </c>
    </row>
    <row r="125" spans="1:78">
      <c r="B125" t="s">
        <v>455</v>
      </c>
      <c r="AX125" s="220">
        <f t="shared" si="72"/>
        <v>0.16889367361155072</v>
      </c>
      <c r="AY125" s="220">
        <f t="shared" si="72"/>
        <v>0.13685122981904874</v>
      </c>
      <c r="AZ125" s="220">
        <f t="shared" si="72"/>
        <v>-0.15783454060236357</v>
      </c>
      <c r="BB125" s="220">
        <f>BB106/AZ106-1</f>
        <v>-7.1186057039384298E-2</v>
      </c>
      <c r="BC125" s="220">
        <f t="shared" si="73"/>
        <v>-1.577921286706474E-2</v>
      </c>
      <c r="BD125" s="220">
        <f t="shared" si="73"/>
        <v>3.8997214484679521E-2</v>
      </c>
      <c r="BE125" s="220">
        <f t="shared" si="73"/>
        <v>-0.15597259457849277</v>
      </c>
      <c r="BG125" s="220">
        <f>BG106/BE106-1</f>
        <v>2.9928707559822021E-2</v>
      </c>
      <c r="BH125" s="220">
        <f t="shared" si="74"/>
        <v>-1</v>
      </c>
      <c r="BI125" s="220" t="e">
        <f t="shared" si="74"/>
        <v>#DIV/0!</v>
      </c>
      <c r="BJ125" s="220" t="e">
        <f t="shared" si="74"/>
        <v>#DIV/0!</v>
      </c>
      <c r="BL125" s="220" t="e">
        <f>BL106/BJ106-1</f>
        <v>#DIV/0!</v>
      </c>
      <c r="BM125" s="220" t="e">
        <f t="shared" si="75"/>
        <v>#DIV/0!</v>
      </c>
      <c r="BN125" s="220" t="e">
        <f t="shared" si="75"/>
        <v>#DIV/0!</v>
      </c>
      <c r="BO125" s="220" t="e">
        <f t="shared" si="75"/>
        <v>#DIV/0!</v>
      </c>
      <c r="BQ125" s="220" t="e">
        <f>BQ106/BO106-1</f>
        <v>#DIV/0!</v>
      </c>
      <c r="BR125" s="220" t="e">
        <f t="shared" si="76"/>
        <v>#DIV/0!</v>
      </c>
      <c r="BS125" s="220" t="e">
        <f t="shared" si="77"/>
        <v>#DIV/0!</v>
      </c>
      <c r="BT125" s="220" t="e">
        <f t="shared" si="78"/>
        <v>#DIV/0!</v>
      </c>
    </row>
    <row r="126" spans="1:78">
      <c r="B126" s="717"/>
    </row>
    <row r="127" spans="1:78">
      <c r="B127" s="719" t="s">
        <v>411</v>
      </c>
      <c r="AM127" s="720">
        <f>+AM99-AK99</f>
        <v>393.25600000000003</v>
      </c>
      <c r="AN127" s="720">
        <f t="shared" ref="AN127:AP128" si="79">+AN99-AM99</f>
        <v>36.001999999999953</v>
      </c>
      <c r="AO127" s="720">
        <f t="shared" si="79"/>
        <v>35.604000000000042</v>
      </c>
      <c r="AP127" s="720">
        <f t="shared" si="79"/>
        <v>84.619999999999948</v>
      </c>
      <c r="AR127" s="749">
        <f>+AR99-AP99</f>
        <v>8.4930000000000518</v>
      </c>
      <c r="AS127" s="749">
        <f t="shared" ref="AS127:AU128" si="80">+AS99-AR99</f>
        <v>45.468999999999937</v>
      </c>
      <c r="AT127" s="749">
        <f t="shared" si="80"/>
        <v>13.275000000000091</v>
      </c>
      <c r="AU127" s="749">
        <f t="shared" si="80"/>
        <v>75.764999999999986</v>
      </c>
      <c r="AV127" s="750"/>
      <c r="AW127" s="749">
        <f>+AW99-AU99</f>
        <v>8.7529999999999291</v>
      </c>
      <c r="AX127" s="749">
        <f t="shared" ref="AX127:AZ128" si="81">+AX99-AW99</f>
        <v>33.390999999999963</v>
      </c>
      <c r="AY127" s="749">
        <f t="shared" si="81"/>
        <v>36.674000000000092</v>
      </c>
      <c r="AZ127" s="749">
        <f t="shared" si="81"/>
        <v>94.067000000000007</v>
      </c>
      <c r="BA127" s="750"/>
      <c r="BB127" s="749">
        <f>+BB99-AZ99</f>
        <v>-14.258000000000038</v>
      </c>
      <c r="BC127" s="749">
        <f t="shared" ref="BC127:BE128" si="82">+BC99-BB99</f>
        <v>5.2010000000001355</v>
      </c>
      <c r="BD127" s="749">
        <f t="shared" si="82"/>
        <v>-8.1970000000001164</v>
      </c>
      <c r="BE127" s="749">
        <f t="shared" si="82"/>
        <v>50.270999999999958</v>
      </c>
      <c r="BF127" s="750"/>
      <c r="BG127" s="749">
        <f>+BG99-BE99</f>
        <v>-21.211999999999989</v>
      </c>
      <c r="BH127" s="749">
        <f t="shared" ref="BH127:BJ128" si="83">+BH99-BG99</f>
        <v>8.7717400000000225</v>
      </c>
      <c r="BI127" s="749">
        <f t="shared" si="83"/>
        <v>8.8594573999999966</v>
      </c>
      <c r="BJ127" s="749">
        <f t="shared" si="83"/>
        <v>8.9480519740000091</v>
      </c>
      <c r="BK127" s="751"/>
      <c r="BL127" s="752">
        <f>+BL99-BJ99</f>
        <v>9.0375324937400592</v>
      </c>
      <c r="BM127" s="752">
        <f t="shared" ref="BM127:BO128" si="84">+BM99-BL99</f>
        <v>9.1279078186773859</v>
      </c>
      <c r="BN127" s="752">
        <f t="shared" si="84"/>
        <v>9.2191868968641302</v>
      </c>
      <c r="BO127" s="752">
        <f t="shared" si="84"/>
        <v>9.311378765832842</v>
      </c>
      <c r="BP127" s="751"/>
      <c r="BQ127" s="752">
        <f>+BQ99-BO99</f>
        <v>9.4044925534911954</v>
      </c>
      <c r="BR127" s="752">
        <f t="shared" ref="BR127:BR128" si="85">+BR99-BQ99</f>
        <v>9.4985374790260266</v>
      </c>
      <c r="BS127" s="752">
        <f t="shared" ref="BS127:BS128" si="86">+BS99-BR99</f>
        <v>9.5935228538163528</v>
      </c>
      <c r="BT127" s="752">
        <f t="shared" ref="BT127:BT128" si="87">+BT99-BS99</f>
        <v>9.6894580823544629</v>
      </c>
      <c r="BU127" s="751"/>
    </row>
    <row r="128" spans="1:78">
      <c r="B128" s="115" t="s">
        <v>412</v>
      </c>
      <c r="AM128" s="720">
        <f>+AM100-AK100</f>
        <v>309.92</v>
      </c>
      <c r="AN128" s="720">
        <f t="shared" si="79"/>
        <v>24.632999999999981</v>
      </c>
      <c r="AO128" s="720">
        <f t="shared" si="79"/>
        <v>24.581000000000017</v>
      </c>
      <c r="AP128" s="720">
        <f t="shared" si="79"/>
        <v>59.596000000000004</v>
      </c>
      <c r="AR128" s="749">
        <f>+AR100-AP100</f>
        <v>9.3799999999999955</v>
      </c>
      <c r="AS128" s="749">
        <f t="shared" si="80"/>
        <v>24.238</v>
      </c>
      <c r="AT128" s="749">
        <f t="shared" si="80"/>
        <v>2.4309999999999832</v>
      </c>
      <c r="AU128" s="749">
        <f t="shared" si="80"/>
        <v>41.261000000000024</v>
      </c>
      <c r="AV128" s="750"/>
      <c r="AW128" s="749">
        <f>+AW100-AU100</f>
        <v>1.0709999999999695</v>
      </c>
      <c r="AX128" s="749">
        <f t="shared" si="81"/>
        <v>24.923000000000002</v>
      </c>
      <c r="AY128" s="749">
        <f t="shared" si="81"/>
        <v>6.7570000000000618</v>
      </c>
      <c r="AZ128" s="749">
        <f t="shared" si="81"/>
        <v>42.687999999999988</v>
      </c>
      <c r="BA128" s="750"/>
      <c r="BB128" s="749">
        <f>+BB100-AZ100</f>
        <v>-0.49200000000007549</v>
      </c>
      <c r="BC128" s="749">
        <f t="shared" si="82"/>
        <v>5.4149999999999636</v>
      </c>
      <c r="BD128" s="749">
        <f t="shared" si="82"/>
        <v>-3.33299999999997</v>
      </c>
      <c r="BE128" s="749">
        <f t="shared" si="82"/>
        <v>28.548000000000002</v>
      </c>
      <c r="BF128" s="750"/>
      <c r="BG128" s="749">
        <f>+BG100-BE100</f>
        <v>-11.552999999999997</v>
      </c>
      <c r="BH128" s="749">
        <f t="shared" si="83"/>
        <v>3.2453520000000253</v>
      </c>
      <c r="BI128" s="749">
        <f t="shared" si="83"/>
        <v>3.2632014360000312</v>
      </c>
      <c r="BJ128" s="749">
        <f t="shared" si="83"/>
        <v>3.28114904389804</v>
      </c>
      <c r="BK128" s="751"/>
      <c r="BL128" s="752">
        <f>+BL100-BJ100</f>
        <v>3.2991953636394555</v>
      </c>
      <c r="BM128" s="752">
        <f t="shared" si="84"/>
        <v>3.3173409381395231</v>
      </c>
      <c r="BN128" s="752">
        <f t="shared" si="84"/>
        <v>3.3355863132992454</v>
      </c>
      <c r="BO128" s="752">
        <f t="shared" si="84"/>
        <v>3.3539320380224353</v>
      </c>
      <c r="BP128" s="751"/>
      <c r="BQ128" s="752">
        <f>+BQ100-BO100</f>
        <v>3.372378664231519</v>
      </c>
      <c r="BR128" s="752">
        <f t="shared" si="85"/>
        <v>3.3909267468848157</v>
      </c>
      <c r="BS128" s="752">
        <f t="shared" si="86"/>
        <v>3.4095768439926815</v>
      </c>
      <c r="BT128" s="752">
        <f t="shared" si="87"/>
        <v>3.4283295166346761</v>
      </c>
      <c r="BU128" s="751"/>
    </row>
    <row r="129" spans="2:73">
      <c r="BF129" s="220"/>
      <c r="BK129" s="220"/>
      <c r="BP129" s="220"/>
      <c r="BU129" s="220"/>
    </row>
    <row r="130" spans="2:73">
      <c r="BF130" s="220"/>
      <c r="BK130" s="220"/>
      <c r="BP130" s="220"/>
      <c r="BU130" s="220"/>
    </row>
    <row r="131" spans="2:73">
      <c r="BF131" s="220"/>
      <c r="BK131" s="220"/>
      <c r="BP131" s="220"/>
      <c r="BU131" s="220"/>
    </row>
    <row r="132" spans="2:73">
      <c r="BF132" s="220"/>
      <c r="BK132" s="220"/>
      <c r="BP132" s="220"/>
      <c r="BU132" s="220"/>
    </row>
    <row r="133" spans="2:73">
      <c r="B133" s="115" t="s">
        <v>413</v>
      </c>
      <c r="AM133" s="127">
        <f>+AK99</f>
        <v>0</v>
      </c>
      <c r="AN133" s="127">
        <f>+AM99</f>
        <v>393.25600000000003</v>
      </c>
      <c r="AO133" s="127">
        <f>+AN99</f>
        <v>429.25799999999998</v>
      </c>
      <c r="AP133" s="127">
        <f>+AO99</f>
        <v>464.86200000000002</v>
      </c>
      <c r="AR133" s="127">
        <f>+AP99</f>
        <v>549.48199999999997</v>
      </c>
      <c r="AS133" s="127">
        <f>+AR99</f>
        <v>557.97500000000002</v>
      </c>
      <c r="AT133" s="127">
        <f>+AS99</f>
        <v>603.44399999999996</v>
      </c>
      <c r="AU133" s="127">
        <f>+AT99</f>
        <v>616.71900000000005</v>
      </c>
      <c r="AW133" s="127">
        <f>+AU99</f>
        <v>692.48400000000004</v>
      </c>
      <c r="AX133" s="127">
        <f>+AW99</f>
        <v>701.23699999999997</v>
      </c>
      <c r="AY133" s="127">
        <f>+AX99</f>
        <v>734.62799999999993</v>
      </c>
      <c r="AZ133" s="127">
        <f>+AY99</f>
        <v>771.30200000000002</v>
      </c>
      <c r="BB133" s="127">
        <f>+AZ99</f>
        <v>865.36900000000003</v>
      </c>
      <c r="BC133" s="127">
        <f>+BB99</f>
        <v>851.11099999999999</v>
      </c>
      <c r="BD133" s="127">
        <f>+BC99</f>
        <v>856.31200000000013</v>
      </c>
      <c r="BE133" s="127">
        <f>+BD99</f>
        <v>848.11500000000001</v>
      </c>
      <c r="BF133" s="220"/>
      <c r="BG133" s="127">
        <f>+BE99</f>
        <v>898.38599999999997</v>
      </c>
      <c r="BH133" s="127">
        <f>+BG99</f>
        <v>877.17399999999998</v>
      </c>
      <c r="BI133" s="127">
        <f>+BH99</f>
        <v>885.94574</v>
      </c>
      <c r="BJ133" s="127">
        <f>+BI99</f>
        <v>894.8051974</v>
      </c>
      <c r="BK133" s="220"/>
      <c r="BL133" s="127">
        <f>+BJ99</f>
        <v>903.75324937400001</v>
      </c>
      <c r="BM133" s="127">
        <f>+BL99</f>
        <v>912.79078186774007</v>
      </c>
      <c r="BN133" s="127">
        <f>+BM99</f>
        <v>921.91868968641745</v>
      </c>
      <c r="BO133" s="127">
        <f>+BN99</f>
        <v>931.13787658328158</v>
      </c>
      <c r="BP133" s="220"/>
      <c r="BQ133" s="127">
        <f>+BO99</f>
        <v>940.44925534911442</v>
      </c>
      <c r="BR133" s="127">
        <f>+BQ99</f>
        <v>949.85374790260562</v>
      </c>
      <c r="BS133" s="127">
        <f>+BR99</f>
        <v>959.35228538163165</v>
      </c>
      <c r="BT133" s="127">
        <f>+BS99</f>
        <v>968.945808235448</v>
      </c>
      <c r="BU133" s="220"/>
    </row>
    <row r="134" spans="2:73">
      <c r="B134" s="721" t="s">
        <v>414</v>
      </c>
      <c r="AM134" s="723">
        <f>AM21/1000</f>
        <v>117.45099999999999</v>
      </c>
      <c r="AN134" s="723">
        <f>AN21/1000</f>
        <v>126.42100000000001</v>
      </c>
      <c r="AO134" s="723">
        <f>AO21/1000</f>
        <v>139.89400000000001</v>
      </c>
      <c r="AP134" s="723">
        <f>AP21/1000</f>
        <v>151.63800000000001</v>
      </c>
      <c r="AR134" s="723">
        <f>AR21/1000</f>
        <v>157.38399999999999</v>
      </c>
      <c r="AS134" s="723">
        <f>AS21/1000</f>
        <v>167.45500000000001</v>
      </c>
      <c r="AT134" s="723">
        <f>AT21/1000</f>
        <v>175.76499999999999</v>
      </c>
      <c r="AU134" s="723">
        <f>AU21/1000</f>
        <v>184.47900000000001</v>
      </c>
      <c r="AW134" s="723">
        <f>AW21/1000</f>
        <v>183.17400000000001</v>
      </c>
      <c r="AX134" s="723">
        <f>AX21/1000</f>
        <v>190.422</v>
      </c>
      <c r="AY134" s="723">
        <f>AY21/1000</f>
        <v>198.84299999999999</v>
      </c>
      <c r="AZ134" s="723">
        <f>AZ21/1000</f>
        <v>205.268</v>
      </c>
      <c r="BB134" s="723">
        <f>BB21/1000</f>
        <v>205.101</v>
      </c>
      <c r="BC134" s="723">
        <f>BC21/1000</f>
        <v>207.99100000000001</v>
      </c>
      <c r="BD134" s="723">
        <f>BD21/1000</f>
        <v>214.654</v>
      </c>
      <c r="BE134" s="723">
        <f>BE21/1000</f>
        <v>216.261</v>
      </c>
      <c r="BF134" s="220"/>
      <c r="BG134" s="723">
        <f>BG21/1000</f>
        <v>210.25299999999999</v>
      </c>
      <c r="BH134" s="723">
        <f>BH21/1000</f>
        <v>214.19300000000001</v>
      </c>
      <c r="BI134" s="723">
        <f>BI21/1000</f>
        <v>217.96</v>
      </c>
      <c r="BJ134" s="723">
        <f>BJ21/1000</f>
        <v>217.38800000000001</v>
      </c>
      <c r="BK134" s="220"/>
      <c r="BL134" s="723">
        <f>BL21/1000</f>
        <v>207.96972500000001</v>
      </c>
      <c r="BM134" s="723">
        <f>BM21/1000</f>
        <v>208.93378000000001</v>
      </c>
      <c r="BN134" s="723">
        <f>BN21/1000</f>
        <v>210.2491</v>
      </c>
      <c r="BO134" s="723">
        <f>BO21/1000</f>
        <v>211.72167999999999</v>
      </c>
      <c r="BP134" s="220"/>
      <c r="BQ134" s="723">
        <f>BQ21/1000</f>
        <v>211.5225915</v>
      </c>
      <c r="BR134" s="723">
        <f>BR21/1000</f>
        <v>212.51260920000001</v>
      </c>
      <c r="BS134" s="723">
        <f>BS21/1000</f>
        <v>213.6851844</v>
      </c>
      <c r="BT134" s="723">
        <f>BT21/1000</f>
        <v>215.14519920000001</v>
      </c>
      <c r="BU134" s="220"/>
    </row>
    <row r="135" spans="2:73" ht="17.25">
      <c r="B135" s="722" t="s">
        <v>415</v>
      </c>
      <c r="AM135" s="724">
        <f>AM136-(AM133-AM134)</f>
        <v>510.70699999999999</v>
      </c>
      <c r="AN135" s="724">
        <f>AN136-(AN133-AN134)</f>
        <v>162.42299999999994</v>
      </c>
      <c r="AO135" s="724">
        <f>AO136-(AO133-AO134)</f>
        <v>175.49800000000005</v>
      </c>
      <c r="AP135" s="724">
        <f>AP136-(AP133-AP134)</f>
        <v>236.25799999999992</v>
      </c>
      <c r="AR135" s="724">
        <f>AR136-(AR133-AR134)</f>
        <v>165.87700000000007</v>
      </c>
      <c r="AS135" s="724">
        <f>AS136-(AS133-AS134)</f>
        <v>212.92399999999998</v>
      </c>
      <c r="AT135" s="724">
        <f>AT136-(AT133-AT134)</f>
        <v>189.04000000000008</v>
      </c>
      <c r="AU135" s="724">
        <f>AU136-(AU133-AU134)</f>
        <v>260.24400000000003</v>
      </c>
      <c r="AW135" s="724">
        <f>AW136-(AW133-AW134)</f>
        <v>191.92699999999991</v>
      </c>
      <c r="AX135" s="724">
        <f>AX136-(AX133-AX134)</f>
        <v>223.81299999999999</v>
      </c>
      <c r="AY135" s="724">
        <f>AY136-(AY133-AY134)</f>
        <v>235.51700000000005</v>
      </c>
      <c r="AZ135" s="724">
        <f>AZ136-(AZ133-AZ134)</f>
        <v>299.33500000000004</v>
      </c>
      <c r="BB135" s="724">
        <f>BB136-(BB133-BB134)</f>
        <v>190.84299999999996</v>
      </c>
      <c r="BC135" s="724">
        <f>BC136-(BC133-BC134)</f>
        <v>213.19200000000012</v>
      </c>
      <c r="BD135" s="724">
        <f>BD136-(BD133-BD134)</f>
        <v>206.45699999999988</v>
      </c>
      <c r="BE135" s="724">
        <f>BE136-(BE133-BE134)</f>
        <v>266.53199999999993</v>
      </c>
      <c r="BF135" s="220"/>
      <c r="BG135" s="724">
        <f>BG136-(BG133-BG134)</f>
        <v>189.04099999999994</v>
      </c>
      <c r="BH135" s="724">
        <f>BH136-(BH133-BH134)</f>
        <v>222.96474000000001</v>
      </c>
      <c r="BI135" s="724">
        <f>BI136-(BI133-BI134)</f>
        <v>226.81945740000003</v>
      </c>
      <c r="BJ135" s="724">
        <f>BJ136-(BJ133-BJ134)</f>
        <v>226.33605197400004</v>
      </c>
      <c r="BK135" s="220"/>
      <c r="BL135" s="724">
        <f>BL136-(BL133-BL134)</f>
        <v>217.0072574937401</v>
      </c>
      <c r="BM135" s="724">
        <f>BM136-(BM133-BM134)</f>
        <v>218.06168781867734</v>
      </c>
      <c r="BN135" s="724">
        <f>BN136-(BN133-BN134)</f>
        <v>219.46828689686413</v>
      </c>
      <c r="BO135" s="724">
        <f>BO136-(BO133-BO134)</f>
        <v>221.03305876583283</v>
      </c>
      <c r="BP135" s="220"/>
      <c r="BQ135" s="724">
        <f>BQ136-(BQ133-BQ134)</f>
        <v>220.92708405349117</v>
      </c>
      <c r="BR135" s="724">
        <f>BR136-(BR133-BR134)</f>
        <v>222.01114667902607</v>
      </c>
      <c r="BS135" s="724">
        <f>BS136-(BS133-BS134)</f>
        <v>223.27870725381638</v>
      </c>
      <c r="BT135" s="724">
        <f>BT136-(BT133-BT134)</f>
        <v>224.83465728235444</v>
      </c>
      <c r="BU135" s="220"/>
    </row>
    <row r="136" spans="2:73">
      <c r="B136" s="115" t="s">
        <v>416</v>
      </c>
      <c r="AM136" s="127">
        <f>+AM99</f>
        <v>393.25600000000003</v>
      </c>
      <c r="AN136" s="127">
        <f>+AN99</f>
        <v>429.25799999999998</v>
      </c>
      <c r="AO136" s="127">
        <f>+AO99</f>
        <v>464.86200000000002</v>
      </c>
      <c r="AP136" s="127">
        <f>+AP99</f>
        <v>549.48199999999997</v>
      </c>
      <c r="AR136" s="127">
        <f>+AR99</f>
        <v>557.97500000000002</v>
      </c>
      <c r="AS136" s="127">
        <f>+AS99</f>
        <v>603.44399999999996</v>
      </c>
      <c r="AT136" s="127">
        <f>+AT99</f>
        <v>616.71900000000005</v>
      </c>
      <c r="AU136" s="127">
        <f>+AU99</f>
        <v>692.48400000000004</v>
      </c>
      <c r="AW136" s="127">
        <f>+AW99</f>
        <v>701.23699999999997</v>
      </c>
      <c r="AX136" s="127">
        <f>+AX99</f>
        <v>734.62799999999993</v>
      </c>
      <c r="AY136" s="127">
        <f>+AY99</f>
        <v>771.30200000000002</v>
      </c>
      <c r="AZ136" s="127">
        <f>+AZ99</f>
        <v>865.36900000000003</v>
      </c>
      <c r="BB136" s="127">
        <f>+BB99</f>
        <v>851.11099999999999</v>
      </c>
      <c r="BC136" s="127">
        <f>+BC99</f>
        <v>856.31200000000013</v>
      </c>
      <c r="BD136" s="127">
        <f>+BD99</f>
        <v>848.11500000000001</v>
      </c>
      <c r="BE136" s="127">
        <f>+BE99</f>
        <v>898.38599999999997</v>
      </c>
      <c r="BF136" s="220"/>
      <c r="BG136" s="127">
        <f>+BG99</f>
        <v>877.17399999999998</v>
      </c>
      <c r="BH136" s="127">
        <f>+BH99</f>
        <v>885.94574</v>
      </c>
      <c r="BI136" s="127">
        <f>+BI99</f>
        <v>894.8051974</v>
      </c>
      <c r="BJ136" s="127">
        <f>+BJ99</f>
        <v>903.75324937400001</v>
      </c>
      <c r="BK136" s="220"/>
      <c r="BL136" s="127">
        <f>+BL99</f>
        <v>912.79078186774007</v>
      </c>
      <c r="BM136" s="127">
        <f>+BM99</f>
        <v>921.91868968641745</v>
      </c>
      <c r="BN136" s="127">
        <f>+BN99</f>
        <v>931.13787658328158</v>
      </c>
      <c r="BO136" s="127">
        <f>+BO99</f>
        <v>940.44925534911442</v>
      </c>
      <c r="BP136" s="220"/>
      <c r="BQ136" s="127">
        <f>+BQ99</f>
        <v>949.85374790260562</v>
      </c>
      <c r="BR136" s="127">
        <f>+BR99</f>
        <v>959.35228538163165</v>
      </c>
      <c r="BS136" s="127">
        <f>+BS99</f>
        <v>968.945808235448</v>
      </c>
      <c r="BT136" s="127">
        <f>+BT99</f>
        <v>978.63526631780246</v>
      </c>
      <c r="BU136" s="220"/>
    </row>
    <row r="137" spans="2:73">
      <c r="BF137" s="220"/>
      <c r="BK137" s="220"/>
      <c r="BP137" s="220"/>
      <c r="BU137" s="220"/>
    </row>
    <row r="138" spans="2:73">
      <c r="B138" s="115" t="s">
        <v>417</v>
      </c>
      <c r="AM138" s="715" t="e">
        <f>+AM135/AH135-1</f>
        <v>#DIV/0!</v>
      </c>
      <c r="AN138" s="715" t="e">
        <f>+AN135/AI135-1</f>
        <v>#DIV/0!</v>
      </c>
      <c r="AO138" s="715" t="e">
        <f>+AO135/AJ135-1</f>
        <v>#DIV/0!</v>
      </c>
      <c r="AP138" s="715" t="e">
        <f>+AP135/AK135-1</f>
        <v>#DIV/0!</v>
      </c>
      <c r="AR138" s="715">
        <f>+AR135/AM135-1</f>
        <v>-0.67520124063308296</v>
      </c>
      <c r="AS138" s="715">
        <f>+AS135/AN135-1</f>
        <v>0.31092271414762718</v>
      </c>
      <c r="AT138" s="715">
        <f>+AT135/AO135-1</f>
        <v>7.7163272515926362E-2</v>
      </c>
      <c r="AU138" s="715">
        <f>+AU135/AP135-1</f>
        <v>0.10152460445783884</v>
      </c>
      <c r="AW138" s="715">
        <f>+AW135/AR135-1</f>
        <v>0.15704407482652716</v>
      </c>
      <c r="AX138" s="715">
        <f>+AX135/AS135-1</f>
        <v>5.1140312975521907E-2</v>
      </c>
      <c r="AY138" s="715">
        <f>+AY135/AT135-1</f>
        <v>0.24585801946677921</v>
      </c>
      <c r="AZ138" s="715">
        <f>+AZ135/AU135-1</f>
        <v>0.15020903459830004</v>
      </c>
      <c r="BB138" s="715">
        <f>+BB135/AW135-1</f>
        <v>-5.6479807426779161E-3</v>
      </c>
      <c r="BC138" s="715">
        <f>+BC135/AX135-1</f>
        <v>-4.745479485105808E-2</v>
      </c>
      <c r="BD138" s="715">
        <f>+BD135/AY135-1</f>
        <v>-0.12338812060275972</v>
      </c>
      <c r="BE138" s="715">
        <f>+BE135/AZ135-1</f>
        <v>-0.10958624951976914</v>
      </c>
      <c r="BF138" s="220"/>
      <c r="BG138" s="715">
        <f>+BG135/BB135-1</f>
        <v>-9.4423164590790032E-3</v>
      </c>
      <c r="BH138" s="715">
        <f>+BH135/BC135-1</f>
        <v>4.5840087808172392E-2</v>
      </c>
      <c r="BI138" s="715">
        <f>+BI135/BD135-1</f>
        <v>9.8628079454802453E-2</v>
      </c>
      <c r="BJ138" s="715">
        <f>+BJ135/BE135-1</f>
        <v>-0.15081096463464005</v>
      </c>
      <c r="BK138" s="220"/>
      <c r="BL138" s="715">
        <f>+BL135/BG135-1</f>
        <v>0.14793752410186234</v>
      </c>
      <c r="BM138" s="715">
        <f>+BM135/BH135-1</f>
        <v>-2.1990258106831861E-2</v>
      </c>
      <c r="BN138" s="715">
        <f>+BN135/BI135-1</f>
        <v>-3.2409787887694219E-2</v>
      </c>
      <c r="BO138" s="715">
        <f>+BO135/BJ135-1</f>
        <v>-2.3429732744372433E-2</v>
      </c>
      <c r="BP138" s="220"/>
      <c r="BQ138" s="715">
        <f>+BQ135/BL135-1</f>
        <v>1.8063112750338117E-2</v>
      </c>
      <c r="BR138" s="715">
        <f>+BR135/BM135-1</f>
        <v>1.8111658677212317E-2</v>
      </c>
      <c r="BS138" s="715">
        <f>+BS135/BN135-1</f>
        <v>1.7362054494656443E-2</v>
      </c>
      <c r="BT138" s="715">
        <f>+BT135/BO135-1</f>
        <v>1.7199230457870529E-2</v>
      </c>
      <c r="BU138" s="220"/>
    </row>
    <row r="139" spans="2:73">
      <c r="B139" s="115" t="s">
        <v>418</v>
      </c>
      <c r="AM139" s="725" t="e">
        <f>+AM135/AK135-1</f>
        <v>#DIV/0!</v>
      </c>
      <c r="AN139" s="725">
        <f>+AN135/AM135-1</f>
        <v>-0.68196441403779473</v>
      </c>
      <c r="AO139" s="725">
        <f>+AO135/AN135-1</f>
        <v>8.049968292667975E-2</v>
      </c>
      <c r="AP139" s="725">
        <f>+AP135/AO135-1</f>
        <v>0.34621477167830883</v>
      </c>
      <c r="AR139" s="725">
        <f>+AR135/AP135-1</f>
        <v>-0.29789890712695388</v>
      </c>
      <c r="AS139" s="725">
        <f>+AS135/AR135-1</f>
        <v>0.28362581913104234</v>
      </c>
      <c r="AT139" s="725">
        <f>+AT135/AS135-1</f>
        <v>-0.11217147902537949</v>
      </c>
      <c r="AU139" s="725">
        <f>+AU135/AT135-1</f>
        <v>0.37666102412187863</v>
      </c>
      <c r="AW139" s="725">
        <f>+AW135/AU135-1</f>
        <v>-0.26251133551590089</v>
      </c>
      <c r="AX139" s="725">
        <f>+AX135/AW135-1</f>
        <v>0.16613608298988725</v>
      </c>
      <c r="AY139" s="725">
        <f>+AY135/AX135-1</f>
        <v>5.2293655864494415E-2</v>
      </c>
      <c r="AZ139" s="725">
        <f>+AZ135/AY135-1</f>
        <v>0.27096982383437274</v>
      </c>
      <c r="BB139" s="725">
        <f>+BB135/AZ135-1</f>
        <v>-0.36244341623933074</v>
      </c>
      <c r="BC139" s="725">
        <f>+BC135/BB135-1</f>
        <v>0.11710673171140762</v>
      </c>
      <c r="BD139" s="725">
        <f>+BD135/BC135-1</f>
        <v>-3.1591241697625838E-2</v>
      </c>
      <c r="BE139" s="725">
        <f>+BE135/BD135-1</f>
        <v>0.29098068847266045</v>
      </c>
      <c r="BF139" s="220"/>
      <c r="BG139" s="725">
        <f>+BG135/BE135-1</f>
        <v>-0.29073807272672703</v>
      </c>
      <c r="BH139" s="725">
        <f>+BH135/BG135-1</f>
        <v>0.17945175914219713</v>
      </c>
      <c r="BI139" s="725">
        <f>+BI135/BH135-1</f>
        <v>1.7288461843787628E-2</v>
      </c>
      <c r="BJ139" s="725">
        <f>+BJ135/BI135-1</f>
        <v>-2.1312343814821055E-3</v>
      </c>
      <c r="BK139" s="220"/>
      <c r="BL139" s="725">
        <f>+BL135/BJ135-1</f>
        <v>-4.1216564479668372E-2</v>
      </c>
      <c r="BM139" s="725">
        <f>+BM135/BL135-1</f>
        <v>4.858963414934081E-3</v>
      </c>
      <c r="BN139" s="725">
        <f>+BN135/BM135-1</f>
        <v>6.4504640510552047E-3</v>
      </c>
      <c r="BO139" s="725">
        <f>+BO135/BN135-1</f>
        <v>7.1298313350578457E-3</v>
      </c>
      <c r="BP139" s="220"/>
      <c r="BQ139" s="725">
        <f>+BQ135/BO135-1</f>
        <v>-4.7945186540598872E-4</v>
      </c>
      <c r="BR139" s="725">
        <f>+BR135/BQ135-1</f>
        <v>4.9068797072993053E-3</v>
      </c>
      <c r="BS139" s="725">
        <f>+BS135/BR135-1</f>
        <v>5.7094456460913268E-3</v>
      </c>
      <c r="BT139" s="725">
        <f>+BT135/BS135-1</f>
        <v>6.9686449177139842E-3</v>
      </c>
      <c r="BU139" s="220"/>
    </row>
    <row r="140" spans="2:73">
      <c r="BF140" s="220"/>
      <c r="BK140" s="220"/>
      <c r="BP140" s="220"/>
      <c r="BU140" s="220"/>
    </row>
    <row r="141" spans="2:73">
      <c r="BF141" s="220"/>
      <c r="BK141" s="220"/>
      <c r="BP141" s="220"/>
      <c r="BU141" s="220"/>
    </row>
    <row r="142" spans="2:73">
      <c r="BF142" s="220"/>
      <c r="BK142" s="220"/>
      <c r="BP142" s="220"/>
      <c r="BU142" s="220"/>
    </row>
    <row r="143" spans="2:73">
      <c r="BF143" s="220"/>
      <c r="BK143" s="220"/>
      <c r="BP143" s="220"/>
      <c r="BU143" s="220"/>
    </row>
    <row r="144" spans="2:73">
      <c r="B144" s="115" t="s">
        <v>4</v>
      </c>
      <c r="AM144" s="726">
        <f>AM21/1000</f>
        <v>117.45099999999999</v>
      </c>
      <c r="AN144" s="726">
        <f>AN21/1000</f>
        <v>126.42100000000001</v>
      </c>
      <c r="AO144" s="726">
        <f>AO21/1000</f>
        <v>139.89400000000001</v>
      </c>
      <c r="AP144" s="726">
        <f>AP21/1000</f>
        <v>151.63800000000001</v>
      </c>
      <c r="AR144" s="726">
        <f>AR21/1000</f>
        <v>157.38399999999999</v>
      </c>
      <c r="AS144" s="726">
        <f>AS21/1000</f>
        <v>167.45500000000001</v>
      </c>
      <c r="AT144" s="726">
        <f>AT21/1000</f>
        <v>175.76499999999999</v>
      </c>
      <c r="AU144" s="726">
        <f>AU21/1000</f>
        <v>184.47900000000001</v>
      </c>
      <c r="AW144" s="726">
        <f>AW21/1000</f>
        <v>183.17400000000001</v>
      </c>
      <c r="AX144" s="726">
        <f>AX21/1000</f>
        <v>190.422</v>
      </c>
      <c r="AY144" s="726">
        <f>AY21/1000</f>
        <v>198.84299999999999</v>
      </c>
      <c r="AZ144" s="726">
        <f>AZ21/1000</f>
        <v>205.268</v>
      </c>
      <c r="BB144" s="726">
        <f>BB21/1000</f>
        <v>205.101</v>
      </c>
      <c r="BC144" s="726">
        <f>BC21/1000</f>
        <v>207.99100000000001</v>
      </c>
      <c r="BD144" s="726">
        <f>BD21/1000</f>
        <v>214.654</v>
      </c>
      <c r="BE144" s="726">
        <f>BE21/1000</f>
        <v>216.261</v>
      </c>
      <c r="BF144" s="220"/>
      <c r="BG144" s="726">
        <f>BG21/1000</f>
        <v>210.25299999999999</v>
      </c>
      <c r="BH144" s="726">
        <f>BH21/1000</f>
        <v>214.19300000000001</v>
      </c>
      <c r="BI144" s="726">
        <f>BI21/1000</f>
        <v>217.96</v>
      </c>
      <c r="BJ144" s="726">
        <f>BJ21/1000</f>
        <v>217.38800000000001</v>
      </c>
      <c r="BK144" s="220"/>
      <c r="BL144" s="726">
        <f>BL21/1000</f>
        <v>207.96972500000001</v>
      </c>
      <c r="BM144" s="726">
        <f>BM21/1000</f>
        <v>208.93378000000001</v>
      </c>
      <c r="BN144" s="726">
        <f>BN21/1000</f>
        <v>210.2491</v>
      </c>
      <c r="BO144" s="726">
        <f>BO21/1000</f>
        <v>211.72167999999999</v>
      </c>
      <c r="BP144" s="220"/>
      <c r="BQ144" s="726">
        <f>BQ21/1000</f>
        <v>211.5225915</v>
      </c>
      <c r="BR144" s="726">
        <f>BR21/1000</f>
        <v>212.51260920000001</v>
      </c>
      <c r="BS144" s="726">
        <f>BS21/1000</f>
        <v>213.6851844</v>
      </c>
      <c r="BT144" s="726">
        <f>BT21/1000</f>
        <v>215.14519920000001</v>
      </c>
      <c r="BU144" s="220"/>
    </row>
    <row r="145" spans="1:78">
      <c r="B145" s="115" t="s">
        <v>419</v>
      </c>
      <c r="AM145" s="727">
        <f>+AM100-AK100</f>
        <v>309.92</v>
      </c>
      <c r="AN145" s="727">
        <f>+AN100-AM100</f>
        <v>24.632999999999981</v>
      </c>
      <c r="AO145" s="727">
        <f>+AO100-AN100</f>
        <v>24.581000000000017</v>
      </c>
      <c r="AP145" s="727">
        <f>+AP100-AO100</f>
        <v>59.596000000000004</v>
      </c>
      <c r="AR145" s="727">
        <f>+AR100-AP100</f>
        <v>9.3799999999999955</v>
      </c>
      <c r="AS145" s="727">
        <f>+AS100-AR100</f>
        <v>24.238</v>
      </c>
      <c r="AT145" s="727">
        <f>+AT100-AS100</f>
        <v>2.4309999999999832</v>
      </c>
      <c r="AU145" s="727">
        <f>+AU100-AT100</f>
        <v>41.261000000000024</v>
      </c>
      <c r="AW145" s="727">
        <f>+AW100-AU100</f>
        <v>1.0709999999999695</v>
      </c>
      <c r="AX145" s="727">
        <f>+AX100-AW100</f>
        <v>24.923000000000002</v>
      </c>
      <c r="AY145" s="727">
        <f>+AY100-AX100</f>
        <v>6.7570000000000618</v>
      </c>
      <c r="AZ145" s="727">
        <f>+AZ100-AY100</f>
        <v>42.687999999999988</v>
      </c>
      <c r="BB145" s="727">
        <f>+BB100-AZ100</f>
        <v>-0.49200000000007549</v>
      </c>
      <c r="BC145" s="727">
        <f>+BC100-BB100</f>
        <v>5.4149999999999636</v>
      </c>
      <c r="BD145" s="727">
        <f>+BD100-BC100</f>
        <v>-3.33299999999997</v>
      </c>
      <c r="BE145" s="727">
        <f>+BE100-BD100</f>
        <v>28.548000000000002</v>
      </c>
      <c r="BF145" s="220"/>
      <c r="BG145" s="727">
        <f>+BG100-BE100</f>
        <v>-11.552999999999997</v>
      </c>
      <c r="BH145" s="727">
        <f>+BH100-BG100</f>
        <v>3.2453520000000253</v>
      </c>
      <c r="BI145" s="727">
        <f>+BI100-BH100</f>
        <v>3.2632014360000312</v>
      </c>
      <c r="BJ145" s="727">
        <f>+BJ100-BI100</f>
        <v>3.28114904389804</v>
      </c>
      <c r="BK145" s="220"/>
      <c r="BL145" s="727">
        <f>+BL100-BJ100</f>
        <v>3.2991953636394555</v>
      </c>
      <c r="BM145" s="727">
        <f>+BM100-BL100</f>
        <v>3.3173409381395231</v>
      </c>
      <c r="BN145" s="727">
        <f>+BN100-BM100</f>
        <v>3.3355863132992454</v>
      </c>
      <c r="BO145" s="727">
        <f>+BO100-BN100</f>
        <v>3.3539320380224353</v>
      </c>
      <c r="BP145" s="220"/>
      <c r="BQ145" s="727">
        <f>+BQ100-BO100</f>
        <v>3.372378664231519</v>
      </c>
      <c r="BR145" s="727">
        <f>+BR100-BQ100</f>
        <v>3.3909267468848157</v>
      </c>
      <c r="BS145" s="727">
        <f>+BS100-BR100</f>
        <v>3.4095768439926815</v>
      </c>
      <c r="BT145" s="727">
        <f>+BT100-BS100</f>
        <v>3.4283295166346761</v>
      </c>
      <c r="BU145" s="220"/>
    </row>
    <row r="146" spans="1:78" ht="17.25">
      <c r="B146" s="115" t="s">
        <v>420</v>
      </c>
      <c r="AM146" s="724">
        <f>SUM(AM144:AM145)</f>
        <v>427.37099999999998</v>
      </c>
      <c r="AN146" s="724">
        <f>SUM(AN144:AN145)</f>
        <v>151.05399999999997</v>
      </c>
      <c r="AO146" s="724">
        <f>SUM(AO144:AO145)</f>
        <v>164.47500000000002</v>
      </c>
      <c r="AP146" s="724">
        <f>SUM(AP144:AP145)</f>
        <v>211.23400000000001</v>
      </c>
      <c r="AQ146" s="730">
        <f>SUM(AM146:AP146)</f>
        <v>954.13400000000001</v>
      </c>
      <c r="AR146" s="724">
        <f>SUM(AR144:AR145)</f>
        <v>166.76399999999998</v>
      </c>
      <c r="AS146" s="724">
        <f>SUM(AS144:AS145)</f>
        <v>191.69300000000001</v>
      </c>
      <c r="AT146" s="724">
        <f>SUM(AT144:AT145)</f>
        <v>178.19599999999997</v>
      </c>
      <c r="AU146" s="724">
        <f>SUM(AU144:AU145)</f>
        <v>225.74000000000004</v>
      </c>
      <c r="AV146" s="730">
        <f>SUM(AR146:AU146)</f>
        <v>762.39300000000003</v>
      </c>
      <c r="AW146" s="724">
        <f>SUM(AW144:AW145)</f>
        <v>184.24499999999998</v>
      </c>
      <c r="AX146" s="724">
        <f>SUM(AX144:AX145)</f>
        <v>215.345</v>
      </c>
      <c r="AY146" s="724">
        <f>SUM(AY144:AY145)</f>
        <v>205.60000000000005</v>
      </c>
      <c r="AZ146" s="724">
        <f>SUM(AZ144:AZ145)</f>
        <v>247.95599999999999</v>
      </c>
      <c r="BA146" s="730">
        <f>SUM(AW146:AZ146)</f>
        <v>853.14600000000007</v>
      </c>
      <c r="BB146" s="724">
        <f>SUM(BB144:BB145)</f>
        <v>204.60899999999992</v>
      </c>
      <c r="BC146" s="724">
        <f>SUM(BC144:BC145)</f>
        <v>213.40599999999998</v>
      </c>
      <c r="BD146" s="724">
        <f>SUM(BD144:BD145)</f>
        <v>211.32100000000003</v>
      </c>
      <c r="BE146" s="724">
        <f>SUM(BE144:BE145)</f>
        <v>244.809</v>
      </c>
      <c r="BF146" s="730">
        <f>SUM(BB146:BE146)</f>
        <v>874.14499999999987</v>
      </c>
      <c r="BG146" s="724">
        <f>SUM(BG144:BG145)</f>
        <v>198.7</v>
      </c>
      <c r="BH146" s="724">
        <f>SUM(BH144:BH145)</f>
        <v>217.43835200000004</v>
      </c>
      <c r="BI146" s="724">
        <f>SUM(BI144:BI145)</f>
        <v>221.22320143600004</v>
      </c>
      <c r="BJ146" s="724">
        <f>SUM(BJ144:BJ145)</f>
        <v>220.66914904389805</v>
      </c>
      <c r="BK146" s="730">
        <f>SUM(BG146:BJ146)</f>
        <v>858.0307024798982</v>
      </c>
      <c r="BL146" s="724">
        <f>SUM(BL144:BL145)</f>
        <v>211.26892036363947</v>
      </c>
      <c r="BM146" s="724">
        <f>SUM(BM144:BM145)</f>
        <v>212.25112093813954</v>
      </c>
      <c r="BN146" s="724">
        <f>SUM(BN144:BN145)</f>
        <v>213.58468631329924</v>
      </c>
      <c r="BO146" s="724">
        <f>SUM(BO144:BO145)</f>
        <v>215.07561203802243</v>
      </c>
      <c r="BP146" s="730">
        <f>SUM(BL146:BO146)</f>
        <v>852.18033965310065</v>
      </c>
      <c r="BQ146" s="724">
        <f>SUM(BQ144:BQ145)</f>
        <v>214.89497016423152</v>
      </c>
      <c r="BR146" s="724">
        <f>SUM(BR144:BR145)</f>
        <v>215.90353594688483</v>
      </c>
      <c r="BS146" s="724">
        <f>SUM(BS144:BS145)</f>
        <v>217.09476124399268</v>
      </c>
      <c r="BT146" s="724">
        <f>SUM(BT144:BT145)</f>
        <v>218.57352871663468</v>
      </c>
      <c r="BU146" s="730">
        <f>SUM(BQ146:BT146)</f>
        <v>866.46679607174372</v>
      </c>
    </row>
    <row r="147" spans="1:78">
      <c r="B147" s="115" t="s">
        <v>421</v>
      </c>
      <c r="AM147" s="728" t="e">
        <f>+AM146/AH146-1</f>
        <v>#DIV/0!</v>
      </c>
      <c r="AN147" s="728" t="e">
        <f>+AN146/AI146-1</f>
        <v>#DIV/0!</v>
      </c>
      <c r="AO147" s="728" t="e">
        <f>+AO146/AJ146-1</f>
        <v>#DIV/0!</v>
      </c>
      <c r="AP147" s="728" t="e">
        <f>+AP146/AK146-1</f>
        <v>#DIV/0!</v>
      </c>
      <c r="AR147" s="728">
        <f t="shared" ref="AR147:BE147" si="88">+AR146/AM146-1</f>
        <v>-0.60979102466007284</v>
      </c>
      <c r="AS147" s="728">
        <f t="shared" si="88"/>
        <v>0.26903623869609583</v>
      </c>
      <c r="AT147" s="728">
        <f t="shared" si="88"/>
        <v>8.3423012615898795E-2</v>
      </c>
      <c r="AU147" s="728">
        <f t="shared" si="88"/>
        <v>6.8672656863951964E-2</v>
      </c>
      <c r="AV147" s="728">
        <f t="shared" si="88"/>
        <v>-0.20095814634003184</v>
      </c>
      <c r="AW147" s="728">
        <f t="shared" si="88"/>
        <v>0.10482478232712089</v>
      </c>
      <c r="AX147" s="728">
        <f t="shared" si="88"/>
        <v>0.1233847871335938</v>
      </c>
      <c r="AY147" s="728">
        <f t="shared" si="88"/>
        <v>0.15378571909582761</v>
      </c>
      <c r="AZ147" s="728">
        <f t="shared" si="88"/>
        <v>9.8414104722246654E-2</v>
      </c>
      <c r="BA147" s="728">
        <f t="shared" si="88"/>
        <v>0.11903703208187899</v>
      </c>
      <c r="BB147" s="728">
        <f t="shared" si="88"/>
        <v>0.11052674428071296</v>
      </c>
      <c r="BC147" s="728">
        <f t="shared" si="88"/>
        <v>-9.0041561215724597E-3</v>
      </c>
      <c r="BD147" s="728">
        <f t="shared" si="88"/>
        <v>2.7825875486381157E-2</v>
      </c>
      <c r="BE147" s="728">
        <f t="shared" si="88"/>
        <v>-1.2691767894303818E-2</v>
      </c>
      <c r="BF147" s="728">
        <f t="shared" ref="BF147:BP147" si="89">+BF146/BA146-1</f>
        <v>2.4613606580819347E-2</v>
      </c>
      <c r="BG147" s="728">
        <f t="shared" si="89"/>
        <v>-2.8879472554970365E-2</v>
      </c>
      <c r="BH147" s="728">
        <f t="shared" si="89"/>
        <v>1.8895213817793577E-2</v>
      </c>
      <c r="BI147" s="728">
        <f t="shared" si="89"/>
        <v>4.6858577405936908E-2</v>
      </c>
      <c r="BJ147" s="728">
        <f t="shared" si="89"/>
        <v>-9.8606877018826755E-2</v>
      </c>
      <c r="BK147" s="728">
        <f t="shared" si="89"/>
        <v>-1.8434353019352256E-2</v>
      </c>
      <c r="BL147" s="728">
        <f t="shared" si="89"/>
        <v>6.3255764286056726E-2</v>
      </c>
      <c r="BM147" s="728">
        <f t="shared" si="89"/>
        <v>-2.3856099966488409E-2</v>
      </c>
      <c r="BN147" s="728">
        <f t="shared" si="89"/>
        <v>-3.4528544353023549E-2</v>
      </c>
      <c r="BO147" s="728">
        <f t="shared" si="89"/>
        <v>-2.5348069859837508E-2</v>
      </c>
      <c r="BP147" s="728">
        <f t="shared" si="89"/>
        <v>-6.8183607065442908E-3</v>
      </c>
      <c r="BQ147" s="728">
        <f t="shared" ref="BQ147" si="90">+BQ146/BL146-1</f>
        <v>1.7163195581966439E-2</v>
      </c>
      <c r="BR147" s="728">
        <f t="shared" ref="BR147" si="91">+BR146/BM146-1</f>
        <v>1.72079892563195E-2</v>
      </c>
      <c r="BS147" s="728">
        <f t="shared" ref="BS147" si="92">+BS146/BN146-1</f>
        <v>1.643411328443567E-2</v>
      </c>
      <c r="BT147" s="728">
        <f t="shared" ref="BT147" si="93">+BT146/BO146-1</f>
        <v>1.626366023309922E-2</v>
      </c>
      <c r="BU147" s="728">
        <f t="shared" ref="BU147" si="94">+BU146/BP146-1</f>
        <v>1.6764592837777315E-2</v>
      </c>
    </row>
    <row r="148" spans="1:78">
      <c r="B148" s="115" t="s">
        <v>422</v>
      </c>
      <c r="AM148" s="729" t="e">
        <f>AM146/AK146-1</f>
        <v>#DIV/0!</v>
      </c>
      <c r="AN148" s="729">
        <f>AN146/AM146-1</f>
        <v>-0.64655065505146592</v>
      </c>
      <c r="AO148" s="729">
        <f>AO146/AN146-1</f>
        <v>8.8849020879950613E-2</v>
      </c>
      <c r="AP148" s="729">
        <f>AP146/AO146-1</f>
        <v>0.28429244566043455</v>
      </c>
      <c r="AR148" s="729">
        <f>AR146/AP146-1</f>
        <v>-0.21052482081483104</v>
      </c>
      <c r="AS148" s="729">
        <f>AS146/AR146-1</f>
        <v>0.14948669976733608</v>
      </c>
      <c r="AT148" s="729">
        <f>AT146/AS146-1</f>
        <v>-7.0409456787676294E-2</v>
      </c>
      <c r="AU148" s="729">
        <f>AU146/AT146-1</f>
        <v>0.26680733574266591</v>
      </c>
      <c r="AW148" s="729">
        <f>AW146/AU146-1</f>
        <v>-0.1838176663418094</v>
      </c>
      <c r="AX148" s="729">
        <f>AX146/AW146-1</f>
        <v>0.16879698227903073</v>
      </c>
      <c r="AY148" s="729">
        <f>AY146/AX146-1</f>
        <v>-4.5252966170563291E-2</v>
      </c>
      <c r="AZ148" s="729">
        <f>AZ146/AY146-1</f>
        <v>0.20601167315175073</v>
      </c>
      <c r="BB148" s="729">
        <f>BB146/AZ146-1</f>
        <v>-0.17481730629627867</v>
      </c>
      <c r="BC148" s="729">
        <f>BC146/BB146-1</f>
        <v>4.2994198691162389E-2</v>
      </c>
      <c r="BD148" s="729">
        <f>BD146/BC146-1</f>
        <v>-9.7701095564320939E-3</v>
      </c>
      <c r="BE148" s="729">
        <f>BE146/BD146-1</f>
        <v>0.15846981606182053</v>
      </c>
      <c r="BF148" s="220"/>
      <c r="BG148" s="729">
        <f>BG146/BE146-1</f>
        <v>-0.18834683365399152</v>
      </c>
      <c r="BH148" s="729">
        <f>BH146/BG146-1</f>
        <v>9.4304740815299715E-2</v>
      </c>
      <c r="BI148" s="729">
        <f>BI146/BH146-1</f>
        <v>1.7406540296074358E-2</v>
      </c>
      <c r="BJ148" s="729">
        <f>BJ146/BI146-1</f>
        <v>-2.5044949557981866E-3</v>
      </c>
      <c r="BK148" s="220"/>
      <c r="BL148" s="729">
        <f>BL146/BJ146-1</f>
        <v>-4.2598744414374723E-2</v>
      </c>
      <c r="BM148" s="729">
        <f>BM146/BL146-1</f>
        <v>4.6490537879848581E-3</v>
      </c>
      <c r="BN148" s="729">
        <f>BN146/BM146-1</f>
        <v>6.2829603408707246E-3</v>
      </c>
      <c r="BO148" s="729">
        <f>BO146/BN146-1</f>
        <v>6.9804898022332029E-3</v>
      </c>
      <c r="BP148" s="220"/>
      <c r="BQ148" s="729">
        <f>BQ146/BO146-1</f>
        <v>-8.3989938272954756E-4</v>
      </c>
      <c r="BR148" s="729">
        <f>BR146/BQ146-1</f>
        <v>4.6932963665111682E-3</v>
      </c>
      <c r="BS148" s="729">
        <f>BS146/BR146-1</f>
        <v>5.5173959605780976E-3</v>
      </c>
      <c r="BT148" s="729">
        <f>BT146/BS146-1</f>
        <v>6.811622096122516E-3</v>
      </c>
      <c r="BU148" s="220"/>
    </row>
    <row r="150" spans="1:78">
      <c r="B150" s="125" t="s">
        <v>452</v>
      </c>
    </row>
    <row r="153" spans="1:78">
      <c r="B153" s="270" t="s">
        <v>445</v>
      </c>
      <c r="AW153" s="742">
        <f>AV41</f>
        <v>714.23099999999999</v>
      </c>
      <c r="AX153" s="742">
        <f>AW41</f>
        <v>727.85299999999995</v>
      </c>
      <c r="AY153" s="742">
        <f>AX41</f>
        <v>750.85</v>
      </c>
      <c r="AZ153" s="742">
        <f>AY41</f>
        <v>776.76</v>
      </c>
      <c r="BA153" s="742"/>
      <c r="BB153" s="742">
        <f>BA41</f>
        <v>805.67</v>
      </c>
      <c r="BC153" s="742">
        <f>BB41</f>
        <v>807.19600000000003</v>
      </c>
      <c r="BD153" s="742">
        <f>BC41</f>
        <v>815.63</v>
      </c>
      <c r="BE153" s="742">
        <f>BD41</f>
        <v>823.10400000000004</v>
      </c>
      <c r="BF153" s="742"/>
      <c r="BG153" s="742">
        <f>BF41</f>
        <v>839.81899999999996</v>
      </c>
      <c r="BH153" s="742">
        <f>BG41</f>
        <v>837.22</v>
      </c>
      <c r="BI153" s="742">
        <f>BH41</f>
        <v>840.61</v>
      </c>
      <c r="BJ153" s="742">
        <f>BI41</f>
        <v>837.73</v>
      </c>
      <c r="BL153" s="742">
        <f>BK41</f>
        <v>839.9</v>
      </c>
      <c r="BM153" s="742">
        <f>BL41</f>
        <v>830.52224000000001</v>
      </c>
      <c r="BN153" s="742">
        <f>BM41</f>
        <v>831.36329000000001</v>
      </c>
      <c r="BO153" s="742">
        <f>BN41</f>
        <v>831.86589000000004</v>
      </c>
      <c r="BQ153" s="742">
        <f>BP41</f>
        <v>832.34089999999992</v>
      </c>
      <c r="BR153" s="742">
        <f>BQ41</f>
        <v>855.43790720000004</v>
      </c>
      <c r="BS153" s="742">
        <f>BR41</f>
        <v>857.96691528000008</v>
      </c>
      <c r="BT153" s="742">
        <f>BS41</f>
        <v>860.14933026000006</v>
      </c>
    </row>
    <row r="154" spans="1:78">
      <c r="B154" s="269" t="s">
        <v>446</v>
      </c>
      <c r="AW154" s="742">
        <f>AW153/4</f>
        <v>178.55775</v>
      </c>
      <c r="AX154" s="742">
        <f>AX153/4</f>
        <v>181.96324999999999</v>
      </c>
      <c r="AY154" s="742">
        <f>AY153/4</f>
        <v>187.71250000000001</v>
      </c>
      <c r="AZ154" s="742">
        <f>AZ153/4</f>
        <v>194.19</v>
      </c>
      <c r="BA154" s="742"/>
      <c r="BB154" s="742">
        <f>BB153/4</f>
        <v>201.41749999999999</v>
      </c>
      <c r="BC154" s="742">
        <f>BC153/4</f>
        <v>201.79900000000001</v>
      </c>
      <c r="BD154" s="742">
        <f>BD153/4</f>
        <v>203.9075</v>
      </c>
      <c r="BE154" s="742">
        <f>BE153/4</f>
        <v>205.77600000000001</v>
      </c>
      <c r="BF154" s="742"/>
      <c r="BG154" s="742">
        <f>BG153/4</f>
        <v>209.95474999999999</v>
      </c>
      <c r="BH154" s="742">
        <f>BH153/4</f>
        <v>209.30500000000001</v>
      </c>
      <c r="BI154" s="742">
        <f>BI153/4</f>
        <v>210.1525</v>
      </c>
      <c r="BJ154" s="742">
        <f>BJ153/4</f>
        <v>209.4325</v>
      </c>
      <c r="BL154" s="742">
        <f>BL153/4</f>
        <v>209.97499999999999</v>
      </c>
      <c r="BM154" s="742">
        <f>BM153/4</f>
        <v>207.63056</v>
      </c>
      <c r="BN154" s="742">
        <f>BN153/4</f>
        <v>207.8408225</v>
      </c>
      <c r="BO154" s="742">
        <f>BO153/4</f>
        <v>207.96647250000001</v>
      </c>
      <c r="BQ154" s="742">
        <f>BQ153/4</f>
        <v>208.08522499999998</v>
      </c>
      <c r="BR154" s="742">
        <f>BR153/4</f>
        <v>213.85947680000001</v>
      </c>
      <c r="BS154" s="742">
        <f>BS153/4</f>
        <v>214.49172882000002</v>
      </c>
      <c r="BT154" s="742">
        <f>BT153/4</f>
        <v>215.03733256500001</v>
      </c>
      <c r="BV154" s="753"/>
      <c r="BW154" s="753"/>
      <c r="BX154" s="753"/>
      <c r="BY154" s="753"/>
      <c r="BZ154" s="753"/>
    </row>
    <row r="155" spans="1:78" s="753" customFormat="1">
      <c r="A155"/>
      <c r="B155" s="269"/>
      <c r="C155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0"/>
      <c r="AR155" s="220"/>
      <c r="AS155" s="220"/>
      <c r="AT155" s="220"/>
      <c r="AU155" s="220"/>
      <c r="AV155" s="220"/>
      <c r="AW155" s="742"/>
      <c r="AX155" s="742"/>
      <c r="AY155" s="742"/>
      <c r="AZ155" s="742"/>
      <c r="BA155" s="742"/>
      <c r="BB155" s="742"/>
      <c r="BC155" s="742"/>
      <c r="BD155" s="742"/>
      <c r="BE155" s="742"/>
      <c r="BF155" s="742"/>
      <c r="BG155" s="742"/>
      <c r="BH155" s="742"/>
      <c r="BI155" s="742"/>
      <c r="BJ155" s="742"/>
      <c r="BK155"/>
      <c r="BL155" s="742"/>
      <c r="BM155" s="742"/>
      <c r="BN155" s="742"/>
      <c r="BO155" s="742"/>
      <c r="BP155"/>
      <c r="BQ155" s="742"/>
      <c r="BR155" s="742"/>
      <c r="BS155" s="742"/>
      <c r="BT155" s="742"/>
      <c r="BU155"/>
    </row>
    <row r="156" spans="1:78" s="753" customFormat="1">
      <c r="A156"/>
      <c r="B156" s="270" t="s">
        <v>447</v>
      </c>
      <c r="C156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0"/>
      <c r="AR156" s="220"/>
      <c r="AS156" s="220"/>
      <c r="AT156" s="220"/>
      <c r="AU156" s="220"/>
      <c r="AV156" s="220"/>
      <c r="AW156" s="742">
        <f>AW45</f>
        <v>13.621999999999957</v>
      </c>
      <c r="AX156" s="742">
        <f>AX45</f>
        <v>22.997000000000071</v>
      </c>
      <c r="AY156" s="742">
        <f>AY45</f>
        <v>25.909999999999968</v>
      </c>
      <c r="AZ156" s="742">
        <f>AZ45</f>
        <v>28.909999999999968</v>
      </c>
      <c r="BA156" s="742"/>
      <c r="BB156" s="742">
        <f>BB45</f>
        <v>1.5260000000000673</v>
      </c>
      <c r="BC156" s="742">
        <f>BC45</f>
        <v>8.4339999999999691</v>
      </c>
      <c r="BD156" s="742">
        <f>BD45</f>
        <v>7.4740000000000464</v>
      </c>
      <c r="BE156" s="742">
        <f>BE45</f>
        <v>16.714999999999918</v>
      </c>
      <c r="BF156" s="742"/>
      <c r="BG156" s="742">
        <f>BG45</f>
        <v>-2.5989999999999327</v>
      </c>
      <c r="BH156" s="742">
        <f>BH45</f>
        <v>3.3899999999999864</v>
      </c>
      <c r="BI156" s="742">
        <f>BI45</f>
        <v>-2.8799999999999955</v>
      </c>
      <c r="BJ156" s="742">
        <f>BJ45</f>
        <v>2.1699999999999591</v>
      </c>
      <c r="BK156"/>
      <c r="BL156" s="742">
        <f>BL45</f>
        <v>-9.3777599999999666</v>
      </c>
      <c r="BM156" s="742">
        <f>BM45</f>
        <v>0.84104999999999563</v>
      </c>
      <c r="BN156" s="742">
        <f>BN45</f>
        <v>0.50260000000002947</v>
      </c>
      <c r="BO156" s="742">
        <f>BO45</f>
        <v>0.4750099999998838</v>
      </c>
      <c r="BP156"/>
      <c r="BQ156" s="742">
        <f>BQ45</f>
        <v>23.097007200000121</v>
      </c>
      <c r="BR156" s="742">
        <f>BR45</f>
        <v>2.5290080800000396</v>
      </c>
      <c r="BS156" s="742">
        <f>BS45</f>
        <v>2.1824149799999759</v>
      </c>
      <c r="BT156" s="742">
        <f>BT45</f>
        <v>1.3235012399998141</v>
      </c>
      <c r="BU156"/>
      <c r="BV156"/>
      <c r="BW156"/>
      <c r="BX156"/>
      <c r="BY156"/>
      <c r="BZ156"/>
    </row>
    <row r="157" spans="1:78">
      <c r="B157" s="270" t="s">
        <v>448</v>
      </c>
      <c r="AW157" s="742">
        <f>AW156/4</f>
        <v>3.4054999999999893</v>
      </c>
      <c r="AX157" s="742">
        <f>AX156/4</f>
        <v>5.7492500000000177</v>
      </c>
      <c r="AY157" s="742">
        <f>AY156/4</f>
        <v>6.477499999999992</v>
      </c>
      <c r="AZ157" s="742">
        <f>AZ156/4</f>
        <v>7.227499999999992</v>
      </c>
      <c r="BA157" s="742"/>
      <c r="BB157" s="742">
        <f>BB156/4</f>
        <v>0.38150000000001683</v>
      </c>
      <c r="BC157" s="742">
        <f>BC156/4</f>
        <v>2.1084999999999923</v>
      </c>
      <c r="BD157" s="742">
        <f>BD156/4</f>
        <v>1.8685000000000116</v>
      </c>
      <c r="BE157" s="742">
        <f>BE156/4</f>
        <v>4.1787499999999795</v>
      </c>
      <c r="BF157" s="742"/>
      <c r="BG157" s="742">
        <f>BG156/4</f>
        <v>-0.64974999999998317</v>
      </c>
      <c r="BH157" s="742">
        <f>BH156/4</f>
        <v>0.84749999999999659</v>
      </c>
      <c r="BI157" s="742">
        <f>BI156/4</f>
        <v>-0.71999999999999886</v>
      </c>
      <c r="BJ157" s="742">
        <f>BJ156/4</f>
        <v>0.54249999999998977</v>
      </c>
      <c r="BL157" s="742">
        <f>BL156/4</f>
        <v>-2.3444399999999916</v>
      </c>
      <c r="BM157" s="742">
        <f>BM156/4</f>
        <v>0.21026249999999891</v>
      </c>
      <c r="BN157" s="742">
        <f>BN156/4</f>
        <v>0.12565000000000737</v>
      </c>
      <c r="BO157" s="742">
        <f>BO156/4</f>
        <v>0.11875249999997095</v>
      </c>
      <c r="BQ157" s="742">
        <f>BQ156/4</f>
        <v>5.7742518000000302</v>
      </c>
      <c r="BR157" s="742">
        <f>BR156/4</f>
        <v>0.63225202000000991</v>
      </c>
      <c r="BS157" s="742">
        <f>BS156/4</f>
        <v>0.54560374499999398</v>
      </c>
      <c r="BT157" s="742">
        <f>BT156/4</f>
        <v>0.33087530999995352</v>
      </c>
    </row>
    <row r="158" spans="1:78">
      <c r="B158" s="270" t="s">
        <v>449</v>
      </c>
      <c r="AW158" s="220">
        <v>0.01</v>
      </c>
      <c r="AX158" s="220">
        <v>0.01</v>
      </c>
      <c r="AY158" s="220">
        <v>0.33</v>
      </c>
      <c r="AZ158" s="220">
        <v>0.09</v>
      </c>
      <c r="BB158" s="220">
        <v>0.01</v>
      </c>
      <c r="BC158" s="220">
        <v>0</v>
      </c>
      <c r="BD158" s="755">
        <v>0.88</v>
      </c>
      <c r="BE158" s="755">
        <v>0.14000000000000001</v>
      </c>
      <c r="BG158" s="220">
        <v>0.01</v>
      </c>
      <c r="BH158" s="739">
        <v>0.02</v>
      </c>
      <c r="BI158" s="739">
        <v>0.75</v>
      </c>
      <c r="BJ158" s="739">
        <v>0.15</v>
      </c>
      <c r="BL158" s="739">
        <v>0.01</v>
      </c>
      <c r="BM158" s="739">
        <v>0.01</v>
      </c>
      <c r="BN158" s="739">
        <v>0.75</v>
      </c>
      <c r="BO158" s="739">
        <v>0.15</v>
      </c>
      <c r="BQ158" s="739">
        <v>0.01</v>
      </c>
      <c r="BR158" s="739">
        <v>0.01</v>
      </c>
      <c r="BS158" s="739">
        <v>0.75</v>
      </c>
      <c r="BT158" s="739">
        <v>0.15</v>
      </c>
    </row>
    <row r="159" spans="1:78">
      <c r="B159" s="269" t="s">
        <v>450</v>
      </c>
      <c r="AW159" s="742">
        <f>AW158*AW157</f>
        <v>3.4054999999999891E-2</v>
      </c>
      <c r="AX159" s="742">
        <f>AX158*AX157</f>
        <v>5.7492500000000175E-2</v>
      </c>
      <c r="AY159" s="742">
        <f>AY158*AY157</f>
        <v>2.1375749999999973</v>
      </c>
      <c r="AZ159" s="742">
        <f>AZ158*AZ157</f>
        <v>0.65047499999999925</v>
      </c>
      <c r="BA159" s="742"/>
      <c r="BB159" s="742">
        <f>BB158*BB157</f>
        <v>3.8150000000001685E-3</v>
      </c>
      <c r="BC159" s="742">
        <f>BC158*BC157</f>
        <v>0</v>
      </c>
      <c r="BD159" s="742">
        <f>BD158*BD157</f>
        <v>1.6442800000000102</v>
      </c>
      <c r="BE159" s="742">
        <f>BE158*BE157</f>
        <v>0.58502499999999724</v>
      </c>
      <c r="BF159" s="742"/>
      <c r="BG159" s="742">
        <f>BG158*BG157</f>
        <v>-6.4974999999998315E-3</v>
      </c>
      <c r="BH159" s="742">
        <f>BH158*BH157</f>
        <v>1.6949999999999934E-2</v>
      </c>
      <c r="BI159" s="742">
        <f>BI158*BI157</f>
        <v>-0.53999999999999915</v>
      </c>
      <c r="BJ159" s="742">
        <f>BJ158*BJ157</f>
        <v>8.1374999999998462E-2</v>
      </c>
      <c r="BL159" s="742">
        <f>BL158*BL157</f>
        <v>-2.3444399999999917E-2</v>
      </c>
      <c r="BM159" s="742">
        <f>BM158*BM157</f>
        <v>2.1026249999999891E-3</v>
      </c>
      <c r="BN159" s="742">
        <f>BN158*BN157</f>
        <v>9.4237500000005525E-2</v>
      </c>
      <c r="BO159" s="742">
        <f>BO158*BO157</f>
        <v>1.7812874999995641E-2</v>
      </c>
      <c r="BQ159" s="742">
        <f>BQ158*BQ157</f>
        <v>5.7742518000000305E-2</v>
      </c>
      <c r="BR159" s="742">
        <f>BR158*BR157</f>
        <v>6.3225202000000988E-3</v>
      </c>
      <c r="BS159" s="742">
        <f>BS158*BS157</f>
        <v>0.40920280874999548</v>
      </c>
      <c r="BT159" s="742">
        <f>BT158*BT157</f>
        <v>4.9631296499993025E-2</v>
      </c>
    </row>
    <row r="160" spans="1:78">
      <c r="B160" s="270"/>
      <c r="AW160" s="742"/>
      <c r="AX160" s="742"/>
      <c r="AY160" s="742"/>
      <c r="AZ160" s="742"/>
      <c r="BA160" s="742"/>
      <c r="BB160" s="742"/>
      <c r="BC160" s="742"/>
      <c r="BD160" s="742"/>
      <c r="BE160" s="742"/>
      <c r="BF160" s="742"/>
      <c r="BG160" s="742"/>
      <c r="BH160" s="742"/>
      <c r="BI160" s="742"/>
      <c r="BJ160" s="742"/>
      <c r="BL160" s="742"/>
      <c r="BM160" s="742"/>
      <c r="BN160" s="742"/>
      <c r="BO160" s="742"/>
      <c r="BQ160" s="742"/>
      <c r="BR160" s="742"/>
      <c r="BS160" s="742"/>
      <c r="BT160" s="742"/>
    </row>
    <row r="161" spans="1:73">
      <c r="B161" s="738" t="s">
        <v>462</v>
      </c>
      <c r="AW161" s="743">
        <f>AW159+AW154</f>
        <v>178.59180499999999</v>
      </c>
      <c r="AX161" s="743">
        <f>AX159+AX154</f>
        <v>182.02074249999998</v>
      </c>
      <c r="AY161" s="743">
        <f>AY159+AY154</f>
        <v>189.850075</v>
      </c>
      <c r="AZ161" s="743">
        <f>AZ159+AZ154</f>
        <v>194.840475</v>
      </c>
      <c r="BA161" s="743"/>
      <c r="BB161" s="743">
        <f>BB159+BB154</f>
        <v>201.42131499999999</v>
      </c>
      <c r="BC161" s="743">
        <f>BC159+BC154</f>
        <v>201.79900000000001</v>
      </c>
      <c r="BD161" s="743">
        <f>BD159+BD154</f>
        <v>205.55178000000001</v>
      </c>
      <c r="BE161" s="743">
        <f>BE159+BE154</f>
        <v>206.36102500000001</v>
      </c>
      <c r="BF161" s="743"/>
      <c r="BG161" s="743">
        <f>BG159+BG154</f>
        <v>209.9482525</v>
      </c>
      <c r="BH161" s="743">
        <f>BH159+BH154</f>
        <v>209.32195000000002</v>
      </c>
      <c r="BI161" s="743">
        <f>BI159+BI154</f>
        <v>209.61250000000001</v>
      </c>
      <c r="BJ161" s="743">
        <f>BJ159+BJ154</f>
        <v>209.51387500000001</v>
      </c>
      <c r="BK161" s="736"/>
      <c r="BL161" s="743">
        <f>BL159+BL154</f>
        <v>209.95155560000001</v>
      </c>
      <c r="BM161" s="743">
        <f>BM159+BM154</f>
        <v>207.63266262499999</v>
      </c>
      <c r="BN161" s="743">
        <f>BN159+BN154</f>
        <v>207.93506000000002</v>
      </c>
      <c r="BO161" s="743">
        <f>BO159+BO154</f>
        <v>207.98428537500001</v>
      </c>
      <c r="BQ161" s="743">
        <f>BQ159+BQ154</f>
        <v>208.14296751799998</v>
      </c>
      <c r="BR161" s="743">
        <f>BR159+BR154</f>
        <v>213.86579932020001</v>
      </c>
      <c r="BS161" s="743">
        <f>BS159+BS154</f>
        <v>214.90093162875002</v>
      </c>
      <c r="BT161" s="743">
        <f>BT159+BT154</f>
        <v>215.08696386150001</v>
      </c>
    </row>
    <row r="162" spans="1:73">
      <c r="B162" s="270" t="s">
        <v>453</v>
      </c>
      <c r="AW162" s="742">
        <f>IS!AW39/1000</f>
        <v>173.77199999999999</v>
      </c>
      <c r="AX162" s="742">
        <f>IS!AX39/1000</f>
        <v>181.70099999999999</v>
      </c>
      <c r="AY162" s="742">
        <f>IS!AY39/1000</f>
        <v>189.876</v>
      </c>
      <c r="AZ162" s="742">
        <f>IS!AZ39/1000</f>
        <v>194.81899999999999</v>
      </c>
      <c r="BA162" s="742"/>
      <c r="BB162" s="742">
        <f>IS!BB39/1000</f>
        <v>196.91800000000001</v>
      </c>
      <c r="BC162" s="742">
        <f>IS!BC39/1000</f>
        <v>200.06700000000001</v>
      </c>
      <c r="BD162" s="742">
        <f>IS!BD39/1000</f>
        <v>205.59299999999999</v>
      </c>
      <c r="BE162" s="742">
        <f>IS!BE39/1000</f>
        <v>206.328</v>
      </c>
      <c r="BF162" s="742"/>
      <c r="BG162" s="742">
        <f>IS!BG39/1000</f>
        <v>203.935</v>
      </c>
      <c r="BH162" s="742">
        <f>IS!BH39/1000</f>
        <v>208.09700000000001</v>
      </c>
      <c r="BI162" s="742">
        <f>IS!BI39/1000</f>
        <v>210.14599999999999</v>
      </c>
      <c r="BJ162" s="742">
        <f>IS!BJ39/1000</f>
        <v>209.14699999999999</v>
      </c>
      <c r="BL162" s="742">
        <f>IS!BL39/1000</f>
        <v>202.91532500000002</v>
      </c>
      <c r="BM162" s="742">
        <f>IS!BM39/1000</f>
        <v>203.93505999999999</v>
      </c>
      <c r="BN162" s="742">
        <f>IS!BN39/1000</f>
        <v>203.84162000000001</v>
      </c>
      <c r="BO162" s="742">
        <f>IS!BO39/1000</f>
        <v>204.96405999999999</v>
      </c>
      <c r="BQ162" s="742">
        <f>IS!BQ39/1000</f>
        <v>206.97363150000001</v>
      </c>
      <c r="BR162" s="742">
        <f>IS!BR39/1000</f>
        <v>208.0137612</v>
      </c>
      <c r="BS162" s="742">
        <f>IS!BS39/1000</f>
        <v>207.91845240000001</v>
      </c>
      <c r="BT162" s="742">
        <f>IS!BT39/1000</f>
        <v>209.0633412</v>
      </c>
    </row>
    <row r="163" spans="1:73">
      <c r="B163" s="740" t="s">
        <v>86</v>
      </c>
      <c r="AW163" s="741">
        <f>AW161-AW162</f>
        <v>4.8198050000000023</v>
      </c>
      <c r="AX163" s="741">
        <f>AX161-AX162</f>
        <v>0.3197424999999896</v>
      </c>
      <c r="AY163" s="741">
        <f>AY161-AY162</f>
        <v>-2.5925000000000864E-2</v>
      </c>
      <c r="AZ163" s="741">
        <f>AZ161-AZ162</f>
        <v>2.1475000000009459E-2</v>
      </c>
      <c r="BB163" s="741">
        <f>BB161-BB162</f>
        <v>4.5033149999999864</v>
      </c>
      <c r="BC163" s="741">
        <f>BC161-BC162</f>
        <v>1.7319999999999993</v>
      </c>
      <c r="BD163" s="741">
        <f>BD161-BD162</f>
        <v>-4.1219999999981383E-2</v>
      </c>
      <c r="BE163" s="741">
        <f>BE161-BE162</f>
        <v>3.3025000000009186E-2</v>
      </c>
      <c r="BG163" s="741">
        <f>BG161-BG162</f>
        <v>6.013252499999993</v>
      </c>
      <c r="BH163" s="741">
        <f>BH161-BH162</f>
        <v>1.2249500000000069</v>
      </c>
      <c r="BI163" s="741">
        <f>BI161-BI162</f>
        <v>-0.53349999999997522</v>
      </c>
      <c r="BJ163" s="741">
        <f>BJ161-BJ162</f>
        <v>0.3668750000000216</v>
      </c>
      <c r="BL163" s="741">
        <f>BL161-BL162</f>
        <v>7.0362305999999819</v>
      </c>
      <c r="BM163" s="741">
        <f>BM161-BM162</f>
        <v>3.6976026250000018</v>
      </c>
      <c r="BN163" s="741">
        <f>BN161-BN162</f>
        <v>4.0934400000000153</v>
      </c>
      <c r="BO163" s="741">
        <f>BO161-BO162</f>
        <v>3.0202253750000239</v>
      </c>
      <c r="BQ163" s="741">
        <f>BQ161-BQ162</f>
        <v>1.1693360179999672</v>
      </c>
      <c r="BR163" s="741">
        <f>BR161-BR162</f>
        <v>5.8520381202000067</v>
      </c>
      <c r="BS163" s="741">
        <f>BS161-BS162</f>
        <v>6.9824792287500088</v>
      </c>
      <c r="BT163" s="741">
        <f>BT161-BT162</f>
        <v>6.0236226615000135</v>
      </c>
    </row>
    <row r="166" spans="1:73">
      <c r="B166" s="125" t="s">
        <v>528</v>
      </c>
      <c r="BG166" s="844">
        <f>IS!BG78</f>
        <v>0.76358153333169887</v>
      </c>
    </row>
    <row r="167" spans="1:73">
      <c r="BC167" s="745"/>
      <c r="BD167" s="745"/>
    </row>
    <row r="168" spans="1:73" s="106" customFormat="1">
      <c r="A168"/>
      <c r="B168" s="736" t="s">
        <v>467</v>
      </c>
      <c r="C168" s="736"/>
      <c r="D168" s="779"/>
      <c r="E168" s="779"/>
      <c r="F168" s="779"/>
      <c r="G168" s="779"/>
      <c r="H168" s="779"/>
      <c r="I168" s="779"/>
      <c r="J168" s="779"/>
      <c r="K168" s="779"/>
      <c r="L168" s="779"/>
      <c r="M168" s="779"/>
      <c r="N168" s="779"/>
      <c r="O168" s="779"/>
      <c r="P168" s="779"/>
      <c r="Q168" s="779"/>
      <c r="R168" s="779"/>
      <c r="S168" s="779"/>
      <c r="T168" s="779"/>
      <c r="U168" s="779"/>
      <c r="V168" s="779"/>
      <c r="W168" s="779"/>
      <c r="X168" s="779"/>
      <c r="Y168" s="779"/>
      <c r="Z168" s="779"/>
      <c r="AA168" s="779"/>
      <c r="AB168" s="779"/>
      <c r="AC168" s="779"/>
      <c r="AD168" s="779"/>
      <c r="AE168" s="779"/>
      <c r="AF168" s="779"/>
      <c r="AG168" s="779"/>
      <c r="AH168" s="779"/>
      <c r="AI168" s="779"/>
      <c r="AJ168" s="779"/>
      <c r="AK168" s="779"/>
      <c r="AL168" s="780"/>
      <c r="AM168" s="780"/>
      <c r="AN168" s="780"/>
      <c r="AO168" s="780"/>
      <c r="AP168" s="780"/>
      <c r="AQ168" s="780"/>
      <c r="AR168" s="780"/>
      <c r="AS168" s="781">
        <f>AX168/(1+AX169)</f>
        <v>240</v>
      </c>
      <c r="AT168" s="780"/>
      <c r="AU168" s="780"/>
      <c r="AV168" s="780"/>
      <c r="AW168" s="416">
        <v>285</v>
      </c>
      <c r="AX168" s="416">
        <v>300</v>
      </c>
      <c r="AY168" s="782"/>
      <c r="AZ168" s="783">
        <f>BE168/(1+BE169)</f>
        <v>351.72413793103453</v>
      </c>
      <c r="BA168" s="416"/>
      <c r="BB168" s="783">
        <f>AW168*(1+BB169)</f>
        <v>361.95</v>
      </c>
      <c r="BC168" s="784"/>
      <c r="BD168" s="784"/>
      <c r="BE168" s="785">
        <f>408</f>
        <v>408</v>
      </c>
      <c r="BF168" s="416"/>
      <c r="BG168" s="416">
        <f>BG41*BG171</f>
        <v>426.98220000000003</v>
      </c>
      <c r="BH168" s="780"/>
      <c r="BI168" s="780"/>
      <c r="BJ168" s="780"/>
      <c r="BK168" s="706"/>
      <c r="BL168" s="783">
        <f>BG168*(1+BL169)</f>
        <v>469.68042000000008</v>
      </c>
      <c r="BM168" s="706"/>
      <c r="BN168" s="706"/>
      <c r="BO168" s="706"/>
      <c r="BP168" s="706"/>
      <c r="BQ168" s="783">
        <f>BL168*(1+BQ169)</f>
        <v>507.2548536000001</v>
      </c>
      <c r="BR168" s="706"/>
      <c r="BS168" s="706"/>
      <c r="BT168" s="706"/>
      <c r="BU168" s="706"/>
    </row>
    <row r="169" spans="1:73" s="106" customFormat="1">
      <c r="A169"/>
      <c r="B169" s="227" t="s">
        <v>126</v>
      </c>
      <c r="C169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706"/>
      <c r="AM169" s="706"/>
      <c r="AN169" s="706"/>
      <c r="AO169" s="706"/>
      <c r="AP169" s="706"/>
      <c r="AQ169" s="706"/>
      <c r="AR169" s="706"/>
      <c r="AS169" s="706"/>
      <c r="AT169" s="706"/>
      <c r="AU169" s="706"/>
      <c r="AV169" s="706"/>
      <c r="AW169" s="706"/>
      <c r="AX169" s="747">
        <v>0.25</v>
      </c>
      <c r="AY169" s="706"/>
      <c r="AZ169" s="706"/>
      <c r="BA169" s="220"/>
      <c r="BB169" s="777">
        <v>0.27</v>
      </c>
      <c r="BC169" s="706"/>
      <c r="BD169" s="706"/>
      <c r="BE169" s="777">
        <v>0.16</v>
      </c>
      <c r="BF169" s="220"/>
      <c r="BG169" s="777">
        <v>0.16</v>
      </c>
      <c r="BH169" s="706"/>
      <c r="BI169" s="706"/>
      <c r="BJ169" s="706"/>
      <c r="BK169" s="706"/>
      <c r="BL169" s="777">
        <v>0.1</v>
      </c>
      <c r="BM169" s="706"/>
      <c r="BN169" s="706"/>
      <c r="BO169" s="706"/>
      <c r="BP169" s="706"/>
      <c r="BQ169" s="777">
        <v>0.08</v>
      </c>
      <c r="BR169" s="706"/>
      <c r="BS169" s="706"/>
      <c r="BT169" s="706"/>
      <c r="BU169" s="706"/>
    </row>
    <row r="170" spans="1:73" s="106" customFormat="1">
      <c r="A170"/>
      <c r="B170" s="227" t="s">
        <v>141</v>
      </c>
      <c r="C17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706"/>
      <c r="AM170" s="706"/>
      <c r="AN170" s="706"/>
      <c r="AO170" s="706"/>
      <c r="AP170" s="706"/>
      <c r="AQ170" s="706"/>
      <c r="AR170" s="706"/>
      <c r="AS170" s="706"/>
      <c r="AT170" s="706"/>
      <c r="AU170" s="706"/>
      <c r="AV170" s="706"/>
      <c r="AW170" s="706"/>
      <c r="AX170" s="744"/>
      <c r="AY170" s="706"/>
      <c r="AZ170" s="706"/>
      <c r="BA170" s="706"/>
      <c r="BB170" s="706"/>
      <c r="BC170" s="706"/>
      <c r="BD170" s="706"/>
      <c r="BE170" s="706"/>
      <c r="BF170" s="706"/>
      <c r="BG170" s="747">
        <f>BG168/BE168-1</f>
        <v>4.652500000000015E-2</v>
      </c>
      <c r="BH170" s="706"/>
      <c r="BI170" s="706"/>
      <c r="BJ170" s="706"/>
      <c r="BK170" s="706"/>
      <c r="BL170" s="706"/>
      <c r="BM170" s="706"/>
      <c r="BN170" s="706"/>
      <c r="BO170" s="706"/>
      <c r="BP170" s="706"/>
      <c r="BQ170" s="706"/>
      <c r="BR170" s="706"/>
      <c r="BS170" s="706"/>
      <c r="BT170" s="706"/>
      <c r="BU170" s="706"/>
    </row>
    <row r="171" spans="1:73" s="106" customFormat="1">
      <c r="A171"/>
      <c r="B171" t="s">
        <v>313</v>
      </c>
      <c r="C171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706"/>
      <c r="AM171" s="706"/>
      <c r="AN171" s="706"/>
      <c r="AO171" s="706"/>
      <c r="AP171" s="706"/>
      <c r="AQ171" s="706"/>
      <c r="AR171" s="706"/>
      <c r="AS171" s="747">
        <f>AS168/AS121</f>
        <v>4239.0626289297752</v>
      </c>
      <c r="AT171" s="706"/>
      <c r="AU171" s="706"/>
      <c r="AV171" s="706"/>
      <c r="AW171" s="747">
        <f>AW168/AW121</f>
        <v>131999.43977591643</v>
      </c>
      <c r="AX171" s="747">
        <f>AX168/AX121</f>
        <v>5983.7619869197006</v>
      </c>
      <c r="AY171" s="706"/>
      <c r="AZ171" s="747">
        <f>AZ168/AZ121</f>
        <v>4356.9283784831696</v>
      </c>
      <c r="BA171" s="747"/>
      <c r="BB171" s="747"/>
      <c r="BC171" s="706"/>
      <c r="BD171" s="706"/>
      <c r="BE171" s="747"/>
      <c r="BF171" s="747"/>
      <c r="BG171" s="777">
        <v>0.51</v>
      </c>
      <c r="BH171" s="706"/>
      <c r="BI171" s="706"/>
      <c r="BJ171" s="706"/>
      <c r="BK171" s="706"/>
      <c r="BL171" s="706"/>
      <c r="BM171" s="706"/>
      <c r="BN171" s="706"/>
      <c r="BO171" s="706"/>
      <c r="BP171" s="706"/>
      <c r="BQ171" s="706"/>
      <c r="BR171" s="706"/>
      <c r="BS171" s="706"/>
      <c r="BT171" s="706"/>
      <c r="BU171" s="706"/>
    </row>
    <row r="173" spans="1:73">
      <c r="B173" s="736" t="s">
        <v>523</v>
      </c>
      <c r="BG173" s="842">
        <f>BG168*0.75</f>
        <v>320.23665000000005</v>
      </c>
    </row>
    <row r="174" spans="1:73">
      <c r="B174" s="736" t="s">
        <v>524</v>
      </c>
      <c r="BG174" s="842">
        <f>BG173/4</f>
        <v>80.059162500000014</v>
      </c>
    </row>
    <row r="175" spans="1:73">
      <c r="B175" s="833" t="s">
        <v>525</v>
      </c>
      <c r="BG175" s="844">
        <f>BG174/BG162</f>
        <v>0.39257195920268717</v>
      </c>
    </row>
    <row r="176" spans="1:73">
      <c r="B176" s="833" t="s">
        <v>527</v>
      </c>
      <c r="BG176" s="846">
        <f>(BG166-(BG179*BG178))/(BG175)</f>
        <v>0.67628503171014331</v>
      </c>
    </row>
    <row r="177" spans="2:59">
      <c r="B177" s="736" t="s">
        <v>526</v>
      </c>
      <c r="BG177" s="843">
        <f>BG162-BG174</f>
        <v>123.87583749999999</v>
      </c>
    </row>
    <row r="178" spans="2:59">
      <c r="B178" s="833" t="s">
        <v>525</v>
      </c>
      <c r="BG178" s="844">
        <f>BG177/BG162</f>
        <v>0.60742804079731283</v>
      </c>
    </row>
    <row r="179" spans="2:59">
      <c r="B179" s="833" t="s">
        <v>527</v>
      </c>
      <c r="BG179" s="845">
        <v>0.82</v>
      </c>
    </row>
    <row r="181" spans="2:59">
      <c r="B181" s="847" t="s">
        <v>529</v>
      </c>
      <c r="BG181" s="739">
        <v>0.72</v>
      </c>
    </row>
    <row r="182" spans="2:59">
      <c r="B182" s="125" t="s">
        <v>530</v>
      </c>
      <c r="BG182" s="846">
        <f>(BG181*BG175)+BG179*BG178</f>
        <v>0.78074280407973129</v>
      </c>
    </row>
  </sheetData>
  <mergeCells count="2">
    <mergeCell ref="BG4:BI4"/>
    <mergeCell ref="BG28:BI28"/>
  </mergeCells>
  <pageMargins left="0.7" right="0.7" top="0.75" bottom="0.75" header="0.3" footer="0.3"/>
  <pageSetup scale="37" fitToHeight="0" orientation="portrait" r:id="rId1"/>
  <colBreaks count="1" manualBreakCount="1">
    <brk id="48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3:BK72"/>
  <sheetViews>
    <sheetView showGridLines="0" view="pageBreakPreview" zoomScale="85" zoomScaleNormal="100" zoomScaleSheetLayoutView="85" workbookViewId="0">
      <pane xSplit="22" ySplit="7" topLeftCell="AQ8" activePane="bottomRight" state="frozen"/>
      <selection activeCell="BC12" sqref="BC12"/>
      <selection pane="topRight" activeCell="BC12" sqref="BC12"/>
      <selection pane="bottomLeft" activeCell="BC12" sqref="BC12"/>
      <selection pane="bottomRight" activeCell="BB42" sqref="BB42"/>
    </sheetView>
  </sheetViews>
  <sheetFormatPr defaultColWidth="9.265625" defaultRowHeight="12.75" outlineLevelCol="2"/>
  <cols>
    <col min="1" max="1" width="2" style="115" customWidth="1"/>
    <col min="2" max="2" width="24.3984375" style="115" customWidth="1"/>
    <col min="3" max="3" width="6.265625" style="115" customWidth="1"/>
    <col min="4" max="7" width="12.265625" style="115" hidden="1" customWidth="1" outlineLevel="2"/>
    <col min="8" max="8" width="10" style="115" hidden="1" customWidth="1" collapsed="1"/>
    <col min="9" max="12" width="12.265625" style="115" hidden="1" customWidth="1" outlineLevel="1"/>
    <col min="13" max="13" width="12.265625" style="115" hidden="1" customWidth="1" collapsed="1"/>
    <col min="14" max="15" width="12.265625" style="115" hidden="1" customWidth="1" outlineLevel="1"/>
    <col min="16" max="17" width="12.3984375" style="115" hidden="1" customWidth="1" outlineLevel="1"/>
    <col min="18" max="18" width="12.265625" style="115" hidden="1" customWidth="1" collapsed="1"/>
    <col min="19" max="20" width="12.265625" style="115" hidden="1" customWidth="1" outlineLevel="1"/>
    <col min="21" max="21" width="12.3984375" style="115" hidden="1" customWidth="1" outlineLevel="1"/>
    <col min="22" max="22" width="12.265625" style="115" hidden="1" customWidth="1" outlineLevel="1"/>
    <col min="23" max="23" width="12.265625" style="115" hidden="1" customWidth="1" collapsed="1"/>
    <col min="24" max="25" width="12" style="115" hidden="1" customWidth="1" outlineLevel="1"/>
    <col min="26" max="27" width="12.265625" style="115" hidden="1" customWidth="1" outlineLevel="1"/>
    <col min="28" max="28" width="12.73046875" style="115" hidden="1" customWidth="1" collapsed="1"/>
    <col min="29" max="30" width="12" style="115" hidden="1" customWidth="1" outlineLevel="1"/>
    <col min="31" max="32" width="12.265625" style="115" hidden="1" customWidth="1" outlineLevel="1"/>
    <col min="33" max="33" width="12.73046875" style="115" hidden="1" customWidth="1" collapsed="1"/>
    <col min="34" max="35" width="12" style="115" hidden="1" customWidth="1" outlineLevel="1"/>
    <col min="36" max="37" width="12.265625" style="115" hidden="1" customWidth="1" outlineLevel="1"/>
    <col min="38" max="38" width="12.73046875" style="115" hidden="1" customWidth="1" collapsed="1"/>
    <col min="39" max="40" width="12" style="115" hidden="1" customWidth="1" outlineLevel="1"/>
    <col min="41" max="42" width="12.265625" style="115" hidden="1" customWidth="1" outlineLevel="1"/>
    <col min="43" max="43" width="12.73046875" style="115" bestFit="1" customWidth="1" collapsed="1"/>
    <col min="44" max="45" width="12" style="115" hidden="1" customWidth="1" outlineLevel="1"/>
    <col min="46" max="47" width="12.265625" style="115" hidden="1" customWidth="1" outlineLevel="1"/>
    <col min="48" max="48" width="12.73046875" style="115" bestFit="1" customWidth="1" collapsed="1"/>
    <col min="49" max="49" width="11.265625" style="115" customWidth="1" outlineLevel="1"/>
    <col min="50" max="52" width="11.73046875" style="115" customWidth="1" outlineLevel="1"/>
    <col min="53" max="53" width="12.73046875" style="115" customWidth="1"/>
    <col min="54" max="57" width="12.265625" style="115" customWidth="1" outlineLevel="1"/>
    <col min="58" max="58" width="13" style="115" customWidth="1"/>
    <col min="59" max="62" width="12.265625" style="115" customWidth="1" outlineLevel="1"/>
    <col min="63" max="63" width="13" style="115" customWidth="1"/>
    <col min="64" max="16384" width="9.265625" style="115"/>
  </cols>
  <sheetData>
    <row r="3" spans="2:63" ht="13.15" thickBot="1">
      <c r="B3" s="579"/>
      <c r="C3" s="579"/>
      <c r="D3" s="580"/>
      <c r="E3" s="580"/>
      <c r="F3" s="580"/>
      <c r="G3" s="580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0"/>
      <c r="U3" s="580"/>
      <c r="V3" s="580"/>
      <c r="W3" s="580"/>
      <c r="X3" s="580"/>
      <c r="Y3" s="580"/>
      <c r="Z3" s="580"/>
      <c r="AA3" s="580"/>
      <c r="AB3" s="580"/>
      <c r="AC3" s="580"/>
      <c r="AD3" s="580"/>
      <c r="AE3" s="580"/>
      <c r="AF3" s="580"/>
      <c r="AG3" s="580"/>
      <c r="AH3" s="580"/>
      <c r="AI3" s="580"/>
      <c r="AJ3" s="580"/>
      <c r="AK3" s="580"/>
      <c r="AL3" s="580"/>
      <c r="AM3" s="580"/>
      <c r="AN3" s="580"/>
      <c r="AO3" s="580"/>
      <c r="AP3" s="580"/>
      <c r="AQ3" s="580"/>
      <c r="AR3" s="580"/>
      <c r="AS3" s="580"/>
      <c r="AT3" s="580"/>
      <c r="AU3" s="580"/>
      <c r="AV3" s="580"/>
      <c r="AW3" s="580"/>
      <c r="AX3" s="580"/>
      <c r="AY3" s="580"/>
      <c r="AZ3" s="580"/>
      <c r="BA3" s="580"/>
      <c r="BB3" s="580"/>
      <c r="BC3" s="580"/>
      <c r="BD3" s="580"/>
      <c r="BE3" s="580"/>
      <c r="BF3" s="580"/>
      <c r="BG3" s="580"/>
      <c r="BH3" s="580"/>
      <c r="BI3" s="580"/>
      <c r="BJ3" s="580"/>
      <c r="BK3" s="580"/>
    </row>
    <row r="4" spans="2:63" ht="17.649999999999999">
      <c r="B4" s="250" t="s">
        <v>367</v>
      </c>
      <c r="C4" s="116"/>
      <c r="AJ4" s="670"/>
      <c r="AK4" s="670"/>
    </row>
    <row r="5" spans="2:63" s="139" customFormat="1" ht="13.15">
      <c r="B5" s="251" t="s">
        <v>317</v>
      </c>
      <c r="C5" s="251"/>
      <c r="D5" s="252"/>
      <c r="E5" s="253"/>
      <c r="F5" s="254"/>
      <c r="G5" s="254"/>
      <c r="H5" s="255"/>
      <c r="I5" s="252"/>
      <c r="J5" s="253"/>
      <c r="K5" s="254"/>
      <c r="L5" s="254"/>
      <c r="M5" s="255"/>
      <c r="N5" s="252"/>
      <c r="O5" s="253"/>
      <c r="P5" s="254"/>
      <c r="Q5" s="254"/>
      <c r="R5" s="255"/>
      <c r="AJ5" s="377"/>
    </row>
    <row r="6" spans="2:63" s="139" customFormat="1" ht="13.15">
      <c r="B6" s="256"/>
      <c r="C6" s="256"/>
      <c r="D6" s="187" t="str">
        <f>+IS!D22</f>
        <v>2014A</v>
      </c>
      <c r="E6" s="188"/>
      <c r="F6" s="189"/>
      <c r="G6" s="189"/>
      <c r="H6" s="507" t="s">
        <v>206</v>
      </c>
      <c r="I6" s="187" t="str">
        <f>+IS!I22</f>
        <v>2015A</v>
      </c>
      <c r="J6" s="188"/>
      <c r="K6" s="189"/>
      <c r="L6" s="189"/>
      <c r="M6" s="507" t="s">
        <v>206</v>
      </c>
      <c r="N6" s="187" t="str">
        <f>+IS!N22</f>
        <v>2016A</v>
      </c>
      <c r="O6" s="188"/>
      <c r="P6" s="189"/>
      <c r="Q6" s="189"/>
      <c r="R6" s="507" t="s">
        <v>206</v>
      </c>
      <c r="S6" s="187" t="str">
        <f>+IS!S22</f>
        <v>2017A</v>
      </c>
      <c r="T6" s="188"/>
      <c r="U6" s="189"/>
      <c r="V6" s="189"/>
      <c r="W6" s="507" t="s">
        <v>206</v>
      </c>
      <c r="X6" s="187" t="str">
        <f>+IS!X22</f>
        <v xml:space="preserve"> 2018A</v>
      </c>
      <c r="Y6" s="188"/>
      <c r="Z6" s="189"/>
      <c r="AA6" s="189"/>
      <c r="AB6" s="507" t="s">
        <v>206</v>
      </c>
      <c r="AC6" s="187" t="str">
        <f>+IS!AC22</f>
        <v xml:space="preserve"> 2019A</v>
      </c>
      <c r="AD6" s="188"/>
      <c r="AE6" s="189"/>
      <c r="AF6" s="189"/>
      <c r="AG6" s="507" t="s">
        <v>206</v>
      </c>
      <c r="AH6" s="187" t="str">
        <f>+IS!AH22</f>
        <v xml:space="preserve"> 2020A</v>
      </c>
      <c r="AI6" s="188"/>
      <c r="AJ6" s="189"/>
      <c r="AK6" s="189"/>
      <c r="AL6" s="507" t="s">
        <v>206</v>
      </c>
      <c r="AM6" s="187" t="str">
        <f>+IS!AM22</f>
        <v xml:space="preserve"> 2021A</v>
      </c>
      <c r="AN6" s="188"/>
      <c r="AO6" s="189"/>
      <c r="AP6" s="189"/>
      <c r="AQ6" s="507" t="s">
        <v>206</v>
      </c>
      <c r="AR6" s="187" t="str">
        <f>+IS!AR22</f>
        <v xml:space="preserve"> 2022A</v>
      </c>
      <c r="AS6" s="188"/>
      <c r="AT6" s="189"/>
      <c r="AU6" s="189"/>
      <c r="AV6" s="507" t="s">
        <v>206</v>
      </c>
      <c r="AW6" s="187" t="str">
        <f>+IS!AW22</f>
        <v xml:space="preserve"> 2023A</v>
      </c>
      <c r="AX6" s="188"/>
      <c r="AY6" s="189"/>
      <c r="AZ6" s="189"/>
      <c r="BA6" s="507" t="s">
        <v>206</v>
      </c>
      <c r="BB6" s="187" t="str">
        <f>+IS!BB22</f>
        <v xml:space="preserve"> 2024A</v>
      </c>
      <c r="BC6" s="188"/>
      <c r="BD6" s="189"/>
      <c r="BE6" s="189"/>
      <c r="BF6" s="507" t="s">
        <v>206</v>
      </c>
      <c r="BG6" s="872" t="str">
        <f>+IS!BG22</f>
        <v xml:space="preserve"> 2025E</v>
      </c>
      <c r="BH6" s="873"/>
      <c r="BI6" s="189"/>
      <c r="BJ6" s="189"/>
      <c r="BK6" s="507" t="s">
        <v>206</v>
      </c>
    </row>
    <row r="7" spans="2:63" s="139" customFormat="1" ht="13.15">
      <c r="B7" s="186"/>
      <c r="C7" s="256"/>
      <c r="D7" s="190" t="str">
        <f>+IS!D23</f>
        <v>1Q-Mar 14A</v>
      </c>
      <c r="E7" s="190" t="str">
        <f>+IS!E23</f>
        <v>2Q-Jun 14A</v>
      </c>
      <c r="F7" s="190" t="str">
        <f>+IS!F23</f>
        <v>3Q-Sep 14A</v>
      </c>
      <c r="G7" s="190" t="str">
        <f>+IS!G23</f>
        <v>4Q-Dec 14A</v>
      </c>
      <c r="H7" s="507" t="str">
        <f>+IS!H23</f>
        <v>2014A</v>
      </c>
      <c r="I7" s="190" t="str">
        <f>+IS!I23</f>
        <v>1Q-Mar 15</v>
      </c>
      <c r="J7" s="190" t="str">
        <f>+IS!J23</f>
        <v>2Q-Jun 15</v>
      </c>
      <c r="K7" s="190" t="str">
        <f>+IS!K23</f>
        <v>3Q-Sep 15</v>
      </c>
      <c r="L7" s="190" t="str">
        <f>+IS!L23</f>
        <v>4Q-Dec 15</v>
      </c>
      <c r="M7" s="507" t="str">
        <f>+IS!M23</f>
        <v>2015A</v>
      </c>
      <c r="N7" s="190" t="str">
        <f>+IS!N23</f>
        <v>1Q-Mar 16</v>
      </c>
      <c r="O7" s="190" t="str">
        <f>+IS!O23</f>
        <v>2Q-Jun 16</v>
      </c>
      <c r="P7" s="190" t="str">
        <f>+IS!P23</f>
        <v>3Q-Sep 16</v>
      </c>
      <c r="Q7" s="190" t="str">
        <f>+IS!Q23</f>
        <v>4Q-Dec 16</v>
      </c>
      <c r="R7" s="507" t="str">
        <f>+IS!R23</f>
        <v>2016A</v>
      </c>
      <c r="S7" s="190" t="str">
        <f>+IS!S23</f>
        <v>1Q-Mar 17A</v>
      </c>
      <c r="T7" s="190" t="str">
        <f>+IS!T23</f>
        <v>2Q-Jun 17A</v>
      </c>
      <c r="U7" s="190" t="str">
        <f>+IS!U23</f>
        <v>3Q-Sep 17A</v>
      </c>
      <c r="V7" s="190" t="str">
        <f>+IS!V23</f>
        <v>4Q-Dec 17A</v>
      </c>
      <c r="W7" s="507" t="str">
        <f>+IS!W23</f>
        <v>2017A</v>
      </c>
      <c r="X7" s="190" t="str">
        <f>+IS!X23</f>
        <v>1Q-Mar 18A</v>
      </c>
      <c r="Y7" s="190" t="str">
        <f>+IS!Y23</f>
        <v>2Q-Jun 18A</v>
      </c>
      <c r="Z7" s="190" t="str">
        <f>+IS!Z23</f>
        <v>3Q-Sep 18A</v>
      </c>
      <c r="AA7" s="190" t="str">
        <f>+IS!AA23</f>
        <v>4Q-Dec 18A</v>
      </c>
      <c r="AB7" s="507" t="str">
        <f>+IS!AB23</f>
        <v>2018A</v>
      </c>
      <c r="AC7" s="190" t="str">
        <f>+IS!AC23</f>
        <v>1Q-Mar 19A</v>
      </c>
      <c r="AD7" s="421" t="str">
        <f>+IS!AD23</f>
        <v>2Q-Jun 19A</v>
      </c>
      <c r="AE7" s="190" t="str">
        <f>+IS!AE23</f>
        <v>3Q-Sep 19A</v>
      </c>
      <c r="AF7" s="190" t="str">
        <f>+IS!AF23</f>
        <v>4Q-Dec 19A</v>
      </c>
      <c r="AG7" s="507" t="str">
        <f>+IS!AG23</f>
        <v>2019A</v>
      </c>
      <c r="AH7" s="190" t="str">
        <f>+IS!AH23</f>
        <v>1Q-Mar 20A</v>
      </c>
      <c r="AI7" s="190" t="str">
        <f>+IS!AI23</f>
        <v>2Q-Jun 20A</v>
      </c>
      <c r="AJ7" s="190" t="str">
        <f>+IS!AJ23</f>
        <v>3Q-Sep 20A</v>
      </c>
      <c r="AK7" s="190" t="str">
        <f>+IS!AK23</f>
        <v>4Q-Dec 20A</v>
      </c>
      <c r="AL7" s="507" t="str">
        <f>+IS!AL23</f>
        <v>2020A</v>
      </c>
      <c r="AM7" s="190" t="str">
        <f>+IS!AM23</f>
        <v>1Q-Mar 21A</v>
      </c>
      <c r="AN7" s="190" t="str">
        <f>+IS!AN23</f>
        <v>2Q-Jun 21A</v>
      </c>
      <c r="AO7" s="190" t="str">
        <f>+IS!AO23</f>
        <v>3Q-Sep 21A</v>
      </c>
      <c r="AP7" s="190" t="str">
        <f>+IS!AP23</f>
        <v>4Q-Dec 21A</v>
      </c>
      <c r="AQ7" s="507" t="str">
        <f>+IS!AQ23</f>
        <v>2021A</v>
      </c>
      <c r="AR7" s="190" t="str">
        <f>+IS!AR23</f>
        <v>1Q-Mar 22A</v>
      </c>
      <c r="AS7" s="190" t="str">
        <f>+IS!AS23</f>
        <v>2Q-Jun 22A</v>
      </c>
      <c r="AT7" s="190" t="str">
        <f>+IS!AT23</f>
        <v>3Q-Sep 22A</v>
      </c>
      <c r="AU7" s="190" t="str">
        <f>+IS!AU23</f>
        <v>4Q-Dec 22A</v>
      </c>
      <c r="AV7" s="507" t="str">
        <f>+IS!AV23</f>
        <v>2022A</v>
      </c>
      <c r="AW7" s="190" t="str">
        <f>+IS!AW23</f>
        <v>1Q-Mar 23A</v>
      </c>
      <c r="AX7" s="190" t="str">
        <f>+IS!AX23</f>
        <v>2Q-Jun 23A</v>
      </c>
      <c r="AY7" s="190" t="str">
        <f>+IS!AY23</f>
        <v>3Q-Sep 23A</v>
      </c>
      <c r="AZ7" s="190" t="str">
        <f>+IS!AZ23</f>
        <v>4Q-Dec 23A</v>
      </c>
      <c r="BA7" s="507" t="str">
        <f>+IS!BA23</f>
        <v>2023A</v>
      </c>
      <c r="BB7" s="190" t="str">
        <f>+IS!BB23</f>
        <v>1Q-Mar 24A</v>
      </c>
      <c r="BC7" s="190" t="str">
        <f>+IS!BC23</f>
        <v>2Q-Jun 24A</v>
      </c>
      <c r="BD7" s="190" t="str">
        <f>+IS!BD23</f>
        <v>3Q-Sep 24A</v>
      </c>
      <c r="BE7" s="190" t="str">
        <f>+IS!BE23</f>
        <v>4Q-Dec 24A</v>
      </c>
      <c r="BF7" s="507" t="str">
        <f>+IS!BF23</f>
        <v>2024A</v>
      </c>
      <c r="BG7" s="190" t="str">
        <f>+IS!BG23</f>
        <v>1Q-Mar 25A</v>
      </c>
      <c r="BH7" s="190" t="str">
        <f>+IS!BH23</f>
        <v>2Q-Jun 25A</v>
      </c>
      <c r="BI7" s="190" t="str">
        <f>+IS!BI23</f>
        <v>3Q-Sep 25A</v>
      </c>
      <c r="BJ7" s="190" t="str">
        <f>+IS!BJ23</f>
        <v>4Q-Dec 25A</v>
      </c>
      <c r="BK7" s="507" t="str">
        <f>+IS!BK23</f>
        <v>2025A</v>
      </c>
    </row>
    <row r="8" spans="2:63" s="139" customFormat="1">
      <c r="H8" s="517"/>
      <c r="M8" s="517"/>
      <c r="R8" s="517"/>
      <c r="W8" s="517"/>
      <c r="AB8" s="517"/>
      <c r="AD8" s="422"/>
      <c r="AG8" s="517"/>
      <c r="AL8" s="517"/>
      <c r="AQ8" s="517"/>
      <c r="AV8" s="517"/>
      <c r="BA8" s="517"/>
      <c r="BF8" s="517"/>
      <c r="BK8" s="517"/>
    </row>
    <row r="9" spans="2:63" s="139" customFormat="1" ht="13.15">
      <c r="B9" s="139" t="s">
        <v>490</v>
      </c>
      <c r="C9" s="141"/>
      <c r="D9" s="378">
        <f>D$34*D27</f>
        <v>0</v>
      </c>
      <c r="E9" s="379">
        <v>15784</v>
      </c>
      <c r="F9" s="378">
        <f>F$34*F27</f>
        <v>0</v>
      </c>
      <c r="G9" s="378">
        <f>G$34*G27</f>
        <v>0</v>
      </c>
      <c r="H9" s="518">
        <f>SUM(D9:G9)</f>
        <v>15784</v>
      </c>
      <c r="I9" s="378">
        <f t="shared" ref="I9:L10" si="0">I$34*I27</f>
        <v>20271.060000000001</v>
      </c>
      <c r="J9" s="378">
        <f t="shared" si="0"/>
        <v>22695.200000000001</v>
      </c>
      <c r="K9" s="378">
        <f t="shared" si="0"/>
        <v>24914.560000000001</v>
      </c>
      <c r="L9" s="378">
        <f t="shared" si="0"/>
        <v>28582.11</v>
      </c>
      <c r="M9" s="518">
        <f>SUM(I9:L9)</f>
        <v>96462.930000000008</v>
      </c>
      <c r="N9" s="378">
        <f t="shared" ref="N9:Q10" si="1">N$34*N27</f>
        <v>30272.52</v>
      </c>
      <c r="O9" s="378">
        <f t="shared" si="1"/>
        <v>32423.16</v>
      </c>
      <c r="P9" s="378">
        <f t="shared" si="1"/>
        <v>34691.54</v>
      </c>
      <c r="Q9" s="378">
        <f t="shared" si="1"/>
        <v>37828.559999999998</v>
      </c>
      <c r="R9" s="518">
        <f>SUM(N9:Q9)</f>
        <v>135215.78</v>
      </c>
      <c r="S9" s="378">
        <f t="shared" ref="S9:V10" si="2">S$34*S27</f>
        <v>38005.799999999996</v>
      </c>
      <c r="T9" s="378">
        <f t="shared" si="2"/>
        <v>40326.549999999996</v>
      </c>
      <c r="U9" s="378">
        <f t="shared" si="2"/>
        <v>42942.85</v>
      </c>
      <c r="V9" s="378">
        <f t="shared" si="2"/>
        <v>49648.659999999996</v>
      </c>
      <c r="W9" s="518">
        <f>SUM(S9:V9)</f>
        <v>170923.86</v>
      </c>
      <c r="X9" s="378">
        <f t="shared" ref="X9:Z10" si="3">X$34*X27</f>
        <v>46337.75</v>
      </c>
      <c r="Y9" s="378">
        <f t="shared" si="3"/>
        <v>49090.439999999995</v>
      </c>
      <c r="Z9" s="378">
        <f t="shared" si="3"/>
        <v>53010.25</v>
      </c>
      <c r="AA9" s="613">
        <f>58488</f>
        <v>58488</v>
      </c>
      <c r="AB9" s="518">
        <f>SUM(X9:AA9)</f>
        <v>206926.44</v>
      </c>
      <c r="AC9" s="378">
        <v>62039</v>
      </c>
      <c r="AD9" s="378">
        <v>66301</v>
      </c>
      <c r="AE9" s="699">
        <f>69883</f>
        <v>69883</v>
      </c>
      <c r="AF9" s="699">
        <f>AG9-AE9-AD9-AC9</f>
        <v>66629</v>
      </c>
      <c r="AG9" s="612">
        <f>264852</f>
        <v>264852</v>
      </c>
      <c r="AH9" s="378">
        <f>75837</f>
        <v>75837</v>
      </c>
      <c r="AI9" s="699">
        <f>79457</f>
        <v>79457</v>
      </c>
      <c r="AJ9" s="699">
        <f>84319</f>
        <v>84319</v>
      </c>
      <c r="AK9" s="699">
        <f>AL9-AJ9-AI9-AH9</f>
        <v>90140</v>
      </c>
      <c r="AL9" s="518">
        <f>329753</f>
        <v>329753</v>
      </c>
      <c r="AM9" s="699">
        <v>92509</v>
      </c>
      <c r="AN9" s="699">
        <v>99256</v>
      </c>
      <c r="AO9" s="699">
        <v>107513</v>
      </c>
      <c r="AP9" s="699">
        <f>AQ9-AO9-AN9-AM9</f>
        <v>115578</v>
      </c>
      <c r="AQ9" s="518">
        <f>414856</f>
        <v>414856</v>
      </c>
      <c r="AR9" s="378">
        <f>119123</f>
        <v>119123</v>
      </c>
      <c r="AS9" s="378">
        <f>126001</f>
        <v>126001</v>
      </c>
      <c r="AT9" s="378">
        <f>AT34-AT10</f>
        <v>131628</v>
      </c>
      <c r="AU9" s="699">
        <f>AU34-AU10</f>
        <v>139404</v>
      </c>
      <c r="AV9" s="518">
        <f>515894</f>
        <v>515894</v>
      </c>
      <c r="AW9" s="378">
        <f>137111</f>
        <v>137111</v>
      </c>
      <c r="AX9" s="378">
        <f>149683</f>
        <v>149683</v>
      </c>
      <c r="AY9" s="378">
        <f>147929</f>
        <v>147929</v>
      </c>
      <c r="AZ9" s="378">
        <f>158695</f>
        <v>158695</v>
      </c>
      <c r="BA9" s="518">
        <f>SUM(AW9:AZ9)</f>
        <v>593418</v>
      </c>
      <c r="BB9" s="378">
        <f>157340</f>
        <v>157340</v>
      </c>
      <c r="BC9" s="378">
        <f>159322</f>
        <v>159322</v>
      </c>
      <c r="BD9" s="378">
        <f>163730</f>
        <v>163730</v>
      </c>
      <c r="BE9" s="378">
        <f>163014</f>
        <v>163014</v>
      </c>
      <c r="BF9" s="518">
        <f>SUM(BB9:BE9)</f>
        <v>643406</v>
      </c>
      <c r="BG9" s="378">
        <f>157945</f>
        <v>157945</v>
      </c>
      <c r="BH9" s="378">
        <f t="shared" ref="BH9:BJ10" si="4">BH$34*BH27</f>
        <v>0</v>
      </c>
      <c r="BI9" s="378">
        <f t="shared" si="4"/>
        <v>0</v>
      </c>
      <c r="BJ9" s="378">
        <f t="shared" si="4"/>
        <v>0</v>
      </c>
      <c r="BK9" s="518">
        <f>SUM(BG9:BJ9)</f>
        <v>157945</v>
      </c>
    </row>
    <row r="10" spans="2:63" s="139" customFormat="1" ht="13.15">
      <c r="B10" s="139" t="s">
        <v>491</v>
      </c>
      <c r="C10" s="675"/>
      <c r="D10" s="676">
        <f>D$34*D28</f>
        <v>0</v>
      </c>
      <c r="E10" s="677">
        <v>2096</v>
      </c>
      <c r="F10" s="676">
        <f>F$34*F28</f>
        <v>0</v>
      </c>
      <c r="G10" s="676">
        <f>G$34*G28</f>
        <v>0</v>
      </c>
      <c r="H10" s="678">
        <f>SUM(D10:G10)</f>
        <v>2096</v>
      </c>
      <c r="I10" s="676">
        <f t="shared" si="0"/>
        <v>3299.9400000000005</v>
      </c>
      <c r="J10" s="676">
        <f t="shared" si="0"/>
        <v>3094.7999999999997</v>
      </c>
      <c r="K10" s="676">
        <f t="shared" si="0"/>
        <v>3397.44</v>
      </c>
      <c r="L10" s="676">
        <f t="shared" si="0"/>
        <v>4270.8900000000003</v>
      </c>
      <c r="M10" s="678">
        <f>SUM(I10:L10)</f>
        <v>14063.07</v>
      </c>
      <c r="N10" s="676">
        <f t="shared" si="1"/>
        <v>4523.4800000000005</v>
      </c>
      <c r="O10" s="676">
        <f t="shared" si="1"/>
        <v>4844.84</v>
      </c>
      <c r="P10" s="676">
        <f t="shared" si="1"/>
        <v>5647.4600000000009</v>
      </c>
      <c r="Q10" s="676">
        <f t="shared" si="1"/>
        <v>7205.4400000000005</v>
      </c>
      <c r="R10" s="678">
        <f>SUM(N10:Q10)</f>
        <v>22221.22</v>
      </c>
      <c r="S10" s="676">
        <f t="shared" si="2"/>
        <v>7239.2</v>
      </c>
      <c r="T10" s="676">
        <f t="shared" si="2"/>
        <v>7116.45</v>
      </c>
      <c r="U10" s="676">
        <f t="shared" si="2"/>
        <v>7578.15</v>
      </c>
      <c r="V10" s="676">
        <f t="shared" si="2"/>
        <v>8082.3400000000011</v>
      </c>
      <c r="W10" s="678">
        <f>SUM(S10:V10)</f>
        <v>30016.14</v>
      </c>
      <c r="X10" s="676">
        <f t="shared" si="3"/>
        <v>8177.25</v>
      </c>
      <c r="Y10" s="676">
        <f t="shared" si="3"/>
        <v>9350.56</v>
      </c>
      <c r="Z10" s="676">
        <f t="shared" si="3"/>
        <v>9354.75</v>
      </c>
      <c r="AA10" s="679">
        <f>10282</f>
        <v>10282</v>
      </c>
      <c r="AB10" s="678">
        <f>SUM(X10:AA10)</f>
        <v>37164.559999999998</v>
      </c>
      <c r="AC10" s="676">
        <v>11146</v>
      </c>
      <c r="AD10" s="676">
        <v>12658</v>
      </c>
      <c r="AE10" s="558">
        <f>13272</f>
        <v>13272</v>
      </c>
      <c r="AF10" s="699">
        <f>AG10-AE10-AD10-AC10</f>
        <v>25019</v>
      </c>
      <c r="AG10" s="607">
        <f>62095</f>
        <v>62095</v>
      </c>
      <c r="AH10" s="676">
        <f>18503</f>
        <v>18503</v>
      </c>
      <c r="AI10" s="558">
        <f>19455</f>
        <v>19455</v>
      </c>
      <c r="AJ10" s="558">
        <f>20756</f>
        <v>20756</v>
      </c>
      <c r="AK10" s="699">
        <f>AL10-AJ10-AI10-AH10</f>
        <v>23019</v>
      </c>
      <c r="AL10" s="678">
        <f>81733</f>
        <v>81733</v>
      </c>
      <c r="AM10" s="558">
        <v>24942</v>
      </c>
      <c r="AN10" s="558">
        <v>27165</v>
      </c>
      <c r="AO10" s="558">
        <v>32381</v>
      </c>
      <c r="AP10" s="558">
        <f>AQ10-AN10-AM10-AO10</f>
        <v>36060</v>
      </c>
      <c r="AQ10" s="678">
        <f>120548</f>
        <v>120548</v>
      </c>
      <c r="AR10" s="676">
        <f>38261</f>
        <v>38261</v>
      </c>
      <c r="AS10" s="676">
        <f>41454</f>
        <v>41454</v>
      </c>
      <c r="AT10" s="676">
        <v>44137</v>
      </c>
      <c r="AU10" s="558">
        <f>AP10*1.25</f>
        <v>45075</v>
      </c>
      <c r="AV10" s="678">
        <f>169189</f>
        <v>169189</v>
      </c>
      <c r="AW10" s="676">
        <f>AW34-AW9</f>
        <v>46063</v>
      </c>
      <c r="AX10" s="676">
        <f>AX34-AX9</f>
        <v>40739</v>
      </c>
      <c r="AY10" s="676">
        <f>50914</f>
        <v>50914</v>
      </c>
      <c r="AZ10" s="676">
        <f>46573</f>
        <v>46573</v>
      </c>
      <c r="BA10" s="678">
        <f>SUM(AW10:AZ10)</f>
        <v>184289</v>
      </c>
      <c r="BB10" s="676">
        <f>47761</f>
        <v>47761</v>
      </c>
      <c r="BC10" s="676">
        <f>BC34-BC9</f>
        <v>48669</v>
      </c>
      <c r="BD10" s="676">
        <f>BD34-BD9</f>
        <v>50924</v>
      </c>
      <c r="BE10" s="676">
        <f>BE34-BE9</f>
        <v>53247</v>
      </c>
      <c r="BF10" s="678">
        <f>SUM(BB10:BE10)</f>
        <v>200601</v>
      </c>
      <c r="BG10" s="676">
        <f>52308</f>
        <v>52308</v>
      </c>
      <c r="BH10" s="676">
        <f t="shared" si="4"/>
        <v>0</v>
      </c>
      <c r="BI10" s="676">
        <f t="shared" si="4"/>
        <v>0</v>
      </c>
      <c r="BJ10" s="676">
        <f t="shared" si="4"/>
        <v>0</v>
      </c>
      <c r="BK10" s="678">
        <f>SUM(BG10:BJ10)</f>
        <v>52308</v>
      </c>
    </row>
    <row r="11" spans="2:63" s="139" customFormat="1" ht="3.6" customHeight="1">
      <c r="B11" s="144"/>
      <c r="C11" s="145"/>
      <c r="D11" s="380" t="s">
        <v>129</v>
      </c>
      <c r="E11" s="380" t="s">
        <v>129</v>
      </c>
      <c r="F11" s="380" t="s">
        <v>129</v>
      </c>
      <c r="G11" s="380" t="s">
        <v>129</v>
      </c>
      <c r="H11" s="519" t="s">
        <v>129</v>
      </c>
      <c r="I11" s="380" t="s">
        <v>129</v>
      </c>
      <c r="J11" s="380" t="s">
        <v>129</v>
      </c>
      <c r="K11" s="380" t="s">
        <v>129</v>
      </c>
      <c r="L11" s="380" t="s">
        <v>129</v>
      </c>
      <c r="M11" s="519" t="s">
        <v>129</v>
      </c>
      <c r="N11" s="380" t="s">
        <v>129</v>
      </c>
      <c r="O11" s="380" t="s">
        <v>129</v>
      </c>
      <c r="P11" s="380" t="s">
        <v>129</v>
      </c>
      <c r="Q11" s="380" t="s">
        <v>129</v>
      </c>
      <c r="R11" s="519" t="s">
        <v>129</v>
      </c>
      <c r="S11" s="380" t="s">
        <v>129</v>
      </c>
      <c r="T11" s="380" t="s">
        <v>129</v>
      </c>
      <c r="U11" s="380" t="s">
        <v>129</v>
      </c>
      <c r="V11" s="380" t="s">
        <v>129</v>
      </c>
      <c r="W11" s="519" t="s">
        <v>129</v>
      </c>
      <c r="X11" s="380" t="s">
        <v>129</v>
      </c>
      <c r="Y11" s="380" t="s">
        <v>129</v>
      </c>
      <c r="Z11" s="380" t="s">
        <v>129</v>
      </c>
      <c r="AA11" s="380" t="s">
        <v>129</v>
      </c>
      <c r="AB11" s="519" t="s">
        <v>129</v>
      </c>
      <c r="AC11" s="380" t="s">
        <v>129</v>
      </c>
      <c r="AD11" s="380" t="s">
        <v>129</v>
      </c>
      <c r="AE11" s="380" t="s">
        <v>129</v>
      </c>
      <c r="AF11" s="380" t="s">
        <v>129</v>
      </c>
      <c r="AG11" s="519" t="s">
        <v>129</v>
      </c>
      <c r="AH11" s="380" t="s">
        <v>129</v>
      </c>
      <c r="AI11" s="380" t="s">
        <v>129</v>
      </c>
      <c r="AJ11" s="380" t="s">
        <v>129</v>
      </c>
      <c r="AK11" s="380" t="s">
        <v>129</v>
      </c>
      <c r="AL11" s="519" t="s">
        <v>129</v>
      </c>
      <c r="AM11" s="380" t="s">
        <v>129</v>
      </c>
      <c r="AN11" s="380" t="s">
        <v>129</v>
      </c>
      <c r="AO11" s="380" t="s">
        <v>129</v>
      </c>
      <c r="AP11" s="380" t="s">
        <v>129</v>
      </c>
      <c r="AQ11" s="519" t="s">
        <v>129</v>
      </c>
      <c r="AR11" s="380" t="s">
        <v>129</v>
      </c>
      <c r="AS11" s="380" t="s">
        <v>129</v>
      </c>
      <c r="AT11" s="380" t="s">
        <v>129</v>
      </c>
      <c r="AU11" s="380" t="s">
        <v>129</v>
      </c>
      <c r="AV11" s="519" t="s">
        <v>129</v>
      </c>
      <c r="AW11" s="380" t="s">
        <v>129</v>
      </c>
      <c r="AX11" s="380" t="s">
        <v>129</v>
      </c>
      <c r="AY11" s="380" t="s">
        <v>129</v>
      </c>
      <c r="AZ11" s="380" t="s">
        <v>129</v>
      </c>
      <c r="BA11" s="519" t="s">
        <v>129</v>
      </c>
      <c r="BB11" s="380" t="s">
        <v>129</v>
      </c>
      <c r="BC11" s="380" t="s">
        <v>129</v>
      </c>
      <c r="BD11" s="380" t="s">
        <v>129</v>
      </c>
      <c r="BE11" s="380" t="s">
        <v>129</v>
      </c>
      <c r="BF11" s="519" t="s">
        <v>129</v>
      </c>
      <c r="BG11" s="380" t="s">
        <v>129</v>
      </c>
      <c r="BH11" s="380" t="s">
        <v>129</v>
      </c>
      <c r="BI11" s="380" t="s">
        <v>129</v>
      </c>
      <c r="BJ11" s="380" t="s">
        <v>129</v>
      </c>
      <c r="BK11" s="519" t="s">
        <v>129</v>
      </c>
    </row>
    <row r="12" spans="2:63" s="139" customFormat="1" ht="13.15">
      <c r="B12" s="140" t="s">
        <v>128</v>
      </c>
      <c r="C12" s="140"/>
      <c r="D12" s="766">
        <f t="shared" ref="D12:AB12" si="5">SUM(D9:D10)</f>
        <v>0</v>
      </c>
      <c r="E12" s="766">
        <f t="shared" si="5"/>
        <v>17880</v>
      </c>
      <c r="F12" s="766">
        <f t="shared" si="5"/>
        <v>0</v>
      </c>
      <c r="G12" s="766">
        <f t="shared" si="5"/>
        <v>0</v>
      </c>
      <c r="H12" s="767">
        <f t="shared" si="5"/>
        <v>17880</v>
      </c>
      <c r="I12" s="766">
        <f t="shared" si="5"/>
        <v>23571</v>
      </c>
      <c r="J12" s="766">
        <f t="shared" si="5"/>
        <v>25790</v>
      </c>
      <c r="K12" s="766">
        <f t="shared" si="5"/>
        <v>28312</v>
      </c>
      <c r="L12" s="766">
        <f t="shared" si="5"/>
        <v>32853</v>
      </c>
      <c r="M12" s="767">
        <f t="shared" si="5"/>
        <v>110526</v>
      </c>
      <c r="N12" s="766">
        <f t="shared" si="5"/>
        <v>34796</v>
      </c>
      <c r="O12" s="766">
        <f t="shared" si="5"/>
        <v>37268</v>
      </c>
      <c r="P12" s="766">
        <f t="shared" si="5"/>
        <v>40339</v>
      </c>
      <c r="Q12" s="766">
        <f t="shared" si="5"/>
        <v>45034</v>
      </c>
      <c r="R12" s="767">
        <f t="shared" si="5"/>
        <v>157437</v>
      </c>
      <c r="S12" s="766">
        <f t="shared" si="5"/>
        <v>45244.999999999993</v>
      </c>
      <c r="T12" s="766">
        <f t="shared" si="5"/>
        <v>47442.999999999993</v>
      </c>
      <c r="U12" s="766">
        <f t="shared" si="5"/>
        <v>50521</v>
      </c>
      <c r="V12" s="766">
        <f t="shared" si="5"/>
        <v>57731</v>
      </c>
      <c r="W12" s="767">
        <f t="shared" si="5"/>
        <v>200940</v>
      </c>
      <c r="X12" s="766">
        <f t="shared" si="5"/>
        <v>54515</v>
      </c>
      <c r="Y12" s="766">
        <f t="shared" si="5"/>
        <v>58440.999999999993</v>
      </c>
      <c r="Z12" s="766">
        <f t="shared" si="5"/>
        <v>62365</v>
      </c>
      <c r="AA12" s="766">
        <f t="shared" si="5"/>
        <v>68770</v>
      </c>
      <c r="AB12" s="767">
        <f t="shared" si="5"/>
        <v>244091</v>
      </c>
      <c r="AC12" s="766">
        <f t="shared" ref="AC12:AL12" si="6">SUM(AC9:AC10)</f>
        <v>73185</v>
      </c>
      <c r="AD12" s="766">
        <f t="shared" si="6"/>
        <v>78959</v>
      </c>
      <c r="AE12" s="766">
        <f t="shared" si="6"/>
        <v>83155</v>
      </c>
      <c r="AF12" s="766">
        <f t="shared" si="6"/>
        <v>91648</v>
      </c>
      <c r="AG12" s="767">
        <f t="shared" si="6"/>
        <v>326947</v>
      </c>
      <c r="AH12" s="766">
        <f t="shared" si="6"/>
        <v>94340</v>
      </c>
      <c r="AI12" s="766">
        <f t="shared" si="6"/>
        <v>98912</v>
      </c>
      <c r="AJ12" s="766">
        <f t="shared" si="6"/>
        <v>105075</v>
      </c>
      <c r="AK12" s="766">
        <f t="shared" si="6"/>
        <v>113159</v>
      </c>
      <c r="AL12" s="767">
        <f t="shared" si="6"/>
        <v>411486</v>
      </c>
      <c r="AM12" s="766">
        <f>IS!AM52</f>
        <v>117451</v>
      </c>
      <c r="AN12" s="766">
        <f>IS!AN52</f>
        <v>126421</v>
      </c>
      <c r="AO12" s="766">
        <f>SUM(AO9:AO10)</f>
        <v>139894</v>
      </c>
      <c r="AP12" s="766">
        <f>SUM(AP9:AP10)</f>
        <v>151638</v>
      </c>
      <c r="AQ12" s="767">
        <f>SUM(AQ9:AQ10)</f>
        <v>535404</v>
      </c>
      <c r="AR12" s="766">
        <f>SUM(AR9:AR10)</f>
        <v>157384</v>
      </c>
      <c r="AS12" s="766">
        <f>IS!AS52</f>
        <v>167455</v>
      </c>
      <c r="AT12" s="766">
        <f t="shared" ref="AT12:BK12" si="7">SUM(AT9:AT10)</f>
        <v>175765</v>
      </c>
      <c r="AU12" s="766">
        <f t="shared" si="7"/>
        <v>184479</v>
      </c>
      <c r="AV12" s="767">
        <f t="shared" si="7"/>
        <v>685083</v>
      </c>
      <c r="AW12" s="766">
        <f t="shared" si="7"/>
        <v>183174</v>
      </c>
      <c r="AX12" s="766">
        <f t="shared" si="7"/>
        <v>190422</v>
      </c>
      <c r="AY12" s="766">
        <f t="shared" si="7"/>
        <v>198843</v>
      </c>
      <c r="AZ12" s="766">
        <f t="shared" si="7"/>
        <v>205268</v>
      </c>
      <c r="BA12" s="767">
        <f t="shared" si="7"/>
        <v>777707</v>
      </c>
      <c r="BB12" s="766">
        <f t="shared" si="7"/>
        <v>205101</v>
      </c>
      <c r="BC12" s="766">
        <f t="shared" si="7"/>
        <v>207991</v>
      </c>
      <c r="BD12" s="766">
        <f t="shared" si="7"/>
        <v>214654</v>
      </c>
      <c r="BE12" s="766">
        <f t="shared" si="7"/>
        <v>216261</v>
      </c>
      <c r="BF12" s="767">
        <f t="shared" si="7"/>
        <v>844007</v>
      </c>
      <c r="BG12" s="766">
        <f t="shared" ref="BG12" si="8">SUM(BG9:BG10)</f>
        <v>210253</v>
      </c>
      <c r="BH12" s="766">
        <f t="shared" si="7"/>
        <v>0</v>
      </c>
      <c r="BI12" s="766">
        <f t="shared" si="7"/>
        <v>0</v>
      </c>
      <c r="BJ12" s="766">
        <f t="shared" si="7"/>
        <v>0</v>
      </c>
      <c r="BK12" s="767">
        <f t="shared" si="7"/>
        <v>210253</v>
      </c>
    </row>
    <row r="13" spans="2:63" s="139" customFormat="1" ht="13.15">
      <c r="B13" s="140"/>
      <c r="C13" s="141"/>
      <c r="D13" s="142"/>
      <c r="E13" s="142"/>
      <c r="F13" s="142"/>
      <c r="G13" s="142"/>
      <c r="H13" s="523"/>
      <c r="I13" s="142"/>
      <c r="J13" s="146"/>
      <c r="K13" s="146"/>
      <c r="L13" s="146"/>
      <c r="M13" s="520"/>
      <c r="N13" s="142"/>
      <c r="O13" s="146"/>
      <c r="P13" s="146"/>
      <c r="Q13" s="146"/>
      <c r="R13" s="520"/>
      <c r="S13" s="142"/>
      <c r="T13" s="146"/>
      <c r="U13" s="146"/>
      <c r="V13" s="146"/>
      <c r="W13" s="520"/>
      <c r="X13" s="142"/>
      <c r="Y13" s="146"/>
      <c r="Z13" s="146"/>
      <c r="AA13" s="146"/>
      <c r="AB13" s="520"/>
      <c r="AC13" s="142"/>
      <c r="AD13" s="146"/>
      <c r="AE13" s="146"/>
      <c r="AF13" s="146"/>
      <c r="AG13" s="520"/>
      <c r="AH13" s="142"/>
      <c r="AI13" s="146"/>
      <c r="AJ13" s="146"/>
      <c r="AK13" s="146"/>
      <c r="AL13" s="520"/>
      <c r="AM13" s="142"/>
      <c r="AN13" s="146"/>
      <c r="AO13" s="146"/>
      <c r="AP13" s="146"/>
      <c r="AQ13" s="520"/>
      <c r="AR13" s="142"/>
      <c r="AS13" s="146"/>
      <c r="AT13" s="146"/>
      <c r="AU13" s="146"/>
      <c r="AV13" s="520"/>
      <c r="AW13" s="142"/>
      <c r="AX13" s="146"/>
      <c r="AY13" s="146"/>
      <c r="AZ13" s="146"/>
      <c r="BA13" s="520"/>
      <c r="BB13" s="142"/>
      <c r="BC13" s="146"/>
      <c r="BD13" s="146"/>
      <c r="BE13" s="146"/>
      <c r="BF13" s="520"/>
      <c r="BG13" s="142"/>
      <c r="BH13" s="146"/>
      <c r="BI13" s="146"/>
      <c r="BJ13" s="146"/>
      <c r="BK13" s="520"/>
    </row>
    <row r="14" spans="2:63" s="139" customFormat="1" ht="13.15">
      <c r="B14" s="140" t="s">
        <v>489</v>
      </c>
      <c r="C14" s="148"/>
      <c r="D14" s="147"/>
      <c r="E14" s="147"/>
      <c r="F14" s="147"/>
      <c r="G14" s="147"/>
      <c r="H14" s="521"/>
      <c r="I14" s="147"/>
      <c r="J14" s="147"/>
      <c r="K14" s="147"/>
      <c r="L14" s="147"/>
      <c r="M14" s="521"/>
      <c r="N14" s="147"/>
      <c r="O14" s="147"/>
      <c r="P14" s="147"/>
      <c r="Q14" s="147"/>
      <c r="R14" s="521"/>
      <c r="S14" s="147"/>
      <c r="T14" s="147"/>
      <c r="U14" s="147"/>
      <c r="V14" s="147"/>
      <c r="W14" s="521"/>
      <c r="X14" s="147"/>
      <c r="Y14" s="147"/>
      <c r="Z14" s="147"/>
      <c r="AA14" s="147"/>
      <c r="AB14" s="521"/>
      <c r="AC14" s="147"/>
      <c r="AD14" s="147"/>
      <c r="AE14" s="147"/>
      <c r="AF14" s="147"/>
      <c r="AG14" s="521"/>
      <c r="AH14" s="147"/>
      <c r="AI14" s="147"/>
      <c r="AJ14" s="147"/>
      <c r="AK14" s="147"/>
      <c r="AL14" s="521"/>
      <c r="AM14" s="147"/>
      <c r="AN14" s="147"/>
      <c r="AO14" s="147"/>
      <c r="AP14" s="147"/>
      <c r="AQ14" s="521"/>
      <c r="AR14" s="147"/>
      <c r="AS14" s="147"/>
      <c r="AT14" s="147"/>
      <c r="AU14" s="147"/>
      <c r="AV14" s="521"/>
      <c r="AW14" s="147"/>
      <c r="AX14" s="147"/>
      <c r="AY14" s="147"/>
      <c r="AZ14" s="147"/>
      <c r="BA14" s="521"/>
      <c r="BB14" s="147"/>
      <c r="BC14" s="147"/>
      <c r="BD14" s="147"/>
      <c r="BE14" s="147"/>
      <c r="BF14" s="521"/>
      <c r="BG14" s="147"/>
      <c r="BH14" s="147"/>
      <c r="BI14" s="147"/>
      <c r="BJ14" s="147"/>
      <c r="BK14" s="521"/>
    </row>
    <row r="15" spans="2:63" s="139" customFormat="1">
      <c r="B15" s="139" t="s">
        <v>490</v>
      </c>
      <c r="C15" s="148"/>
      <c r="D15" s="147"/>
      <c r="E15" s="147"/>
      <c r="F15" s="147"/>
      <c r="G15" s="147"/>
      <c r="H15" s="521"/>
      <c r="I15" s="147"/>
      <c r="J15" s="147"/>
      <c r="K15" s="147"/>
      <c r="L15" s="147"/>
      <c r="M15" s="521"/>
      <c r="N15" s="147">
        <f t="shared" ref="N15:W16" si="9">+N9/I9-1</f>
        <v>0.49338613767607598</v>
      </c>
      <c r="O15" s="147">
        <f t="shared" si="9"/>
        <v>0.42863512989530816</v>
      </c>
      <c r="P15" s="147">
        <f t="shared" si="9"/>
        <v>0.39242033573942292</v>
      </c>
      <c r="Q15" s="147">
        <f t="shared" si="9"/>
        <v>0.32350480772763102</v>
      </c>
      <c r="R15" s="521">
        <f t="shared" si="9"/>
        <v>0.40173826360032794</v>
      </c>
      <c r="S15" s="147">
        <f t="shared" si="9"/>
        <v>0.25545544275798626</v>
      </c>
      <c r="T15" s="147">
        <f t="shared" si="9"/>
        <v>0.24375754861648269</v>
      </c>
      <c r="U15" s="147">
        <f t="shared" si="9"/>
        <v>0.23784790182274973</v>
      </c>
      <c r="V15" s="147">
        <f t="shared" si="9"/>
        <v>0.31246497355437275</v>
      </c>
      <c r="W15" s="521">
        <f t="shared" si="9"/>
        <v>0.26408219514024167</v>
      </c>
      <c r="X15" s="147">
        <f t="shared" ref="X15:AG16" si="10">+X9/S9-1</f>
        <v>0.21922838093133157</v>
      </c>
      <c r="Y15" s="147">
        <f t="shared" si="10"/>
        <v>0.2173230787161311</v>
      </c>
      <c r="Z15" s="147">
        <f t="shared" si="10"/>
        <v>0.23443716474337406</v>
      </c>
      <c r="AA15" s="147">
        <f t="shared" si="10"/>
        <v>0.17803783626788738</v>
      </c>
      <c r="AB15" s="521">
        <f t="shared" si="10"/>
        <v>0.2106351915993474</v>
      </c>
      <c r="AC15" s="147">
        <f t="shared" si="10"/>
        <v>0.33884359944106057</v>
      </c>
      <c r="AD15" s="147">
        <f t="shared" si="10"/>
        <v>0.35058883155253873</v>
      </c>
      <c r="AE15" s="147">
        <f t="shared" si="10"/>
        <v>0.31829221707122679</v>
      </c>
      <c r="AF15" s="147">
        <f t="shared" si="10"/>
        <v>0.13919094515114216</v>
      </c>
      <c r="AG15" s="521">
        <f t="shared" si="10"/>
        <v>0.27993310086424916</v>
      </c>
      <c r="AH15" s="147">
        <f t="shared" ref="AH15:AQ16" si="11">+AH9/AC9-1</f>
        <v>0.22240848498525123</v>
      </c>
      <c r="AI15" s="147">
        <f t="shared" si="11"/>
        <v>0.19842837966244864</v>
      </c>
      <c r="AJ15" s="147">
        <f t="shared" si="11"/>
        <v>0.20657384485497188</v>
      </c>
      <c r="AK15" s="147">
        <f t="shared" si="11"/>
        <v>0.35286436836812807</v>
      </c>
      <c r="AL15" s="521">
        <f t="shared" si="11"/>
        <v>0.24504629000347355</v>
      </c>
      <c r="AM15" s="147">
        <f t="shared" si="11"/>
        <v>0.21983991982805229</v>
      </c>
      <c r="AN15" s="147">
        <f t="shared" si="11"/>
        <v>0.24917880111255153</v>
      </c>
      <c r="AO15" s="147">
        <f t="shared" si="11"/>
        <v>0.27507441976304281</v>
      </c>
      <c r="AP15" s="147">
        <f t="shared" si="11"/>
        <v>0.28220545817617038</v>
      </c>
      <c r="AQ15" s="521">
        <f t="shared" si="11"/>
        <v>0.25808104854239389</v>
      </c>
      <c r="AR15" s="147">
        <f t="shared" ref="AR15:BA16" si="12">+AR9/AM9-1</f>
        <v>0.28769092736922897</v>
      </c>
      <c r="AS15" s="147">
        <f t="shared" si="12"/>
        <v>0.26945474329007824</v>
      </c>
      <c r="AT15" s="147">
        <f t="shared" si="12"/>
        <v>0.22429845693078976</v>
      </c>
      <c r="AU15" s="147">
        <f t="shared" si="12"/>
        <v>0.20614649846856659</v>
      </c>
      <c r="AV15" s="521">
        <f t="shared" si="12"/>
        <v>0.24354956900707725</v>
      </c>
      <c r="AW15" s="147">
        <f t="shared" si="12"/>
        <v>0.15100358453027551</v>
      </c>
      <c r="AX15" s="147">
        <f t="shared" si="12"/>
        <v>0.18795088927865655</v>
      </c>
      <c r="AY15" s="147">
        <f t="shared" si="12"/>
        <v>0.12384143191418229</v>
      </c>
      <c r="AZ15" s="147">
        <f t="shared" si="12"/>
        <v>0.13838196895354504</v>
      </c>
      <c r="BA15" s="521">
        <f t="shared" si="12"/>
        <v>0.15027117973847348</v>
      </c>
      <c r="BB15" s="147">
        <f t="shared" ref="BB15:BB16" si="13">+BB9/AW9-1</f>
        <v>0.14753739670777688</v>
      </c>
      <c r="BC15" s="147">
        <f t="shared" ref="BC15:BK15" si="14">+BC9/AX9-1</f>
        <v>6.4396090404387873E-2</v>
      </c>
      <c r="BD15" s="147">
        <f t="shared" si="14"/>
        <v>0.10681475572740973</v>
      </c>
      <c r="BE15" s="147">
        <f t="shared" si="14"/>
        <v>2.72157282838148E-2</v>
      </c>
      <c r="BF15" s="521">
        <f t="shared" si="14"/>
        <v>8.4237417806672488E-2</v>
      </c>
      <c r="BG15" s="147">
        <f t="shared" si="14"/>
        <v>3.8451760518622979E-3</v>
      </c>
      <c r="BH15" s="147">
        <f t="shared" si="14"/>
        <v>-1</v>
      </c>
      <c r="BI15" s="147">
        <f t="shared" si="14"/>
        <v>-1</v>
      </c>
      <c r="BJ15" s="147">
        <f t="shared" si="14"/>
        <v>-1</v>
      </c>
      <c r="BK15" s="521">
        <f t="shared" si="14"/>
        <v>-0.75451736539603298</v>
      </c>
    </row>
    <row r="16" spans="2:63" s="139" customFormat="1">
      <c r="B16" s="139" t="s">
        <v>491</v>
      </c>
      <c r="C16" s="148"/>
      <c r="D16" s="147"/>
      <c r="E16" s="147"/>
      <c r="F16" s="147"/>
      <c r="G16" s="147"/>
      <c r="H16" s="521"/>
      <c r="I16" s="147"/>
      <c r="J16" s="147"/>
      <c r="K16" s="147"/>
      <c r="L16" s="147"/>
      <c r="M16" s="521"/>
      <c r="N16" s="147">
        <f t="shared" si="9"/>
        <v>0.37077643835948515</v>
      </c>
      <c r="O16" s="147">
        <f t="shared" si="9"/>
        <v>0.56547757528757936</v>
      </c>
      <c r="P16" s="147">
        <f t="shared" si="9"/>
        <v>0.66226923801450521</v>
      </c>
      <c r="Q16" s="147">
        <f t="shared" si="9"/>
        <v>0.68710502963082631</v>
      </c>
      <c r="R16" s="521">
        <f t="shared" si="9"/>
        <v>0.58011159725436912</v>
      </c>
      <c r="S16" s="147">
        <f t="shared" si="9"/>
        <v>0.60036078417501559</v>
      </c>
      <c r="T16" s="147">
        <f t="shared" si="9"/>
        <v>0.46887203705385505</v>
      </c>
      <c r="U16" s="147">
        <f t="shared" si="9"/>
        <v>0.34186873390869499</v>
      </c>
      <c r="V16" s="147">
        <f t="shared" si="9"/>
        <v>0.12169971577030703</v>
      </c>
      <c r="W16" s="521">
        <f t="shared" si="9"/>
        <v>0.35078722050364464</v>
      </c>
      <c r="X16" s="147">
        <f t="shared" si="10"/>
        <v>0.1295792352746159</v>
      </c>
      <c r="Y16" s="147">
        <f t="shared" si="10"/>
        <v>0.31393602147137956</v>
      </c>
      <c r="Z16" s="147">
        <f t="shared" si="10"/>
        <v>0.23443716474337406</v>
      </c>
      <c r="AA16" s="147">
        <f t="shared" si="10"/>
        <v>0.27215633096355751</v>
      </c>
      <c r="AB16" s="521">
        <f t="shared" si="10"/>
        <v>0.23815254059982394</v>
      </c>
      <c r="AC16" s="147">
        <f t="shared" si="10"/>
        <v>0.36304992509706802</v>
      </c>
      <c r="AD16" s="147">
        <f t="shared" si="10"/>
        <v>0.3537157132834825</v>
      </c>
      <c r="AE16" s="147">
        <f t="shared" si="10"/>
        <v>0.41874448809428366</v>
      </c>
      <c r="AF16" s="147">
        <f t="shared" si="10"/>
        <v>1.4332814627504376</v>
      </c>
      <c r="AG16" s="521">
        <f t="shared" si="10"/>
        <v>0.6708121931216191</v>
      </c>
      <c r="AH16" s="147">
        <f t="shared" si="11"/>
        <v>0.66005741970213538</v>
      </c>
      <c r="AI16" s="147">
        <f t="shared" si="11"/>
        <v>0.53697266550797917</v>
      </c>
      <c r="AJ16" s="147">
        <f t="shared" si="11"/>
        <v>0.5638939119951778</v>
      </c>
      <c r="AK16" s="147">
        <f t="shared" si="11"/>
        <v>-7.9939246172908596E-2</v>
      </c>
      <c r="AL16" s="521">
        <f t="shared" si="11"/>
        <v>0.31625734761252922</v>
      </c>
      <c r="AM16" s="147">
        <f t="shared" si="11"/>
        <v>0.34799762200724205</v>
      </c>
      <c r="AN16" s="147">
        <f t="shared" si="11"/>
        <v>0.39629915188897447</v>
      </c>
      <c r="AO16" s="147">
        <f t="shared" si="11"/>
        <v>0.56007901329735987</v>
      </c>
      <c r="AP16" s="147">
        <f t="shared" si="11"/>
        <v>0.56653199530822373</v>
      </c>
      <c r="AQ16" s="521">
        <f t="shared" si="11"/>
        <v>0.4748999792005677</v>
      </c>
      <c r="AR16" s="147">
        <f t="shared" si="12"/>
        <v>0.53399887739555774</v>
      </c>
      <c r="AS16" s="147">
        <f t="shared" si="12"/>
        <v>0.52600773053561567</v>
      </c>
      <c r="AT16" s="147">
        <f t="shared" si="12"/>
        <v>0.36305240727587162</v>
      </c>
      <c r="AU16" s="147">
        <f t="shared" si="12"/>
        <v>0.25</v>
      </c>
      <c r="AV16" s="521">
        <f t="shared" si="12"/>
        <v>0.40349902113680858</v>
      </c>
      <c r="AW16" s="147">
        <f t="shared" si="12"/>
        <v>0.20391521392540701</v>
      </c>
      <c r="AX16" s="147">
        <f t="shared" si="12"/>
        <v>-1.7248033965359233E-2</v>
      </c>
      <c r="AY16" s="147">
        <f t="shared" si="12"/>
        <v>0.15354464508235721</v>
      </c>
      <c r="AZ16" s="147">
        <f t="shared" si="12"/>
        <v>3.3233499722684412E-2</v>
      </c>
      <c r="BA16" s="521">
        <f t="shared" si="12"/>
        <v>8.9249301077493293E-2</v>
      </c>
      <c r="BB16" s="147">
        <f t="shared" si="13"/>
        <v>3.6862557801272233E-2</v>
      </c>
      <c r="BC16" s="147">
        <f t="shared" ref="BC16:BK16" si="15">+BC10/AX10-1</f>
        <v>0.19465377157023989</v>
      </c>
      <c r="BD16" s="147">
        <f t="shared" si="15"/>
        <v>1.9640963192824046E-4</v>
      </c>
      <c r="BE16" s="147">
        <f t="shared" si="15"/>
        <v>0.14330191312563079</v>
      </c>
      <c r="BF16" s="521">
        <f t="shared" si="15"/>
        <v>8.8513150540726837E-2</v>
      </c>
      <c r="BG16" s="147">
        <f t="shared" si="15"/>
        <v>9.5203199262996918E-2</v>
      </c>
      <c r="BH16" s="147">
        <f t="shared" si="15"/>
        <v>-1</v>
      </c>
      <c r="BI16" s="147">
        <f t="shared" si="15"/>
        <v>-1</v>
      </c>
      <c r="BJ16" s="147">
        <f t="shared" si="15"/>
        <v>-1</v>
      </c>
      <c r="BK16" s="521">
        <f t="shared" si="15"/>
        <v>-0.73924357306294586</v>
      </c>
    </row>
    <row r="17" spans="2:63" s="139" customFormat="1" ht="3.6" customHeight="1">
      <c r="B17" s="144"/>
      <c r="C17" s="148"/>
      <c r="D17" s="258"/>
      <c r="E17" s="258"/>
      <c r="F17" s="258"/>
      <c r="G17" s="258"/>
      <c r="H17" s="522"/>
      <c r="I17" s="258"/>
      <c r="J17" s="258"/>
      <c r="K17" s="258"/>
      <c r="L17" s="258"/>
      <c r="M17" s="522"/>
      <c r="N17" s="258" t="s">
        <v>129</v>
      </c>
      <c r="O17" s="258" t="s">
        <v>129</v>
      </c>
      <c r="P17" s="258" t="s">
        <v>129</v>
      </c>
      <c r="Q17" s="258" t="s">
        <v>129</v>
      </c>
      <c r="R17" s="522" t="s">
        <v>129</v>
      </c>
      <c r="S17" s="258" t="s">
        <v>129</v>
      </c>
      <c r="T17" s="258" t="s">
        <v>129</v>
      </c>
      <c r="U17" s="258" t="s">
        <v>129</v>
      </c>
      <c r="V17" s="258" t="s">
        <v>129</v>
      </c>
      <c r="W17" s="522" t="s">
        <v>129</v>
      </c>
      <c r="X17" s="258" t="s">
        <v>129</v>
      </c>
      <c r="Y17" s="258" t="s">
        <v>129</v>
      </c>
      <c r="Z17" s="258" t="s">
        <v>129</v>
      </c>
      <c r="AA17" s="258" t="s">
        <v>129</v>
      </c>
      <c r="AB17" s="522" t="s">
        <v>129</v>
      </c>
      <c r="AC17" s="258" t="s">
        <v>129</v>
      </c>
      <c r="AD17" s="258" t="s">
        <v>129</v>
      </c>
      <c r="AE17" s="258" t="s">
        <v>129</v>
      </c>
      <c r="AF17" s="258" t="s">
        <v>129</v>
      </c>
      <c r="AG17" s="522" t="s">
        <v>129</v>
      </c>
      <c r="AH17" s="258" t="s">
        <v>129</v>
      </c>
      <c r="AI17" s="258" t="s">
        <v>129</v>
      </c>
      <c r="AJ17" s="258" t="s">
        <v>129</v>
      </c>
      <c r="AK17" s="258" t="s">
        <v>129</v>
      </c>
      <c r="AL17" s="522" t="s">
        <v>129</v>
      </c>
      <c r="AM17" s="258" t="s">
        <v>129</v>
      </c>
      <c r="AN17" s="258" t="s">
        <v>129</v>
      </c>
      <c r="AO17" s="258" t="s">
        <v>129</v>
      </c>
      <c r="AP17" s="258" t="s">
        <v>129</v>
      </c>
      <c r="AQ17" s="522" t="s">
        <v>129</v>
      </c>
      <c r="AR17" s="258" t="s">
        <v>129</v>
      </c>
      <c r="AS17" s="258" t="s">
        <v>129</v>
      </c>
      <c r="AT17" s="258" t="s">
        <v>129</v>
      </c>
      <c r="AU17" s="258" t="s">
        <v>129</v>
      </c>
      <c r="AV17" s="522" t="s">
        <v>129</v>
      </c>
      <c r="AW17" s="258" t="s">
        <v>129</v>
      </c>
      <c r="AX17" s="258" t="s">
        <v>129</v>
      </c>
      <c r="AY17" s="258" t="s">
        <v>129</v>
      </c>
      <c r="AZ17" s="258" t="s">
        <v>129</v>
      </c>
      <c r="BA17" s="522" t="s">
        <v>129</v>
      </c>
      <c r="BB17" s="258" t="s">
        <v>129</v>
      </c>
      <c r="BC17" s="258" t="s">
        <v>129</v>
      </c>
      <c r="BD17" s="258" t="s">
        <v>129</v>
      </c>
      <c r="BE17" s="258" t="s">
        <v>129</v>
      </c>
      <c r="BF17" s="522" t="s">
        <v>129</v>
      </c>
      <c r="BG17" s="258" t="s">
        <v>129</v>
      </c>
      <c r="BH17" s="258" t="s">
        <v>129</v>
      </c>
      <c r="BI17" s="258" t="s">
        <v>129</v>
      </c>
      <c r="BJ17" s="258" t="s">
        <v>129</v>
      </c>
      <c r="BK17" s="522" t="s">
        <v>129</v>
      </c>
    </row>
    <row r="18" spans="2:63" s="139" customFormat="1">
      <c r="B18" s="139" t="s">
        <v>128</v>
      </c>
      <c r="C18" s="148"/>
      <c r="D18" s="147"/>
      <c r="E18" s="147"/>
      <c r="F18" s="147"/>
      <c r="G18" s="147"/>
      <c r="H18" s="521"/>
      <c r="I18" s="147"/>
      <c r="J18" s="147"/>
      <c r="K18" s="147"/>
      <c r="L18" s="147"/>
      <c r="M18" s="521"/>
      <c r="N18" s="147">
        <f t="shared" ref="N18:BB18" si="16">+N12/I12-1</f>
        <v>0.47622077977175348</v>
      </c>
      <c r="O18" s="147">
        <f t="shared" si="16"/>
        <v>0.44505622334238071</v>
      </c>
      <c r="P18" s="147">
        <f t="shared" si="16"/>
        <v>0.42480220401243285</v>
      </c>
      <c r="Q18" s="147">
        <f t="shared" si="16"/>
        <v>0.37077283657504645</v>
      </c>
      <c r="R18" s="521">
        <f t="shared" si="16"/>
        <v>0.42443406981162801</v>
      </c>
      <c r="S18" s="147">
        <f t="shared" si="16"/>
        <v>0.30029313714219996</v>
      </c>
      <c r="T18" s="147">
        <f t="shared" si="16"/>
        <v>0.27302243211334098</v>
      </c>
      <c r="U18" s="147">
        <f t="shared" si="16"/>
        <v>0.25241081831478218</v>
      </c>
      <c r="V18" s="147">
        <f t="shared" si="16"/>
        <v>0.28194253230892219</v>
      </c>
      <c r="W18" s="521">
        <f t="shared" si="16"/>
        <v>0.27632005183025599</v>
      </c>
      <c r="X18" s="147">
        <f t="shared" si="16"/>
        <v>0.20488451762625726</v>
      </c>
      <c r="Y18" s="147">
        <f t="shared" si="16"/>
        <v>0.23181502012941846</v>
      </c>
      <c r="Z18" s="147">
        <f t="shared" si="16"/>
        <v>0.23443716474337406</v>
      </c>
      <c r="AA18" s="147">
        <f t="shared" si="16"/>
        <v>0.19121442552528101</v>
      </c>
      <c r="AB18" s="521">
        <f t="shared" si="16"/>
        <v>0.21474569523240761</v>
      </c>
      <c r="AC18" s="147">
        <f t="shared" si="16"/>
        <v>0.34247454828946156</v>
      </c>
      <c r="AD18" s="147">
        <f t="shared" si="16"/>
        <v>0.35108913262948982</v>
      </c>
      <c r="AE18" s="147">
        <f t="shared" si="16"/>
        <v>0.33336005772468535</v>
      </c>
      <c r="AF18" s="147">
        <f t="shared" si="16"/>
        <v>0.33267413116184374</v>
      </c>
      <c r="AG18" s="521">
        <f t="shared" si="16"/>
        <v>0.33944717339025199</v>
      </c>
      <c r="AH18" s="147">
        <f t="shared" si="16"/>
        <v>0.28906196624991454</v>
      </c>
      <c r="AI18" s="147">
        <f t="shared" si="16"/>
        <v>0.25270076875340375</v>
      </c>
      <c r="AJ18" s="147">
        <f t="shared" si="16"/>
        <v>0.26360411280139506</v>
      </c>
      <c r="AK18" s="147">
        <f t="shared" si="16"/>
        <v>0.23471325069832405</v>
      </c>
      <c r="AL18" s="521">
        <f t="shared" si="16"/>
        <v>0.25857096104261545</v>
      </c>
      <c r="AM18" s="147">
        <f t="shared" si="16"/>
        <v>0.24497562009751972</v>
      </c>
      <c r="AN18" s="147">
        <f t="shared" si="16"/>
        <v>0.27811590100291173</v>
      </c>
      <c r="AO18" s="147">
        <f t="shared" si="16"/>
        <v>0.33137282893171549</v>
      </c>
      <c r="AP18" s="147">
        <f t="shared" si="16"/>
        <v>0.3400436553875521</v>
      </c>
      <c r="AQ18" s="521">
        <f t="shared" si="16"/>
        <v>0.30114754815473677</v>
      </c>
      <c r="AR18" s="147">
        <f t="shared" si="16"/>
        <v>0.33999710517577553</v>
      </c>
      <c r="AS18" s="147">
        <f t="shared" si="16"/>
        <v>0.32458215011746461</v>
      </c>
      <c r="AT18" s="147">
        <f t="shared" si="16"/>
        <v>0.25641557179006957</v>
      </c>
      <c r="AU18" s="147">
        <f t="shared" si="16"/>
        <v>0.21657500098919802</v>
      </c>
      <c r="AV18" s="521">
        <f t="shared" si="16"/>
        <v>0.27956272272900473</v>
      </c>
      <c r="AW18" s="147">
        <f t="shared" si="16"/>
        <v>0.16386672088649412</v>
      </c>
      <c r="AX18" s="147">
        <f t="shared" si="16"/>
        <v>0.13715326505628367</v>
      </c>
      <c r="AY18" s="147">
        <f t="shared" si="16"/>
        <v>0.13130031576252388</v>
      </c>
      <c r="AZ18" s="147">
        <f t="shared" si="16"/>
        <v>0.11269033331707123</v>
      </c>
      <c r="BA18" s="521">
        <f t="shared" si="16"/>
        <v>0.13520113621269259</v>
      </c>
      <c r="BB18" s="147">
        <f t="shared" si="16"/>
        <v>0.1197058534508173</v>
      </c>
      <c r="BC18" s="147">
        <f t="shared" ref="BC18:BK18" si="17">+BC12/AX12-1</f>
        <v>9.2263498965455604E-2</v>
      </c>
      <c r="BD18" s="147">
        <f t="shared" si="17"/>
        <v>7.9514994241688175E-2</v>
      </c>
      <c r="BE18" s="147">
        <f t="shared" si="17"/>
        <v>5.3554377691603205E-2</v>
      </c>
      <c r="BF18" s="521">
        <f t="shared" si="17"/>
        <v>8.5250614948817471E-2</v>
      </c>
      <c r="BG18" s="147">
        <f t="shared" si="17"/>
        <v>2.5119331451333826E-2</v>
      </c>
      <c r="BH18" s="147">
        <f t="shared" si="17"/>
        <v>-1</v>
      </c>
      <c r="BI18" s="147">
        <f t="shared" si="17"/>
        <v>-1</v>
      </c>
      <c r="BJ18" s="147">
        <f t="shared" si="17"/>
        <v>-1</v>
      </c>
      <c r="BK18" s="521">
        <f t="shared" si="17"/>
        <v>-0.75088713719199007</v>
      </c>
    </row>
    <row r="19" spans="2:63" s="139" customFormat="1">
      <c r="C19" s="148"/>
      <c r="D19" s="147"/>
      <c r="E19" s="147"/>
      <c r="F19" s="147"/>
      <c r="G19" s="147"/>
      <c r="H19" s="521"/>
      <c r="I19" s="147"/>
      <c r="J19" s="147"/>
      <c r="K19" s="147"/>
      <c r="L19" s="147"/>
      <c r="M19" s="521"/>
      <c r="N19" s="147"/>
      <c r="O19" s="147"/>
      <c r="P19" s="147"/>
      <c r="Q19" s="147"/>
      <c r="R19" s="521"/>
      <c r="S19" s="147"/>
      <c r="T19" s="147"/>
      <c r="U19" s="147"/>
      <c r="V19" s="147"/>
      <c r="W19" s="521"/>
      <c r="X19" s="147"/>
      <c r="Y19" s="147"/>
      <c r="Z19" s="147"/>
      <c r="AA19" s="147"/>
      <c r="AB19" s="521"/>
      <c r="AC19" s="147"/>
      <c r="AD19" s="147"/>
      <c r="AE19" s="147"/>
      <c r="AF19" s="147"/>
      <c r="AG19" s="521"/>
      <c r="AH19" s="147"/>
      <c r="AI19" s="147"/>
      <c r="AJ19" s="147"/>
      <c r="AK19" s="147"/>
      <c r="AL19" s="521"/>
      <c r="AM19" s="147"/>
      <c r="AN19" s="147"/>
      <c r="AO19" s="147"/>
      <c r="AP19" s="147"/>
      <c r="AQ19" s="521"/>
      <c r="AR19" s="147"/>
      <c r="AS19" s="147"/>
      <c r="AT19" s="147"/>
      <c r="AU19" s="147"/>
      <c r="AV19" s="521"/>
      <c r="AW19" s="147"/>
      <c r="AX19" s="147"/>
      <c r="AY19" s="147"/>
      <c r="AZ19" s="147"/>
      <c r="BA19" s="521"/>
      <c r="BB19" s="147"/>
      <c r="BC19" s="147"/>
      <c r="BD19" s="147"/>
      <c r="BE19" s="147"/>
      <c r="BF19" s="521"/>
      <c r="BG19" s="147"/>
      <c r="BH19" s="147"/>
      <c r="BI19" s="147"/>
      <c r="BJ19" s="147"/>
      <c r="BK19" s="521"/>
    </row>
    <row r="20" spans="2:63" s="139" customFormat="1" ht="13.15">
      <c r="B20" s="140" t="s">
        <v>488</v>
      </c>
      <c r="C20" s="148"/>
      <c r="D20" s="147"/>
      <c r="E20" s="147"/>
      <c r="F20" s="147"/>
      <c r="G20" s="147"/>
      <c r="H20" s="521"/>
      <c r="I20" s="147"/>
      <c r="J20" s="147"/>
      <c r="K20" s="147"/>
      <c r="L20" s="147"/>
      <c r="M20" s="521"/>
      <c r="N20" s="147"/>
      <c r="O20" s="147"/>
      <c r="P20" s="147"/>
      <c r="Q20" s="147"/>
      <c r="R20" s="521"/>
      <c r="S20" s="147"/>
      <c r="T20" s="147"/>
      <c r="U20" s="147"/>
      <c r="V20" s="147"/>
      <c r="W20" s="521"/>
      <c r="X20" s="147"/>
      <c r="Y20" s="147"/>
      <c r="Z20" s="147"/>
      <c r="AA20" s="147"/>
      <c r="AB20" s="521"/>
      <c r="AC20" s="147"/>
      <c r="AD20" s="147"/>
      <c r="AE20" s="147"/>
      <c r="AF20" s="147"/>
      <c r="AG20" s="521"/>
      <c r="AH20" s="147"/>
      <c r="AI20" s="147"/>
      <c r="AJ20" s="147"/>
      <c r="AK20" s="147"/>
      <c r="AL20" s="521"/>
      <c r="AM20" s="147"/>
      <c r="AN20" s="147"/>
      <c r="AO20" s="147"/>
      <c r="AP20" s="147"/>
      <c r="AQ20" s="521"/>
      <c r="AR20" s="147"/>
      <c r="AS20" s="147"/>
      <c r="AT20" s="147"/>
      <c r="AU20" s="147"/>
      <c r="AV20" s="521"/>
      <c r="AW20" s="147"/>
      <c r="AX20" s="147"/>
      <c r="AY20" s="147"/>
      <c r="AZ20" s="147"/>
      <c r="BA20" s="521"/>
      <c r="BB20" s="147"/>
      <c r="BC20" s="147"/>
      <c r="BD20" s="147"/>
      <c r="BE20" s="147"/>
      <c r="BF20" s="521"/>
      <c r="BG20" s="147"/>
      <c r="BH20" s="147"/>
      <c r="BI20" s="147"/>
      <c r="BJ20" s="147"/>
      <c r="BK20" s="521"/>
    </row>
    <row r="21" spans="2:63" s="139" customFormat="1">
      <c r="B21" s="139" t="s">
        <v>490</v>
      </c>
      <c r="C21" s="148"/>
      <c r="D21" s="147"/>
      <c r="E21" s="147" t="e">
        <f t="shared" ref="E21:G22" si="18">+E9/D9-1</f>
        <v>#DIV/0!</v>
      </c>
      <c r="F21" s="147">
        <f t="shared" si="18"/>
        <v>-1</v>
      </c>
      <c r="G21" s="147" t="e">
        <f t="shared" si="18"/>
        <v>#DIV/0!</v>
      </c>
      <c r="H21" s="521"/>
      <c r="I21" s="147"/>
      <c r="J21" s="147">
        <f t="shared" ref="J21:L22" si="19">+J9/I9-1</f>
        <v>0.11958624758646064</v>
      </c>
      <c r="K21" s="147">
        <f t="shared" si="19"/>
        <v>9.7789841023652624E-2</v>
      </c>
      <c r="L21" s="147">
        <f t="shared" si="19"/>
        <v>0.14720508810912181</v>
      </c>
      <c r="M21" s="521"/>
      <c r="N21" s="147">
        <f>+N9/L9-1</f>
        <v>5.9142239673698027E-2</v>
      </c>
      <c r="O21" s="147">
        <f t="shared" ref="O21:Q22" si="20">+O9/N9-1</f>
        <v>7.104264858029663E-2</v>
      </c>
      <c r="P21" s="147">
        <f t="shared" si="20"/>
        <v>6.9961718722049371E-2</v>
      </c>
      <c r="Q21" s="147">
        <f t="shared" si="20"/>
        <v>9.0426080825469102E-2</v>
      </c>
      <c r="R21" s="521"/>
      <c r="S21" s="147">
        <f>+S9/Q9-1</f>
        <v>4.6853488475373517E-3</v>
      </c>
      <c r="T21" s="147">
        <f t="shared" ref="T21:V22" si="21">+T9/S9-1</f>
        <v>6.1063048271579712E-2</v>
      </c>
      <c r="U21" s="147">
        <f t="shared" si="21"/>
        <v>6.4877853424109011E-2</v>
      </c>
      <c r="V21" s="147">
        <f t="shared" si="21"/>
        <v>0.15615661280050097</v>
      </c>
      <c r="W21" s="521"/>
      <c r="X21" s="147">
        <f>+X9/V9-1</f>
        <v>-6.6686794769486135E-2</v>
      </c>
      <c r="Y21" s="147">
        <f t="shared" ref="Y21:AA22" si="22">+Y9/X9-1</f>
        <v>5.9404912841042101E-2</v>
      </c>
      <c r="Z21" s="147">
        <f t="shared" si="22"/>
        <v>7.9848744480595535E-2</v>
      </c>
      <c r="AA21" s="147">
        <f t="shared" si="22"/>
        <v>0.10333378922000924</v>
      </c>
      <c r="AB21" s="521"/>
      <c r="AC21" s="147">
        <f>+AC9/AA9-1</f>
        <v>6.0713308712898373E-2</v>
      </c>
      <c r="AD21" s="147">
        <f t="shared" ref="AD21:AF22" si="23">+AD9/AC9-1</f>
        <v>6.8698721771788707E-2</v>
      </c>
      <c r="AE21" s="147">
        <f t="shared" si="23"/>
        <v>5.4026334444427615E-2</v>
      </c>
      <c r="AF21" s="147">
        <f t="shared" si="23"/>
        <v>-4.6563541920066398E-2</v>
      </c>
      <c r="AG21" s="521"/>
      <c r="AH21" s="147">
        <f>+AH9/AF9-1</f>
        <v>0.13819808191628269</v>
      </c>
      <c r="AI21" s="147">
        <f t="shared" ref="AI21:AK22" si="24">+AI9/AH9-1</f>
        <v>4.7733955720822285E-2</v>
      </c>
      <c r="AJ21" s="147">
        <f t="shared" si="24"/>
        <v>6.1190329360534701E-2</v>
      </c>
      <c r="AK21" s="147">
        <f t="shared" si="24"/>
        <v>6.9035448712627012E-2</v>
      </c>
      <c r="AL21" s="521"/>
      <c r="AM21" s="147">
        <f>+AM9/AK9-1</f>
        <v>2.6281340137563891E-2</v>
      </c>
      <c r="AN21" s="147">
        <f t="shared" ref="AN21:AP22" si="25">+AN9/AM9-1</f>
        <v>7.293344431352633E-2</v>
      </c>
      <c r="AO21" s="147">
        <f t="shared" si="25"/>
        <v>8.3188925606512365E-2</v>
      </c>
      <c r="AP21" s="147">
        <f t="shared" si="25"/>
        <v>7.5014184331197109E-2</v>
      </c>
      <c r="AQ21" s="521"/>
      <c r="AR21" s="147">
        <f>+AR9/AP9-1</f>
        <v>3.067192718337397E-2</v>
      </c>
      <c r="AS21" s="147">
        <f t="shared" ref="AS21:AU22" si="26">+AS9/AR9-1</f>
        <v>5.773863989321959E-2</v>
      </c>
      <c r="AT21" s="147">
        <f t="shared" si="26"/>
        <v>4.4658375727176791E-2</v>
      </c>
      <c r="AU21" s="147">
        <f t="shared" si="26"/>
        <v>5.9075576625034154E-2</v>
      </c>
      <c r="AV21" s="521"/>
      <c r="AW21" s="147">
        <f>+AW9/AU9-1</f>
        <v>-1.6448595449197967E-2</v>
      </c>
      <c r="AX21" s="147">
        <f t="shared" ref="AX21:AZ22" si="27">+AX9/AW9-1</f>
        <v>9.1692132651647107E-2</v>
      </c>
      <c r="AY21" s="147">
        <f t="shared" si="27"/>
        <v>-1.1718097579551445E-2</v>
      </c>
      <c r="AZ21" s="147">
        <f t="shared" si="27"/>
        <v>7.2778157088873696E-2</v>
      </c>
      <c r="BA21" s="521"/>
      <c r="BB21" s="147">
        <f>+BB9/AZ9-1</f>
        <v>-8.538391253662736E-3</v>
      </c>
      <c r="BC21" s="147">
        <f>+BC9/BB9-1</f>
        <v>1.259692385915856E-2</v>
      </c>
      <c r="BD21" s="147">
        <f t="shared" ref="BD21:BE21" si="28">+BD9/BC9-1</f>
        <v>2.7667239929199949E-2</v>
      </c>
      <c r="BE21" s="147">
        <f t="shared" si="28"/>
        <v>-4.3730531973370512E-3</v>
      </c>
      <c r="BF21" s="521"/>
      <c r="BG21" s="147">
        <f t="shared" ref="BG21:BG22" si="29">+BG9/BE9-1</f>
        <v>-3.1095488731029186E-2</v>
      </c>
      <c r="BH21" s="147">
        <f t="shared" ref="BH21:BJ21" si="30">+BH9/BG9-1</f>
        <v>-1</v>
      </c>
      <c r="BI21" s="147" t="e">
        <f t="shared" si="30"/>
        <v>#DIV/0!</v>
      </c>
      <c r="BJ21" s="147" t="e">
        <f t="shared" si="30"/>
        <v>#DIV/0!</v>
      </c>
      <c r="BK21" s="521"/>
    </row>
    <row r="22" spans="2:63" s="139" customFormat="1">
      <c r="B22" s="139" t="s">
        <v>491</v>
      </c>
      <c r="C22" s="148"/>
      <c r="D22" s="147"/>
      <c r="E22" s="147" t="e">
        <f t="shared" si="18"/>
        <v>#DIV/0!</v>
      </c>
      <c r="F22" s="147">
        <f t="shared" si="18"/>
        <v>-1</v>
      </c>
      <c r="G22" s="147" t="e">
        <f t="shared" si="18"/>
        <v>#DIV/0!</v>
      </c>
      <c r="H22" s="521"/>
      <c r="I22" s="147"/>
      <c r="J22" s="147">
        <f t="shared" si="19"/>
        <v>-6.2164766632120783E-2</v>
      </c>
      <c r="K22" s="147">
        <f t="shared" si="19"/>
        <v>9.7789841023652624E-2</v>
      </c>
      <c r="L22" s="147">
        <f t="shared" si="19"/>
        <v>0.25709063294716028</v>
      </c>
      <c r="M22" s="521"/>
      <c r="N22" s="147">
        <f>+N10/L10-1</f>
        <v>5.9142239673698027E-2</v>
      </c>
      <c r="O22" s="147">
        <f t="shared" si="20"/>
        <v>7.1042648580296408E-2</v>
      </c>
      <c r="P22" s="147">
        <f t="shared" si="20"/>
        <v>0.16566491359879798</v>
      </c>
      <c r="Q22" s="147">
        <f t="shared" si="20"/>
        <v>0.27587269321075314</v>
      </c>
      <c r="R22" s="521"/>
      <c r="S22" s="147">
        <f>+S10/Q10-1</f>
        <v>4.6853488475373517E-3</v>
      </c>
      <c r="T22" s="147">
        <f t="shared" si="21"/>
        <v>-1.6956293513095355E-2</v>
      </c>
      <c r="U22" s="147">
        <f t="shared" si="21"/>
        <v>6.4877853424109011E-2</v>
      </c>
      <c r="V22" s="147">
        <f t="shared" si="21"/>
        <v>6.6532069172555497E-2</v>
      </c>
      <c r="W22" s="521"/>
      <c r="X22" s="147">
        <f>+X10/V10-1</f>
        <v>1.1742886342321457E-2</v>
      </c>
      <c r="Y22" s="147">
        <f t="shared" si="22"/>
        <v>0.14348466782842628</v>
      </c>
      <c r="Z22" s="147">
        <f t="shared" si="22"/>
        <v>4.4810150408114424E-4</v>
      </c>
      <c r="AA22" s="147">
        <f t="shared" si="22"/>
        <v>9.9120767524519593E-2</v>
      </c>
      <c r="AB22" s="521"/>
      <c r="AC22" s="147">
        <f>+AC10/AA10-1</f>
        <v>8.4030344290993986E-2</v>
      </c>
      <c r="AD22" s="147">
        <f t="shared" si="23"/>
        <v>0.13565404629463496</v>
      </c>
      <c r="AE22" s="147">
        <f t="shared" si="23"/>
        <v>4.8506873123716154E-2</v>
      </c>
      <c r="AF22" s="147">
        <f t="shared" si="23"/>
        <v>0.88509644364074735</v>
      </c>
      <c r="AG22" s="521"/>
      <c r="AH22" s="147">
        <f>+AH10/AF10-1</f>
        <v>-0.26044206403133618</v>
      </c>
      <c r="AI22" s="147">
        <f t="shared" si="24"/>
        <v>5.1451116035237554E-2</v>
      </c>
      <c r="AJ22" s="147">
        <f t="shared" si="24"/>
        <v>6.6872269339501411E-2</v>
      </c>
      <c r="AK22" s="147">
        <f t="shared" si="24"/>
        <v>0.10902871458855268</v>
      </c>
      <c r="AL22" s="521"/>
      <c r="AM22" s="147">
        <f>+AM10/AK10-1</f>
        <v>8.3539684608366915E-2</v>
      </c>
      <c r="AN22" s="147">
        <f t="shared" si="25"/>
        <v>8.9126774115948937E-2</v>
      </c>
      <c r="AO22" s="147">
        <f t="shared" si="25"/>
        <v>0.19201177986379525</v>
      </c>
      <c r="AP22" s="147">
        <f t="shared" si="25"/>
        <v>0.11361600938822147</v>
      </c>
      <c r="AQ22" s="521"/>
      <c r="AR22" s="147">
        <f>+AR10/AP10-1</f>
        <v>6.103716028840811E-2</v>
      </c>
      <c r="AS22" s="147">
        <f t="shared" si="26"/>
        <v>8.3453124591620798E-2</v>
      </c>
      <c r="AT22" s="147">
        <f t="shared" si="26"/>
        <v>6.4722342837844282E-2</v>
      </c>
      <c r="AU22" s="147">
        <f t="shared" si="26"/>
        <v>2.1252010784602593E-2</v>
      </c>
      <c r="AV22" s="521"/>
      <c r="AW22" s="147">
        <f>+AW10/AU10-1</f>
        <v>2.191902384914024E-2</v>
      </c>
      <c r="AX22" s="147">
        <f t="shared" si="27"/>
        <v>-0.11558083494344706</v>
      </c>
      <c r="AY22" s="147">
        <f t="shared" si="27"/>
        <v>0.24976067159233173</v>
      </c>
      <c r="AZ22" s="147">
        <f t="shared" si="27"/>
        <v>-8.5261421220096612E-2</v>
      </c>
      <c r="BA22" s="521"/>
      <c r="BB22" s="147">
        <f>+BB10/AZ10-1</f>
        <v>2.5508341743069929E-2</v>
      </c>
      <c r="BC22" s="147">
        <f>+BC10/BB10-1</f>
        <v>1.9011327233516839E-2</v>
      </c>
      <c r="BD22" s="147">
        <f t="shared" ref="BD22:BE22" si="31">+BD10/BC10-1</f>
        <v>4.6333394974213515E-2</v>
      </c>
      <c r="BE22" s="147">
        <f t="shared" si="31"/>
        <v>4.5616997879192489E-2</v>
      </c>
      <c r="BF22" s="521"/>
      <c r="BG22" s="147">
        <f t="shared" si="29"/>
        <v>-1.7634796326553626E-2</v>
      </c>
      <c r="BH22" s="147">
        <f t="shared" ref="BH22:BJ22" si="32">+BH10/BG10-1</f>
        <v>-1</v>
      </c>
      <c r="BI22" s="147" t="e">
        <f t="shared" si="32"/>
        <v>#DIV/0!</v>
      </c>
      <c r="BJ22" s="147" t="e">
        <f t="shared" si="32"/>
        <v>#DIV/0!</v>
      </c>
      <c r="BK22" s="521"/>
    </row>
    <row r="23" spans="2:63" s="139" customFormat="1" ht="3.6" customHeight="1">
      <c r="B23" s="144"/>
      <c r="C23" s="148"/>
      <c r="D23" s="258"/>
      <c r="E23" s="258" t="s">
        <v>129</v>
      </c>
      <c r="F23" s="258" t="s">
        <v>129</v>
      </c>
      <c r="G23" s="258" t="s">
        <v>129</v>
      </c>
      <c r="H23" s="521"/>
      <c r="I23" s="258"/>
      <c r="J23" s="258" t="s">
        <v>129</v>
      </c>
      <c r="K23" s="258" t="s">
        <v>129</v>
      </c>
      <c r="L23" s="258" t="s">
        <v>129</v>
      </c>
      <c r="M23" s="521"/>
      <c r="N23" s="258" t="s">
        <v>129</v>
      </c>
      <c r="O23" s="258" t="s">
        <v>129</v>
      </c>
      <c r="P23" s="258" t="s">
        <v>129</v>
      </c>
      <c r="Q23" s="258" t="s">
        <v>129</v>
      </c>
      <c r="R23" s="521"/>
      <c r="S23" s="258" t="s">
        <v>129</v>
      </c>
      <c r="T23" s="258" t="s">
        <v>129</v>
      </c>
      <c r="U23" s="258" t="s">
        <v>129</v>
      </c>
      <c r="V23" s="258" t="s">
        <v>129</v>
      </c>
      <c r="W23" s="521"/>
      <c r="X23" s="258" t="s">
        <v>129</v>
      </c>
      <c r="Y23" s="258" t="s">
        <v>129</v>
      </c>
      <c r="Z23" s="258" t="s">
        <v>129</v>
      </c>
      <c r="AA23" s="258" t="s">
        <v>129</v>
      </c>
      <c r="AB23" s="521"/>
      <c r="AC23" s="258" t="s">
        <v>129</v>
      </c>
      <c r="AD23" s="258" t="s">
        <v>129</v>
      </c>
      <c r="AE23" s="258" t="s">
        <v>129</v>
      </c>
      <c r="AF23" s="258" t="s">
        <v>129</v>
      </c>
      <c r="AG23" s="521"/>
      <c r="AH23" s="258" t="s">
        <v>129</v>
      </c>
      <c r="AI23" s="258" t="s">
        <v>129</v>
      </c>
      <c r="AJ23" s="258" t="s">
        <v>129</v>
      </c>
      <c r="AK23" s="258" t="s">
        <v>129</v>
      </c>
      <c r="AL23" s="521"/>
      <c r="AM23" s="258" t="s">
        <v>129</v>
      </c>
      <c r="AN23" s="258" t="s">
        <v>129</v>
      </c>
      <c r="AO23" s="258" t="s">
        <v>129</v>
      </c>
      <c r="AP23" s="258" t="s">
        <v>129</v>
      </c>
      <c r="AQ23" s="521"/>
      <c r="AR23" s="258" t="s">
        <v>129</v>
      </c>
      <c r="AS23" s="258" t="s">
        <v>129</v>
      </c>
      <c r="AT23" s="258" t="s">
        <v>129</v>
      </c>
      <c r="AU23" s="258" t="s">
        <v>129</v>
      </c>
      <c r="AV23" s="521"/>
      <c r="AW23" s="258" t="s">
        <v>129</v>
      </c>
      <c r="AX23" s="258" t="s">
        <v>129</v>
      </c>
      <c r="AY23" s="258" t="s">
        <v>129</v>
      </c>
      <c r="AZ23" s="258" t="s">
        <v>129</v>
      </c>
      <c r="BA23" s="521"/>
      <c r="BB23" s="258" t="s">
        <v>129</v>
      </c>
      <c r="BC23" s="258" t="s">
        <v>129</v>
      </c>
      <c r="BD23" s="258" t="s">
        <v>129</v>
      </c>
      <c r="BE23" s="258" t="s">
        <v>129</v>
      </c>
      <c r="BF23" s="521"/>
      <c r="BG23" s="258" t="s">
        <v>129</v>
      </c>
      <c r="BH23" s="258" t="s">
        <v>129</v>
      </c>
      <c r="BI23" s="258" t="s">
        <v>129</v>
      </c>
      <c r="BJ23" s="258" t="s">
        <v>129</v>
      </c>
      <c r="BK23" s="521"/>
    </row>
    <row r="24" spans="2:63" s="139" customFormat="1">
      <c r="B24" s="139" t="s">
        <v>128</v>
      </c>
      <c r="C24" s="148"/>
      <c r="D24" s="147"/>
      <c r="E24" s="147" t="e">
        <f>+E12/D12-1</f>
        <v>#DIV/0!</v>
      </c>
      <c r="F24" s="147">
        <f>+F12/E12-1</f>
        <v>-1</v>
      </c>
      <c r="G24" s="147" t="e">
        <f>+G12/F12-1</f>
        <v>#DIV/0!</v>
      </c>
      <c r="H24" s="521"/>
      <c r="I24" s="147"/>
      <c r="J24" s="147">
        <f>+J12/I12-1</f>
        <v>9.414110559585942E-2</v>
      </c>
      <c r="K24" s="147">
        <f>+K12/J12-1</f>
        <v>9.7789841023652624E-2</v>
      </c>
      <c r="L24" s="147">
        <f>+L12/K12-1</f>
        <v>0.16039135348968636</v>
      </c>
      <c r="M24" s="521"/>
      <c r="N24" s="147">
        <f>+N12/L12-1</f>
        <v>5.9142239673698027E-2</v>
      </c>
      <c r="O24" s="147">
        <f>+O12/N12-1</f>
        <v>7.104264858029663E-2</v>
      </c>
      <c r="P24" s="147">
        <f>+P12/O12-1</f>
        <v>8.2403134056026728E-2</v>
      </c>
      <c r="Q24" s="147">
        <f>+Q12/P12-1</f>
        <v>0.11638860655940908</v>
      </c>
      <c r="R24" s="521"/>
      <c r="S24" s="147">
        <f>+S12/Q12-1</f>
        <v>4.6853488475373517E-3</v>
      </c>
      <c r="T24" s="147">
        <f>+T12/S12-1</f>
        <v>4.8579953586031621E-2</v>
      </c>
      <c r="U24" s="147">
        <f>+U12/T12-1</f>
        <v>6.4877853424109011E-2</v>
      </c>
      <c r="V24" s="147">
        <f>+V12/U12-1</f>
        <v>0.14271293125630935</v>
      </c>
      <c r="W24" s="521"/>
      <c r="X24" s="147">
        <f>+X12/V12-1</f>
        <v>-5.5706639413833137E-2</v>
      </c>
      <c r="Y24" s="147">
        <f>+Y12/X12-1</f>
        <v>7.2016876089149751E-2</v>
      </c>
      <c r="Z24" s="147">
        <f>+Z12/Y12-1</f>
        <v>6.7144641604353295E-2</v>
      </c>
      <c r="AA24" s="147">
        <f>+AA12/Z12-1</f>
        <v>0.10270183596568594</v>
      </c>
      <c r="AB24" s="521"/>
      <c r="AC24" s="147">
        <f>+AC12/AA12-1</f>
        <v>6.4199505598371287E-2</v>
      </c>
      <c r="AD24" s="147">
        <f>+AD12/AC12-1</f>
        <v>7.8895948623351808E-2</v>
      </c>
      <c r="AE24" s="147">
        <f>+AE12/AD12-1</f>
        <v>5.3141503818437519E-2</v>
      </c>
      <c r="AF24" s="147">
        <f>+AF12/AE12-1</f>
        <v>0.10213456797546749</v>
      </c>
      <c r="AG24" s="521"/>
      <c r="AH24" s="147">
        <f>+AH12/AF12-1</f>
        <v>2.9373254189944076E-2</v>
      </c>
      <c r="AI24" s="147">
        <f>+AI12/AH12-1</f>
        <v>4.8463006147975385E-2</v>
      </c>
      <c r="AJ24" s="147">
        <f>+AJ12/AI12-1</f>
        <v>6.2307910061468741E-2</v>
      </c>
      <c r="AK24" s="147">
        <f>+AK12/AJ12-1</f>
        <v>7.6935522246014854E-2</v>
      </c>
      <c r="AL24" s="521"/>
      <c r="AM24" s="147">
        <f>+AM12/AK12-1</f>
        <v>3.7928931856944681E-2</v>
      </c>
      <c r="AN24" s="147">
        <f>+AN12/AM12-1</f>
        <v>7.6372274395279716E-2</v>
      </c>
      <c r="AO24" s="147">
        <f>+AO12/AN12-1</f>
        <v>0.1065724840018667</v>
      </c>
      <c r="AP24" s="147">
        <f>+AP12/AO12-1</f>
        <v>8.3949275880309315E-2</v>
      </c>
      <c r="AQ24" s="521"/>
      <c r="AR24" s="147">
        <f>+AR12/AP12-1</f>
        <v>3.7892876455769553E-2</v>
      </c>
      <c r="AS24" s="147">
        <f>+AS12/AR12-1</f>
        <v>6.3989986275606148E-2</v>
      </c>
      <c r="AT24" s="147">
        <f>+AT12/AS12-1</f>
        <v>4.9625272461258252E-2</v>
      </c>
      <c r="AU24" s="147">
        <f>+AU12/AT12-1</f>
        <v>4.9577560947856592E-2</v>
      </c>
      <c r="AV24" s="521"/>
      <c r="AW24" s="147">
        <f>+AW12/AU12-1</f>
        <v>-7.073975899695939E-3</v>
      </c>
      <c r="AX24" s="147">
        <f>+AX12/AW12-1</f>
        <v>3.9568934455763483E-2</v>
      </c>
      <c r="AY24" s="147">
        <f>+AY12/AX12-1</f>
        <v>4.4222831395531959E-2</v>
      </c>
      <c r="AZ24" s="147">
        <f>+AZ12/AY12-1</f>
        <v>3.2311924483134913E-2</v>
      </c>
      <c r="BA24" s="521"/>
      <c r="BB24" s="147">
        <f>+BB12/AZ12-1</f>
        <v>-8.1357055166908498E-4</v>
      </c>
      <c r="BC24" s="147">
        <f>+BC12/BB12-1</f>
        <v>1.4090618768314078E-2</v>
      </c>
      <c r="BD24" s="147">
        <f t="shared" ref="BD24:BE24" si="33">+BD12/BC12-1</f>
        <v>3.2035039977691415E-2</v>
      </c>
      <c r="BE24" s="147">
        <f t="shared" si="33"/>
        <v>7.486466592749208E-3</v>
      </c>
      <c r="BF24" s="521"/>
      <c r="BG24" s="147">
        <f t="shared" ref="BG24" si="34">+BG12/BE12-1</f>
        <v>-2.778124580946173E-2</v>
      </c>
      <c r="BH24" s="147">
        <f t="shared" ref="BH24:BJ24" si="35">+BH12/BG12-1</f>
        <v>-1</v>
      </c>
      <c r="BI24" s="147" t="e">
        <f t="shared" si="35"/>
        <v>#DIV/0!</v>
      </c>
      <c r="BJ24" s="147" t="e">
        <f t="shared" si="35"/>
        <v>#DIV/0!</v>
      </c>
      <c r="BK24" s="521"/>
    </row>
    <row r="25" spans="2:63" s="139" customFormat="1">
      <c r="C25" s="148"/>
      <c r="D25" s="147"/>
      <c r="E25" s="147"/>
      <c r="F25" s="147"/>
      <c r="G25" s="147"/>
      <c r="H25" s="521"/>
      <c r="I25" s="147"/>
      <c r="J25" s="147"/>
      <c r="K25" s="147"/>
      <c r="L25" s="147"/>
      <c r="M25" s="521"/>
      <c r="N25" s="147"/>
      <c r="O25" s="147"/>
      <c r="P25" s="147"/>
      <c r="Q25" s="147"/>
      <c r="R25" s="521"/>
      <c r="S25" s="147"/>
      <c r="T25" s="147"/>
      <c r="U25" s="147"/>
      <c r="V25" s="147"/>
      <c r="W25" s="521"/>
      <c r="X25" s="147"/>
      <c r="Y25" s="147"/>
      <c r="Z25" s="147"/>
      <c r="AA25" s="147"/>
      <c r="AB25" s="521"/>
      <c r="AC25" s="147"/>
      <c r="AD25" s="147"/>
      <c r="AE25" s="147"/>
      <c r="AF25" s="147"/>
      <c r="AG25" s="521"/>
      <c r="AH25" s="147"/>
      <c r="AI25" s="147"/>
      <c r="AJ25" s="147"/>
      <c r="AK25" s="147"/>
      <c r="AL25" s="521"/>
      <c r="AM25" s="147"/>
      <c r="AN25" s="147"/>
      <c r="AO25" s="147"/>
      <c r="AP25" s="147"/>
      <c r="AQ25" s="521"/>
      <c r="AR25" s="147"/>
      <c r="AS25" s="147"/>
      <c r="AT25" s="147"/>
      <c r="AU25" s="147"/>
      <c r="AV25" s="521"/>
      <c r="AW25" s="147"/>
      <c r="AX25" s="147"/>
      <c r="AY25" s="147"/>
      <c r="AZ25" s="147"/>
      <c r="BA25" s="521"/>
      <c r="BB25" s="147"/>
      <c r="BC25" s="147"/>
      <c r="BD25" s="147"/>
      <c r="BE25" s="147"/>
      <c r="BF25" s="521"/>
      <c r="BG25" s="147"/>
      <c r="BH25" s="147"/>
      <c r="BI25" s="147"/>
      <c r="BJ25" s="147"/>
      <c r="BK25" s="521"/>
    </row>
    <row r="26" spans="2:63" s="139" customFormat="1" ht="13.15">
      <c r="B26" s="140" t="s">
        <v>487</v>
      </c>
      <c r="C26" s="141"/>
      <c r="D26" s="147"/>
      <c r="E26" s="147"/>
      <c r="F26" s="147"/>
      <c r="G26" s="147"/>
      <c r="H26" s="521"/>
      <c r="I26" s="147"/>
      <c r="J26" s="147"/>
      <c r="K26" s="147"/>
      <c r="L26" s="147"/>
      <c r="M26" s="521"/>
      <c r="N26" s="147"/>
      <c r="O26" s="147"/>
      <c r="P26" s="147"/>
      <c r="Q26" s="147"/>
      <c r="R26" s="521"/>
      <c r="S26" s="147"/>
      <c r="T26" s="147"/>
      <c r="U26" s="147"/>
      <c r="V26" s="147"/>
      <c r="W26" s="521"/>
      <c r="X26" s="147"/>
      <c r="Y26" s="147"/>
      <c r="Z26" s="147"/>
      <c r="AA26" s="147"/>
      <c r="AB26" s="521"/>
      <c r="AC26" s="147"/>
      <c r="AD26" s="147"/>
      <c r="AE26" s="147"/>
      <c r="AF26" s="147"/>
      <c r="AG26" s="521"/>
      <c r="AH26" s="147"/>
      <c r="AI26" s="147"/>
      <c r="AJ26" s="147"/>
      <c r="AK26" s="147"/>
      <c r="AL26" s="521"/>
      <c r="AM26" s="147"/>
      <c r="AN26" s="147"/>
      <c r="AO26" s="147"/>
      <c r="AP26" s="147"/>
      <c r="AQ26" s="521"/>
      <c r="AR26" s="147"/>
      <c r="AS26" s="147"/>
      <c r="AT26" s="147"/>
      <c r="AU26" s="147"/>
      <c r="AV26" s="521"/>
      <c r="AW26" s="147"/>
      <c r="AX26" s="147"/>
      <c r="AY26" s="147"/>
      <c r="AZ26" s="147"/>
      <c r="BA26" s="521"/>
      <c r="BB26" s="147"/>
      <c r="BC26" s="147"/>
      <c r="BD26" s="147"/>
      <c r="BE26" s="147"/>
      <c r="BF26" s="521"/>
      <c r="BG26" s="147"/>
      <c r="BH26" s="147"/>
      <c r="BI26" s="147"/>
      <c r="BJ26" s="147"/>
      <c r="BK26" s="521"/>
    </row>
    <row r="27" spans="2:63" s="139" customFormat="1">
      <c r="B27" s="139" t="s">
        <v>490</v>
      </c>
      <c r="C27" s="148"/>
      <c r="D27" s="413"/>
      <c r="E27" s="147">
        <f>+E9/E34</f>
        <v>0.8827740492170022</v>
      </c>
      <c r="F27" s="413"/>
      <c r="G27" s="413"/>
      <c r="H27" s="521">
        <f>+G27</f>
        <v>0</v>
      </c>
      <c r="I27" s="147">
        <v>0.86</v>
      </c>
      <c r="J27" s="147">
        <v>0.88</v>
      </c>
      <c r="K27" s="147">
        <v>0.88</v>
      </c>
      <c r="L27" s="147">
        <v>0.87</v>
      </c>
      <c r="M27" s="521">
        <f>+L27</f>
        <v>0.87</v>
      </c>
      <c r="N27" s="147">
        <v>0.87</v>
      </c>
      <c r="O27" s="147">
        <v>0.87</v>
      </c>
      <c r="P27" s="147">
        <v>0.86</v>
      </c>
      <c r="Q27" s="147">
        <v>0.84</v>
      </c>
      <c r="R27" s="521">
        <f>+Q27</f>
        <v>0.84</v>
      </c>
      <c r="S27" s="147">
        <v>0.84</v>
      </c>
      <c r="T27" s="147">
        <v>0.85</v>
      </c>
      <c r="U27" s="147">
        <v>0.85</v>
      </c>
      <c r="V27" s="147">
        <v>0.86</v>
      </c>
      <c r="W27" s="521">
        <f>+V27</f>
        <v>0.86</v>
      </c>
      <c r="X27" s="147">
        <v>0.85</v>
      </c>
      <c r="Y27" s="147">
        <v>0.84</v>
      </c>
      <c r="Z27" s="147">
        <v>0.85</v>
      </c>
      <c r="AA27" s="147">
        <f t="shared" ref="AA27:AP27" si="36">+AA9/AA$34</f>
        <v>0.85048713101643159</v>
      </c>
      <c r="AB27" s="521">
        <f t="shared" si="36"/>
        <v>0.84774301387597251</v>
      </c>
      <c r="AC27" s="147">
        <f t="shared" si="36"/>
        <v>0.84770103163216504</v>
      </c>
      <c r="AD27" s="147">
        <f t="shared" si="36"/>
        <v>0.83968895249433251</v>
      </c>
      <c r="AE27" s="147">
        <f t="shared" si="36"/>
        <v>0.84039444411039621</v>
      </c>
      <c r="AF27" s="147">
        <f t="shared" si="36"/>
        <v>0.72700986382681565</v>
      </c>
      <c r="AG27" s="521">
        <f t="shared" si="36"/>
        <v>0.81007625089081714</v>
      </c>
      <c r="AH27" s="147">
        <f t="shared" si="36"/>
        <v>0.80386898452406186</v>
      </c>
      <c r="AI27" s="147">
        <f t="shared" si="36"/>
        <v>0.80331001294079585</v>
      </c>
      <c r="AJ27" s="147">
        <f t="shared" si="36"/>
        <v>0.80246490601950993</v>
      </c>
      <c r="AK27" s="147">
        <f t="shared" si="36"/>
        <v>0.79657826597972758</v>
      </c>
      <c r="AL27" s="521">
        <f t="shared" si="36"/>
        <v>0.80137112805781974</v>
      </c>
      <c r="AM27" s="147">
        <f t="shared" si="36"/>
        <v>0.7876391005610851</v>
      </c>
      <c r="AN27" s="147">
        <f t="shared" si="36"/>
        <v>0.7851227248637489</v>
      </c>
      <c r="AO27" s="147">
        <f t="shared" si="36"/>
        <v>0.76853188842981113</v>
      </c>
      <c r="AP27" s="147">
        <f t="shared" si="36"/>
        <v>0.7621968108257825</v>
      </c>
      <c r="AQ27" s="521">
        <f>+AP27</f>
        <v>0.7621968108257825</v>
      </c>
      <c r="AR27" s="147">
        <f t="shared" ref="AR27:AU28" si="37">+AR9/AR$34</f>
        <v>0.75689396634981954</v>
      </c>
      <c r="AS27" s="147">
        <f t="shared" si="37"/>
        <v>0.75244692603983154</v>
      </c>
      <c r="AT27" s="147">
        <f t="shared" si="37"/>
        <v>0.74888629704434895</v>
      </c>
      <c r="AU27" s="147">
        <f t="shared" si="37"/>
        <v>0.7556632462231474</v>
      </c>
      <c r="AV27" s="521">
        <f>+AU27</f>
        <v>0.7556632462231474</v>
      </c>
      <c r="AW27" s="147">
        <f t="shared" ref="AW27:AZ28" si="38">+AW9/AW$34</f>
        <v>0.74852872132507886</v>
      </c>
      <c r="AX27" s="147">
        <f t="shared" si="38"/>
        <v>0.78605938389471808</v>
      </c>
      <c r="AY27" s="147">
        <f t="shared" si="38"/>
        <v>0.74394874348103779</v>
      </c>
      <c r="AZ27" s="147">
        <f t="shared" si="38"/>
        <v>0.77311124968334077</v>
      </c>
      <c r="BA27" s="521">
        <f>+AZ27</f>
        <v>0.77311124968334077</v>
      </c>
      <c r="BB27" s="147">
        <f t="shared" ref="BB27:BE28" si="39">+BB9/BB$34</f>
        <v>0.7671342411787363</v>
      </c>
      <c r="BC27" s="147">
        <f t="shared" si="39"/>
        <v>0.76600429826290561</v>
      </c>
      <c r="BD27" s="147">
        <f t="shared" si="39"/>
        <v>0.76276239902354481</v>
      </c>
      <c r="BE27" s="147">
        <f t="shared" si="39"/>
        <v>0.75378362256717579</v>
      </c>
      <c r="BF27" s="521">
        <f>+BE27</f>
        <v>0.75378362256717579</v>
      </c>
      <c r="BG27" s="147">
        <f>+BG9/BG$34</f>
        <v>0.75121401359314732</v>
      </c>
      <c r="BH27" s="147"/>
      <c r="BI27" s="147"/>
      <c r="BJ27" s="147"/>
      <c r="BK27" s="521">
        <f>+BJ27</f>
        <v>0</v>
      </c>
    </row>
    <row r="28" spans="2:63" s="139" customFormat="1">
      <c r="B28" s="139" t="s">
        <v>491</v>
      </c>
      <c r="C28" s="148"/>
      <c r="D28" s="413"/>
      <c r="E28" s="147">
        <f>+E10/E34</f>
        <v>0.11722595078299776</v>
      </c>
      <c r="F28" s="413"/>
      <c r="G28" s="413"/>
      <c r="H28" s="521">
        <f>+G28</f>
        <v>0</v>
      </c>
      <c r="I28" s="147">
        <v>0.14000000000000001</v>
      </c>
      <c r="J28" s="147">
        <v>0.12</v>
      </c>
      <c r="K28" s="147">
        <v>0.12</v>
      </c>
      <c r="L28" s="147">
        <v>0.13</v>
      </c>
      <c r="M28" s="521">
        <f>+L28</f>
        <v>0.13</v>
      </c>
      <c r="N28" s="147">
        <v>0.13</v>
      </c>
      <c r="O28" s="147">
        <v>0.13</v>
      </c>
      <c r="P28" s="147">
        <v>0.14000000000000001</v>
      </c>
      <c r="Q28" s="147">
        <v>0.16</v>
      </c>
      <c r="R28" s="521">
        <f>+Q28</f>
        <v>0.16</v>
      </c>
      <c r="S28" s="147">
        <v>0.16</v>
      </c>
      <c r="T28" s="147">
        <v>0.15</v>
      </c>
      <c r="U28" s="147">
        <v>0.15</v>
      </c>
      <c r="V28" s="147">
        <v>0.14000000000000001</v>
      </c>
      <c r="W28" s="521">
        <f>+V28</f>
        <v>0.14000000000000001</v>
      </c>
      <c r="X28" s="147">
        <v>0.15</v>
      </c>
      <c r="Y28" s="147">
        <v>0.16</v>
      </c>
      <c r="Z28" s="147">
        <v>0.15</v>
      </c>
      <c r="AA28" s="147">
        <f t="shared" ref="AA28:AP28" si="40">+AA10/AA$34</f>
        <v>0.14951286898356841</v>
      </c>
      <c r="AB28" s="521">
        <f t="shared" si="40"/>
        <v>0.15225698612402749</v>
      </c>
      <c r="AC28" s="147">
        <f t="shared" si="40"/>
        <v>0.15229896836783494</v>
      </c>
      <c r="AD28" s="147">
        <f t="shared" si="40"/>
        <v>0.16031104750566749</v>
      </c>
      <c r="AE28" s="147">
        <f t="shared" si="40"/>
        <v>0.15960555588960376</v>
      </c>
      <c r="AF28" s="147">
        <f t="shared" si="40"/>
        <v>0.27299013617318435</v>
      </c>
      <c r="AG28" s="521">
        <f t="shared" si="40"/>
        <v>0.18992374910918283</v>
      </c>
      <c r="AH28" s="147">
        <f t="shared" si="40"/>
        <v>0.19613101547593809</v>
      </c>
      <c r="AI28" s="147">
        <f t="shared" si="40"/>
        <v>0.19668998705920415</v>
      </c>
      <c r="AJ28" s="147">
        <f t="shared" si="40"/>
        <v>0.19753509398049013</v>
      </c>
      <c r="AK28" s="147">
        <f t="shared" si="40"/>
        <v>0.20342173402027236</v>
      </c>
      <c r="AL28" s="521">
        <f t="shared" si="40"/>
        <v>0.19862887194218029</v>
      </c>
      <c r="AM28" s="147">
        <f t="shared" si="40"/>
        <v>0.21236089943891495</v>
      </c>
      <c r="AN28" s="147">
        <f t="shared" si="40"/>
        <v>0.2148772751362511</v>
      </c>
      <c r="AO28" s="147">
        <f t="shared" si="40"/>
        <v>0.23146811157018884</v>
      </c>
      <c r="AP28" s="147">
        <f t="shared" si="40"/>
        <v>0.23780318917421756</v>
      </c>
      <c r="AQ28" s="521">
        <f>+AP28</f>
        <v>0.23780318917421756</v>
      </c>
      <c r="AR28" s="147">
        <f t="shared" si="37"/>
        <v>0.24310603365018046</v>
      </c>
      <c r="AS28" s="147">
        <f t="shared" si="37"/>
        <v>0.2475530739601684</v>
      </c>
      <c r="AT28" s="147">
        <f t="shared" si="37"/>
        <v>0.251113702955651</v>
      </c>
      <c r="AU28" s="147">
        <f t="shared" si="37"/>
        <v>0.24433675377685266</v>
      </c>
      <c r="AV28" s="521">
        <f>+AU28</f>
        <v>0.24433675377685266</v>
      </c>
      <c r="AW28" s="147">
        <f t="shared" si="38"/>
        <v>0.25147127867492114</v>
      </c>
      <c r="AX28" s="147">
        <f t="shared" si="38"/>
        <v>0.21394061610528195</v>
      </c>
      <c r="AY28" s="147">
        <f t="shared" si="38"/>
        <v>0.25605125651896221</v>
      </c>
      <c r="AZ28" s="147">
        <f t="shared" si="38"/>
        <v>0.2268887503166592</v>
      </c>
      <c r="BA28" s="521">
        <f>+AZ28</f>
        <v>0.2268887503166592</v>
      </c>
      <c r="BB28" s="147">
        <f t="shared" si="39"/>
        <v>0.23286575882126367</v>
      </c>
      <c r="BC28" s="147">
        <f t="shared" si="39"/>
        <v>0.23399570173709439</v>
      </c>
      <c r="BD28" s="147">
        <f t="shared" si="39"/>
        <v>0.23723760097645513</v>
      </c>
      <c r="BE28" s="147">
        <f t="shared" si="39"/>
        <v>0.24621637743282423</v>
      </c>
      <c r="BF28" s="521">
        <f>+BE28</f>
        <v>0.24621637743282423</v>
      </c>
      <c r="BG28" s="147">
        <f>+BG10/BG$34</f>
        <v>0.2487859864068527</v>
      </c>
      <c r="BH28" s="147"/>
      <c r="BI28" s="147"/>
      <c r="BJ28" s="147"/>
      <c r="BK28" s="521">
        <f>+BJ28</f>
        <v>0</v>
      </c>
    </row>
    <row r="29" spans="2:63" s="139" customFormat="1" ht="3.6" customHeight="1">
      <c r="B29" s="144"/>
      <c r="C29" s="149"/>
      <c r="D29" s="258" t="s">
        <v>129</v>
      </c>
      <c r="E29" s="258" t="s">
        <v>129</v>
      </c>
      <c r="F29" s="258" t="s">
        <v>129</v>
      </c>
      <c r="G29" s="258" t="s">
        <v>129</v>
      </c>
      <c r="H29" s="522" t="s">
        <v>129</v>
      </c>
      <c r="I29" s="258" t="s">
        <v>129</v>
      </c>
      <c r="J29" s="258" t="s">
        <v>129</v>
      </c>
      <c r="K29" s="258" t="s">
        <v>129</v>
      </c>
      <c r="L29" s="258" t="s">
        <v>129</v>
      </c>
      <c r="M29" s="522" t="s">
        <v>129</v>
      </c>
      <c r="N29" s="258" t="s">
        <v>129</v>
      </c>
      <c r="O29" s="258" t="s">
        <v>129</v>
      </c>
      <c r="P29" s="258" t="s">
        <v>129</v>
      </c>
      <c r="Q29" s="258" t="s">
        <v>129</v>
      </c>
      <c r="R29" s="522" t="s">
        <v>129</v>
      </c>
      <c r="S29" s="258" t="s">
        <v>129</v>
      </c>
      <c r="T29" s="258" t="s">
        <v>129</v>
      </c>
      <c r="U29" s="258" t="s">
        <v>129</v>
      </c>
      <c r="V29" s="258" t="s">
        <v>129</v>
      </c>
      <c r="W29" s="522" t="s">
        <v>129</v>
      </c>
      <c r="X29" s="258" t="s">
        <v>129</v>
      </c>
      <c r="Y29" s="258" t="s">
        <v>129</v>
      </c>
      <c r="Z29" s="258" t="s">
        <v>129</v>
      </c>
      <c r="AA29" s="258" t="s">
        <v>129</v>
      </c>
      <c r="AB29" s="522" t="s">
        <v>129</v>
      </c>
      <c r="AC29" s="258" t="s">
        <v>129</v>
      </c>
      <c r="AD29" s="258" t="s">
        <v>129</v>
      </c>
      <c r="AE29" s="258" t="s">
        <v>129</v>
      </c>
      <c r="AF29" s="258" t="s">
        <v>129</v>
      </c>
      <c r="AG29" s="522" t="s">
        <v>129</v>
      </c>
      <c r="AH29" s="258" t="s">
        <v>129</v>
      </c>
      <c r="AI29" s="258" t="s">
        <v>129</v>
      </c>
      <c r="AJ29" s="258" t="s">
        <v>129</v>
      </c>
      <c r="AK29" s="258" t="s">
        <v>129</v>
      </c>
      <c r="AL29" s="522" t="s">
        <v>129</v>
      </c>
      <c r="AM29" s="258" t="s">
        <v>129</v>
      </c>
      <c r="AN29" s="258" t="s">
        <v>129</v>
      </c>
      <c r="AO29" s="258" t="s">
        <v>129</v>
      </c>
      <c r="AP29" s="258" t="s">
        <v>129</v>
      </c>
      <c r="AQ29" s="522" t="s">
        <v>129</v>
      </c>
      <c r="AR29" s="258" t="s">
        <v>129</v>
      </c>
      <c r="AS29" s="258" t="s">
        <v>129</v>
      </c>
      <c r="AT29" s="258" t="s">
        <v>129</v>
      </c>
      <c r="AU29" s="258" t="s">
        <v>129</v>
      </c>
      <c r="AV29" s="522" t="s">
        <v>129</v>
      </c>
      <c r="AW29" s="258" t="s">
        <v>129</v>
      </c>
      <c r="AX29" s="258" t="s">
        <v>129</v>
      </c>
      <c r="AY29" s="258" t="s">
        <v>129</v>
      </c>
      <c r="AZ29" s="258" t="s">
        <v>129</v>
      </c>
      <c r="BA29" s="522" t="s">
        <v>129</v>
      </c>
      <c r="BB29" s="258" t="s">
        <v>129</v>
      </c>
      <c r="BC29" s="258" t="s">
        <v>129</v>
      </c>
      <c r="BD29" s="258" t="s">
        <v>129</v>
      </c>
      <c r="BE29" s="258" t="s">
        <v>129</v>
      </c>
      <c r="BF29" s="522" t="s">
        <v>129</v>
      </c>
      <c r="BG29" s="258" t="s">
        <v>129</v>
      </c>
      <c r="BH29" s="258" t="s">
        <v>129</v>
      </c>
      <c r="BI29" s="258" t="s">
        <v>129</v>
      </c>
      <c r="BJ29" s="258" t="s">
        <v>129</v>
      </c>
      <c r="BK29" s="522" t="s">
        <v>129</v>
      </c>
    </row>
    <row r="30" spans="2:63" s="139" customFormat="1">
      <c r="B30" s="139" t="s">
        <v>128</v>
      </c>
      <c r="C30" s="148"/>
      <c r="D30" s="147">
        <f t="shared" ref="D30:R30" si="41">+D27+D28</f>
        <v>0</v>
      </c>
      <c r="E30" s="147">
        <f t="shared" si="41"/>
        <v>1</v>
      </c>
      <c r="F30" s="147">
        <f t="shared" si="41"/>
        <v>0</v>
      </c>
      <c r="G30" s="147">
        <f t="shared" si="41"/>
        <v>0</v>
      </c>
      <c r="H30" s="521">
        <f t="shared" si="41"/>
        <v>0</v>
      </c>
      <c r="I30" s="147">
        <f t="shared" si="41"/>
        <v>1</v>
      </c>
      <c r="J30" s="147">
        <f t="shared" si="41"/>
        <v>1</v>
      </c>
      <c r="K30" s="147">
        <f t="shared" si="41"/>
        <v>1</v>
      </c>
      <c r="L30" s="147">
        <f t="shared" si="41"/>
        <v>1</v>
      </c>
      <c r="M30" s="521">
        <f t="shared" si="41"/>
        <v>1</v>
      </c>
      <c r="N30" s="147">
        <f t="shared" si="41"/>
        <v>1</v>
      </c>
      <c r="O30" s="147">
        <f t="shared" si="41"/>
        <v>1</v>
      </c>
      <c r="P30" s="147">
        <f t="shared" si="41"/>
        <v>1</v>
      </c>
      <c r="Q30" s="147">
        <f t="shared" si="41"/>
        <v>1</v>
      </c>
      <c r="R30" s="521">
        <f t="shared" si="41"/>
        <v>1</v>
      </c>
      <c r="S30" s="147">
        <f>+S27+S28</f>
        <v>1</v>
      </c>
      <c r="T30" s="147">
        <f t="shared" ref="T30:AB30" si="42">+T12/T12</f>
        <v>1</v>
      </c>
      <c r="U30" s="147">
        <f t="shared" si="42"/>
        <v>1</v>
      </c>
      <c r="V30" s="147">
        <f t="shared" si="42"/>
        <v>1</v>
      </c>
      <c r="W30" s="521">
        <f t="shared" si="42"/>
        <v>1</v>
      </c>
      <c r="X30" s="147">
        <f t="shared" si="42"/>
        <v>1</v>
      </c>
      <c r="Y30" s="147">
        <f t="shared" si="42"/>
        <v>1</v>
      </c>
      <c r="Z30" s="147">
        <f t="shared" si="42"/>
        <v>1</v>
      </c>
      <c r="AA30" s="147">
        <f t="shared" si="42"/>
        <v>1</v>
      </c>
      <c r="AB30" s="521">
        <f t="shared" si="42"/>
        <v>1</v>
      </c>
      <c r="AC30" s="147">
        <f t="shared" ref="AC30:BK30" si="43">+AC12/AC12</f>
        <v>1</v>
      </c>
      <c r="AD30" s="147">
        <f t="shared" si="43"/>
        <v>1</v>
      </c>
      <c r="AE30" s="147">
        <f t="shared" si="43"/>
        <v>1</v>
      </c>
      <c r="AF30" s="147">
        <f t="shared" si="43"/>
        <v>1</v>
      </c>
      <c r="AG30" s="521">
        <f t="shared" si="43"/>
        <v>1</v>
      </c>
      <c r="AH30" s="147">
        <f t="shared" si="43"/>
        <v>1</v>
      </c>
      <c r="AI30" s="147">
        <f t="shared" si="43"/>
        <v>1</v>
      </c>
      <c r="AJ30" s="147">
        <f t="shared" si="43"/>
        <v>1</v>
      </c>
      <c r="AK30" s="147">
        <f t="shared" si="43"/>
        <v>1</v>
      </c>
      <c r="AL30" s="521">
        <f t="shared" si="43"/>
        <v>1</v>
      </c>
      <c r="AM30" s="147">
        <f t="shared" si="43"/>
        <v>1</v>
      </c>
      <c r="AN30" s="147">
        <f t="shared" si="43"/>
        <v>1</v>
      </c>
      <c r="AO30" s="147">
        <f t="shared" si="43"/>
        <v>1</v>
      </c>
      <c r="AP30" s="147">
        <f t="shared" si="43"/>
        <v>1</v>
      </c>
      <c r="AQ30" s="521">
        <f t="shared" si="43"/>
        <v>1</v>
      </c>
      <c r="AR30" s="147">
        <f t="shared" si="43"/>
        <v>1</v>
      </c>
      <c r="AS30" s="147">
        <f t="shared" si="43"/>
        <v>1</v>
      </c>
      <c r="AT30" s="147">
        <f t="shared" si="43"/>
        <v>1</v>
      </c>
      <c r="AU30" s="147">
        <f t="shared" si="43"/>
        <v>1</v>
      </c>
      <c r="AV30" s="521">
        <f t="shared" si="43"/>
        <v>1</v>
      </c>
      <c r="AW30" s="147">
        <f t="shared" si="43"/>
        <v>1</v>
      </c>
      <c r="AX30" s="147">
        <f t="shared" si="43"/>
        <v>1</v>
      </c>
      <c r="AY30" s="147">
        <f t="shared" si="43"/>
        <v>1</v>
      </c>
      <c r="AZ30" s="147">
        <f t="shared" si="43"/>
        <v>1</v>
      </c>
      <c r="BA30" s="521">
        <f t="shared" si="43"/>
        <v>1</v>
      </c>
      <c r="BB30" s="147">
        <f t="shared" si="43"/>
        <v>1</v>
      </c>
      <c r="BC30" s="147">
        <f t="shared" si="43"/>
        <v>1</v>
      </c>
      <c r="BD30" s="147">
        <f t="shared" si="43"/>
        <v>1</v>
      </c>
      <c r="BE30" s="147">
        <f t="shared" si="43"/>
        <v>1</v>
      </c>
      <c r="BF30" s="521">
        <f t="shared" si="43"/>
        <v>1</v>
      </c>
      <c r="BG30" s="147">
        <f t="shared" ref="BG30" si="44">+BG12/BG12</f>
        <v>1</v>
      </c>
      <c r="BH30" s="147" t="e">
        <f t="shared" si="43"/>
        <v>#DIV/0!</v>
      </c>
      <c r="BI30" s="147" t="e">
        <f t="shared" si="43"/>
        <v>#DIV/0!</v>
      </c>
      <c r="BJ30" s="147" t="e">
        <f t="shared" si="43"/>
        <v>#DIV/0!</v>
      </c>
      <c r="BK30" s="521">
        <f t="shared" si="43"/>
        <v>1</v>
      </c>
    </row>
    <row r="31" spans="2:63" s="139" customFormat="1"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</row>
    <row r="32" spans="2:63" s="139" customFormat="1" ht="13.15" thickBot="1">
      <c r="B32" s="178" t="s">
        <v>364</v>
      </c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</row>
    <row r="33" spans="2:63" s="139" customFormat="1">
      <c r="B33" s="581"/>
      <c r="C33" s="581"/>
      <c r="D33" s="581"/>
      <c r="E33" s="581"/>
      <c r="F33" s="581"/>
      <c r="G33" s="581"/>
      <c r="H33" s="581"/>
      <c r="I33" s="581"/>
      <c r="J33" s="581"/>
      <c r="K33" s="581"/>
      <c r="L33" s="581"/>
      <c r="M33" s="581"/>
      <c r="N33" s="581"/>
      <c r="O33" s="581"/>
      <c r="P33" s="581"/>
      <c r="Q33" s="581"/>
      <c r="R33" s="581"/>
      <c r="S33" s="581"/>
      <c r="T33" s="581"/>
      <c r="U33" s="581"/>
      <c r="V33" s="581"/>
      <c r="W33" s="581"/>
      <c r="X33" s="581"/>
      <c r="Y33" s="581"/>
      <c r="Z33" s="581"/>
      <c r="AA33" s="581"/>
      <c r="AB33" s="581"/>
      <c r="AC33" s="581"/>
      <c r="AD33" s="581"/>
      <c r="AE33" s="581"/>
      <c r="AF33" s="581"/>
      <c r="AG33" s="581"/>
      <c r="AH33" s="581"/>
      <c r="AI33" s="581"/>
      <c r="AJ33" s="581"/>
      <c r="AK33" s="581"/>
      <c r="AL33" s="581"/>
      <c r="AM33" s="581"/>
      <c r="AN33" s="581"/>
      <c r="AO33" s="581"/>
      <c r="AP33" s="581"/>
      <c r="AQ33" s="581"/>
      <c r="AR33" s="581"/>
      <c r="AS33" s="581"/>
      <c r="AT33" s="581"/>
      <c r="AU33" s="581"/>
      <c r="AV33" s="581"/>
      <c r="AW33" s="581"/>
      <c r="AX33" s="581"/>
      <c r="AY33" s="581"/>
      <c r="AZ33" s="581"/>
      <c r="BA33" s="581"/>
      <c r="BB33" s="581"/>
      <c r="BC33" s="581"/>
      <c r="BD33" s="581"/>
      <c r="BE33" s="581"/>
      <c r="BF33" s="581"/>
      <c r="BG33" s="581"/>
      <c r="BH33" s="581"/>
      <c r="BI33" s="581"/>
      <c r="BJ33" s="581"/>
      <c r="BK33" s="581"/>
    </row>
    <row r="34" spans="2:63" s="139" customFormat="1">
      <c r="B34" s="139" t="s">
        <v>133</v>
      </c>
      <c r="C34" s="143"/>
      <c r="D34" s="376">
        <f>+IS!D52</f>
        <v>16736</v>
      </c>
      <c r="E34" s="376">
        <f>+IS!E52</f>
        <v>17880</v>
      </c>
      <c r="F34" s="376">
        <f>+IS!F52</f>
        <v>20329</v>
      </c>
      <c r="G34" s="376">
        <f>+IS!G52</f>
        <v>21935</v>
      </c>
      <c r="H34" s="376">
        <f>+IS!H52</f>
        <v>76880</v>
      </c>
      <c r="I34" s="376">
        <f>+IS!I52</f>
        <v>23571</v>
      </c>
      <c r="J34" s="376">
        <f>+IS!J52</f>
        <v>25790</v>
      </c>
      <c r="K34" s="376">
        <f>+IS!K52</f>
        <v>28312</v>
      </c>
      <c r="L34" s="376">
        <f>+IS!L52</f>
        <v>32853</v>
      </c>
      <c r="M34" s="376">
        <f>+IS!M52</f>
        <v>110526</v>
      </c>
      <c r="N34" s="376">
        <f>+IS!N52</f>
        <v>34796</v>
      </c>
      <c r="O34" s="376">
        <f>+IS!O52</f>
        <v>37268</v>
      </c>
      <c r="P34" s="376">
        <f>+IS!P52</f>
        <v>40339</v>
      </c>
      <c r="Q34" s="376">
        <f>+IS!Q52</f>
        <v>45034</v>
      </c>
      <c r="R34" s="376">
        <f>+IS!R52</f>
        <v>157437</v>
      </c>
      <c r="S34" s="376">
        <f>+IS!S52</f>
        <v>45245</v>
      </c>
      <c r="T34" s="376">
        <f>+IS!T52</f>
        <v>47443</v>
      </c>
      <c r="U34" s="376">
        <f>+IS!U52</f>
        <v>50521</v>
      </c>
      <c r="V34" s="376">
        <f>+IS!V52</f>
        <v>57731</v>
      </c>
      <c r="W34" s="376">
        <f>+IS!W52</f>
        <v>200940</v>
      </c>
      <c r="X34" s="376">
        <f>+IS!X52</f>
        <v>54515</v>
      </c>
      <c r="Y34" s="376">
        <f>+IS!Y52</f>
        <v>58441</v>
      </c>
      <c r="Z34" s="376">
        <f>+IS!Z52</f>
        <v>62365</v>
      </c>
      <c r="AA34" s="376">
        <f>+IS!AA52</f>
        <v>68770</v>
      </c>
      <c r="AB34" s="376">
        <f>+IS!AB52</f>
        <v>244091</v>
      </c>
      <c r="AC34" s="376">
        <f>+IS!AC52</f>
        <v>73185</v>
      </c>
      <c r="AD34" s="376">
        <f>+IS!AD52</f>
        <v>78959</v>
      </c>
      <c r="AE34" s="376">
        <f>+IS!AE52</f>
        <v>83155</v>
      </c>
      <c r="AF34" s="376">
        <f>+IS!AF52</f>
        <v>91648</v>
      </c>
      <c r="AG34" s="376">
        <f>+IS!AG52</f>
        <v>326947</v>
      </c>
      <c r="AH34" s="376">
        <f>+IS!AH52</f>
        <v>94340</v>
      </c>
      <c r="AI34" s="376">
        <f>+IS!AI52</f>
        <v>98912</v>
      </c>
      <c r="AJ34" s="376">
        <f>+IS!AJ52</f>
        <v>105075</v>
      </c>
      <c r="AK34" s="376">
        <f>+IS!AK52</f>
        <v>113159</v>
      </c>
      <c r="AL34" s="376">
        <f>+IS!AL52</f>
        <v>411486</v>
      </c>
      <c r="AM34" s="376">
        <f>+IS!AM52</f>
        <v>117451</v>
      </c>
      <c r="AN34" s="376">
        <f>+IS!AN52</f>
        <v>126421</v>
      </c>
      <c r="AO34" s="376">
        <f>+IS!AO52</f>
        <v>139894</v>
      </c>
      <c r="AP34" s="376">
        <f>+IS!AP52</f>
        <v>151638</v>
      </c>
      <c r="AQ34" s="376">
        <f>+IS!AQ52</f>
        <v>535404</v>
      </c>
      <c r="AR34" s="376">
        <f>+IS!AR52</f>
        <v>157384</v>
      </c>
      <c r="AS34" s="376">
        <f>+IS!AS52</f>
        <v>167455</v>
      </c>
      <c r="AT34" s="376">
        <f>+IS!AT52</f>
        <v>175765</v>
      </c>
      <c r="AU34" s="376">
        <f>+IS!AU52</f>
        <v>184479</v>
      </c>
      <c r="AV34" s="376">
        <f>+IS!AV52</f>
        <v>685083</v>
      </c>
      <c r="AW34" s="376">
        <f>+IS!AW52</f>
        <v>183174</v>
      </c>
      <c r="AX34" s="376">
        <f>+IS!AX52</f>
        <v>190422</v>
      </c>
      <c r="AY34" s="376">
        <f>+IS!AY52</f>
        <v>198843</v>
      </c>
      <c r="AZ34" s="376">
        <f>+IS!AZ52</f>
        <v>205268</v>
      </c>
      <c r="BA34" s="376">
        <f>+IS!BA52</f>
        <v>777707</v>
      </c>
      <c r="BB34" s="376">
        <f>+IS!BB52</f>
        <v>205101</v>
      </c>
      <c r="BC34" s="376">
        <f>+IS!BC52</f>
        <v>207991</v>
      </c>
      <c r="BD34" s="376">
        <f>+IS!BD52</f>
        <v>214654</v>
      </c>
      <c r="BE34" s="376">
        <f>+IS!BE52</f>
        <v>216261</v>
      </c>
      <c r="BF34" s="376">
        <f>+IS!BF52</f>
        <v>844007</v>
      </c>
      <c r="BG34" s="376">
        <f>+IS!BG52</f>
        <v>210253</v>
      </c>
      <c r="BH34" s="376">
        <f>+IS!BH52</f>
        <v>214193</v>
      </c>
      <c r="BI34" s="376">
        <f>+IS!BI52</f>
        <v>217960</v>
      </c>
      <c r="BJ34" s="376">
        <f>+IS!BJ52</f>
        <v>217388</v>
      </c>
      <c r="BK34" s="376">
        <f>+IS!BK52</f>
        <v>859794</v>
      </c>
    </row>
    <row r="35" spans="2:63" s="139" customFormat="1">
      <c r="B35" s="139" t="s">
        <v>134</v>
      </c>
      <c r="D35" s="377">
        <f t="shared" ref="D35:AI35" si="45">D12-D34</f>
        <v>-16736</v>
      </c>
      <c r="E35" s="377">
        <f t="shared" si="45"/>
        <v>0</v>
      </c>
      <c r="F35" s="377">
        <f t="shared" si="45"/>
        <v>-20329</v>
      </c>
      <c r="G35" s="377">
        <f t="shared" si="45"/>
        <v>-21935</v>
      </c>
      <c r="H35" s="377">
        <f t="shared" si="45"/>
        <v>-59000</v>
      </c>
      <c r="I35" s="377">
        <f t="shared" si="45"/>
        <v>0</v>
      </c>
      <c r="J35" s="377">
        <f t="shared" si="45"/>
        <v>0</v>
      </c>
      <c r="K35" s="377">
        <f t="shared" si="45"/>
        <v>0</v>
      </c>
      <c r="L35" s="377">
        <f t="shared" si="45"/>
        <v>0</v>
      </c>
      <c r="M35" s="377">
        <f t="shared" si="45"/>
        <v>0</v>
      </c>
      <c r="N35" s="377">
        <f t="shared" si="45"/>
        <v>0</v>
      </c>
      <c r="O35" s="377">
        <f t="shared" si="45"/>
        <v>0</v>
      </c>
      <c r="P35" s="377">
        <f t="shared" si="45"/>
        <v>0</v>
      </c>
      <c r="Q35" s="377">
        <f t="shared" si="45"/>
        <v>0</v>
      </c>
      <c r="R35" s="377">
        <f t="shared" si="45"/>
        <v>0</v>
      </c>
      <c r="S35" s="377">
        <f t="shared" si="45"/>
        <v>0</v>
      </c>
      <c r="T35" s="377">
        <f t="shared" si="45"/>
        <v>0</v>
      </c>
      <c r="U35" s="377">
        <f t="shared" si="45"/>
        <v>0</v>
      </c>
      <c r="V35" s="377">
        <f t="shared" si="45"/>
        <v>0</v>
      </c>
      <c r="W35" s="377">
        <f t="shared" si="45"/>
        <v>0</v>
      </c>
      <c r="X35" s="377">
        <f t="shared" si="45"/>
        <v>0</v>
      </c>
      <c r="Y35" s="377">
        <f t="shared" si="45"/>
        <v>0</v>
      </c>
      <c r="Z35" s="377">
        <f t="shared" si="45"/>
        <v>0</v>
      </c>
      <c r="AA35" s="377">
        <f t="shared" si="45"/>
        <v>0</v>
      </c>
      <c r="AB35" s="377">
        <f t="shared" si="45"/>
        <v>0</v>
      </c>
      <c r="AC35" s="377">
        <f t="shared" si="45"/>
        <v>0</v>
      </c>
      <c r="AD35" s="377">
        <f t="shared" si="45"/>
        <v>0</v>
      </c>
      <c r="AE35" s="377">
        <f t="shared" si="45"/>
        <v>0</v>
      </c>
      <c r="AF35" s="377">
        <f t="shared" si="45"/>
        <v>0</v>
      </c>
      <c r="AG35" s="377">
        <f t="shared" si="45"/>
        <v>0</v>
      </c>
      <c r="AH35" s="377">
        <f t="shared" si="45"/>
        <v>0</v>
      </c>
      <c r="AI35" s="377">
        <f t="shared" si="45"/>
        <v>0</v>
      </c>
      <c r="AJ35" s="377">
        <f t="shared" ref="AJ35:BK35" si="46">AJ12-AJ34</f>
        <v>0</v>
      </c>
      <c r="AK35" s="377">
        <f t="shared" si="46"/>
        <v>0</v>
      </c>
      <c r="AL35" s="377">
        <f t="shared" si="46"/>
        <v>0</v>
      </c>
      <c r="AM35" s="377">
        <f t="shared" si="46"/>
        <v>0</v>
      </c>
      <c r="AN35" s="377">
        <f t="shared" si="46"/>
        <v>0</v>
      </c>
      <c r="AO35" s="377">
        <f t="shared" si="46"/>
        <v>0</v>
      </c>
      <c r="AP35" s="377">
        <f t="shared" si="46"/>
        <v>0</v>
      </c>
      <c r="AQ35" s="377">
        <f t="shared" si="46"/>
        <v>0</v>
      </c>
      <c r="AR35" s="377">
        <f t="shared" si="46"/>
        <v>0</v>
      </c>
      <c r="AS35" s="377">
        <f t="shared" si="46"/>
        <v>0</v>
      </c>
      <c r="AT35" s="377">
        <f t="shared" si="46"/>
        <v>0</v>
      </c>
      <c r="AU35" s="377">
        <f t="shared" si="46"/>
        <v>0</v>
      </c>
      <c r="AV35" s="377">
        <f t="shared" si="46"/>
        <v>0</v>
      </c>
      <c r="AW35" s="377">
        <f t="shared" si="46"/>
        <v>0</v>
      </c>
      <c r="AX35" s="377">
        <f t="shared" si="46"/>
        <v>0</v>
      </c>
      <c r="AY35" s="377">
        <f t="shared" si="46"/>
        <v>0</v>
      </c>
      <c r="AZ35" s="377">
        <f t="shared" si="46"/>
        <v>0</v>
      </c>
      <c r="BA35" s="377">
        <f t="shared" si="46"/>
        <v>0</v>
      </c>
      <c r="BB35" s="377">
        <f t="shared" si="46"/>
        <v>0</v>
      </c>
      <c r="BC35" s="377">
        <f t="shared" si="46"/>
        <v>0</v>
      </c>
      <c r="BD35" s="377">
        <f t="shared" si="46"/>
        <v>0</v>
      </c>
      <c r="BE35" s="377">
        <f t="shared" si="46"/>
        <v>0</v>
      </c>
      <c r="BF35" s="377">
        <f t="shared" si="46"/>
        <v>0</v>
      </c>
      <c r="BG35" s="377">
        <f t="shared" si="46"/>
        <v>0</v>
      </c>
      <c r="BH35" s="377">
        <f t="shared" si="46"/>
        <v>-214193</v>
      </c>
      <c r="BI35" s="377">
        <f t="shared" si="46"/>
        <v>-217960</v>
      </c>
      <c r="BJ35" s="377">
        <f t="shared" si="46"/>
        <v>-217388</v>
      </c>
      <c r="BK35" s="377">
        <f t="shared" si="46"/>
        <v>-649541</v>
      </c>
    </row>
    <row r="38" spans="2:63" ht="13.15">
      <c r="B38" s="140" t="s">
        <v>392</v>
      </c>
      <c r="AG38" s="709">
        <f>AG34*AG44</f>
        <v>140587.21</v>
      </c>
      <c r="AL38" s="709">
        <f>AL34*AL44</f>
        <v>193398.41999999998</v>
      </c>
      <c r="AQ38" s="709">
        <f>AQ34*AQ44</f>
        <v>278410.08</v>
      </c>
      <c r="AV38" s="709">
        <f>AV34*AV44</f>
        <v>390497.30999999994</v>
      </c>
      <c r="BA38" s="709">
        <f>BA34*BA44</f>
        <v>482178.34</v>
      </c>
    </row>
    <row r="39" spans="2:63" ht="13.5" customHeight="1">
      <c r="B39" s="140" t="s">
        <v>393</v>
      </c>
      <c r="AG39" s="709">
        <f>AG34*AG45</f>
        <v>186359.79</v>
      </c>
      <c r="AL39" s="709">
        <f>AL34*AL45</f>
        <v>218087.58000000002</v>
      </c>
      <c r="AQ39" s="709">
        <f>AQ34*AQ45</f>
        <v>256993.91999999998</v>
      </c>
      <c r="AV39" s="709">
        <f>AV34*AV45</f>
        <v>294585.69000000006</v>
      </c>
      <c r="BA39" s="709">
        <f>BA34*BA45</f>
        <v>295528.65999999997</v>
      </c>
    </row>
    <row r="40" spans="2:63" ht="13.15">
      <c r="B40" s="144"/>
    </row>
    <row r="41" spans="2:63">
      <c r="B41" s="139" t="s">
        <v>128</v>
      </c>
      <c r="C41" s="117"/>
      <c r="D41" s="118"/>
      <c r="E41" s="119"/>
      <c r="F41" s="120"/>
      <c r="G41" s="120"/>
      <c r="H41" s="121"/>
      <c r="I41" s="118"/>
      <c r="J41" s="119"/>
      <c r="K41" s="120"/>
      <c r="L41" s="120"/>
      <c r="M41" s="121"/>
      <c r="N41" s="118"/>
      <c r="O41" s="119"/>
      <c r="P41" s="120"/>
      <c r="Q41" s="120"/>
      <c r="R41" s="121"/>
      <c r="S41" s="118"/>
      <c r="T41" s="119"/>
      <c r="U41" s="120"/>
      <c r="V41" s="120"/>
      <c r="W41" s="121"/>
      <c r="X41" s="118"/>
      <c r="Y41" s="119"/>
      <c r="Z41" s="120"/>
      <c r="AA41" s="120"/>
      <c r="AB41" s="121"/>
      <c r="AC41" s="118"/>
      <c r="AD41" s="119"/>
      <c r="AE41" s="120"/>
      <c r="AF41" s="120"/>
      <c r="AG41" s="121"/>
      <c r="AH41" s="118"/>
      <c r="AI41" s="119"/>
      <c r="AJ41" s="120"/>
      <c r="AK41" s="120"/>
      <c r="AL41" s="121"/>
      <c r="AM41" s="118"/>
      <c r="AN41" s="119"/>
      <c r="AO41" s="120"/>
      <c r="AP41" s="120"/>
      <c r="AQ41" s="121"/>
      <c r="AR41" s="118"/>
      <c r="AS41" s="119"/>
      <c r="AT41" s="120"/>
      <c r="AU41" s="120"/>
      <c r="AV41" s="121"/>
      <c r="AW41" s="118"/>
      <c r="AX41" s="119"/>
      <c r="AY41" s="120"/>
      <c r="AZ41" s="120"/>
      <c r="BA41" s="121"/>
    </row>
    <row r="42" spans="2:63" ht="13.15">
      <c r="B42" s="140"/>
      <c r="C42" s="117"/>
      <c r="D42" s="122"/>
      <c r="E42" s="122"/>
      <c r="F42" s="122"/>
      <c r="G42" s="122"/>
      <c r="H42" s="123"/>
      <c r="I42" s="122"/>
      <c r="J42" s="122"/>
      <c r="K42" s="122"/>
      <c r="L42" s="122"/>
      <c r="M42" s="123"/>
      <c r="N42" s="122"/>
      <c r="O42" s="122"/>
      <c r="P42" s="122"/>
      <c r="Q42" s="122"/>
      <c r="R42" s="123"/>
      <c r="S42" s="122"/>
      <c r="T42" s="122"/>
      <c r="U42" s="122"/>
      <c r="V42" s="122"/>
      <c r="W42" s="123"/>
      <c r="X42" s="122"/>
      <c r="Y42" s="122"/>
      <c r="Z42" s="122"/>
      <c r="AA42" s="122"/>
      <c r="AB42" s="123"/>
      <c r="AC42" s="122"/>
      <c r="AD42" s="122"/>
      <c r="AE42" s="122"/>
      <c r="AF42" s="122"/>
      <c r="AG42" s="123"/>
      <c r="AH42" s="122"/>
      <c r="AI42" s="122"/>
      <c r="AJ42" s="122"/>
      <c r="AK42" s="122"/>
      <c r="AL42" s="123"/>
      <c r="AM42" s="122"/>
      <c r="AN42" s="122"/>
      <c r="AO42" s="122"/>
      <c r="AP42" s="122"/>
      <c r="AQ42" s="123"/>
      <c r="AR42" s="122"/>
      <c r="AS42" s="122"/>
      <c r="AT42" s="122"/>
      <c r="AU42" s="122"/>
      <c r="AV42" s="123"/>
      <c r="AW42" s="122"/>
      <c r="AX42" s="122"/>
      <c r="AY42" s="122"/>
      <c r="AZ42" s="122"/>
      <c r="BA42" s="123"/>
    </row>
    <row r="43" spans="2:63">
      <c r="B43" s="139" t="s">
        <v>130</v>
      </c>
      <c r="C43" s="117"/>
      <c r="D43" s="124"/>
      <c r="E43" s="124"/>
      <c r="F43" s="124"/>
      <c r="G43" s="124"/>
      <c r="H43" s="121"/>
      <c r="I43" s="124"/>
      <c r="J43" s="124"/>
      <c r="K43" s="124"/>
      <c r="L43" s="124"/>
      <c r="M43" s="121"/>
      <c r="N43" s="124"/>
      <c r="O43" s="124"/>
      <c r="P43" s="124"/>
      <c r="Q43" s="124"/>
      <c r="R43" s="121"/>
      <c r="S43" s="124"/>
      <c r="T43" s="124"/>
      <c r="U43" s="124"/>
      <c r="V43" s="124"/>
      <c r="W43" s="121"/>
      <c r="X43" s="124"/>
      <c r="Y43" s="124"/>
      <c r="Z43" s="124"/>
      <c r="AA43" s="124"/>
      <c r="AB43" s="121"/>
      <c r="AC43" s="124"/>
      <c r="AD43" s="124"/>
      <c r="AE43" s="124"/>
      <c r="AF43" s="124"/>
      <c r="AG43" s="121"/>
      <c r="AH43" s="124"/>
      <c r="AI43" s="124"/>
      <c r="AJ43" s="124"/>
      <c r="AK43" s="124"/>
      <c r="AL43" s="121"/>
      <c r="AM43" s="124"/>
      <c r="AN43" s="124"/>
      <c r="AO43" s="124"/>
      <c r="AP43" s="124"/>
      <c r="AQ43" s="121"/>
      <c r="AR43" s="124"/>
      <c r="AS43" s="124"/>
      <c r="AT43" s="124"/>
      <c r="AU43" s="124"/>
      <c r="AV43" s="121"/>
      <c r="AW43" s="124"/>
      <c r="AX43" s="124"/>
      <c r="AY43" s="124"/>
      <c r="AZ43" s="124"/>
      <c r="BA43" s="121"/>
    </row>
    <row r="44" spans="2:63" ht="13.15">
      <c r="B44" s="140" t="s">
        <v>392</v>
      </c>
      <c r="AG44" s="707">
        <v>0.43</v>
      </c>
      <c r="AL44" s="707">
        <v>0.47</v>
      </c>
      <c r="AQ44" s="707">
        <f>0.52</f>
        <v>0.52</v>
      </c>
      <c r="AV44" s="707">
        <f>0.57</f>
        <v>0.56999999999999995</v>
      </c>
      <c r="BA44" s="707">
        <f>0.62</f>
        <v>0.62</v>
      </c>
    </row>
    <row r="45" spans="2:63" ht="13.15">
      <c r="B45" s="140" t="s">
        <v>393</v>
      </c>
      <c r="C45" s="126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708">
        <f>1-AG44</f>
        <v>0.57000000000000006</v>
      </c>
      <c r="AH45" s="127"/>
      <c r="AI45" s="127"/>
      <c r="AJ45" s="127"/>
      <c r="AK45" s="127"/>
      <c r="AL45" s="708">
        <f>1-AL44</f>
        <v>0.53</v>
      </c>
      <c r="AM45" s="127"/>
      <c r="AN45" s="127"/>
      <c r="AO45" s="127"/>
      <c r="AP45" s="127"/>
      <c r="AQ45" s="708">
        <f>1-AQ44</f>
        <v>0.48</v>
      </c>
      <c r="AR45" s="127"/>
      <c r="AS45" s="127"/>
      <c r="AT45" s="127"/>
      <c r="AU45" s="127"/>
      <c r="AV45" s="708">
        <f>1-AV44</f>
        <v>0.43000000000000005</v>
      </c>
      <c r="AW45" s="127"/>
      <c r="AX45" s="127"/>
      <c r="AY45" s="127"/>
      <c r="AZ45" s="127"/>
      <c r="BA45" s="708">
        <f>1-BA44</f>
        <v>0.38</v>
      </c>
    </row>
    <row r="46" spans="2:63" ht="13.15">
      <c r="B46" s="139"/>
      <c r="C46" s="126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</row>
    <row r="47" spans="2:63">
      <c r="B47" s="139" t="s">
        <v>131</v>
      </c>
      <c r="C47" s="129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</row>
    <row r="48" spans="2:63" ht="13.15">
      <c r="B48" s="140" t="s">
        <v>392</v>
      </c>
      <c r="C48" s="129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</row>
    <row r="49" spans="2:53" ht="13.15">
      <c r="B49" s="140" t="s">
        <v>393</v>
      </c>
      <c r="C49" s="129"/>
      <c r="D49" s="130"/>
      <c r="E49" s="130"/>
      <c r="F49" s="130"/>
      <c r="G49" s="130"/>
      <c r="I49" s="130"/>
      <c r="J49" s="130"/>
      <c r="K49" s="130"/>
      <c r="L49" s="130"/>
      <c r="N49" s="130"/>
      <c r="O49" s="130"/>
      <c r="P49" s="130"/>
      <c r="Q49" s="130"/>
      <c r="S49" s="130"/>
      <c r="T49" s="130"/>
      <c r="U49" s="130"/>
      <c r="V49" s="130"/>
      <c r="X49" s="130"/>
      <c r="Y49" s="130"/>
      <c r="Z49" s="130"/>
      <c r="AA49" s="130"/>
      <c r="AC49" s="130"/>
      <c r="AD49" s="130"/>
      <c r="AE49" s="130"/>
      <c r="AF49" s="130"/>
      <c r="AH49" s="130"/>
      <c r="AI49" s="130"/>
      <c r="AJ49" s="130"/>
      <c r="AK49" s="130"/>
      <c r="AM49" s="130"/>
      <c r="AN49" s="130"/>
      <c r="AO49" s="130"/>
      <c r="AP49" s="130"/>
      <c r="AR49" s="130"/>
      <c r="AS49" s="130"/>
      <c r="AT49" s="130"/>
      <c r="AU49" s="130"/>
      <c r="AW49" s="130"/>
      <c r="AX49" s="130"/>
      <c r="AY49" s="130"/>
      <c r="AZ49" s="130"/>
    </row>
    <row r="50" spans="2:53" ht="13.15">
      <c r="B50" s="144"/>
    </row>
    <row r="51" spans="2:53" ht="13.15">
      <c r="B51" s="139" t="s">
        <v>128</v>
      </c>
      <c r="C51" s="126"/>
      <c r="D51" s="127"/>
      <c r="E51" s="127"/>
      <c r="F51" s="127"/>
      <c r="G51" s="127"/>
      <c r="H51" s="131"/>
      <c r="I51" s="127"/>
      <c r="J51" s="127"/>
      <c r="K51" s="127"/>
      <c r="L51" s="127"/>
      <c r="M51" s="131"/>
      <c r="N51" s="127"/>
      <c r="O51" s="127"/>
      <c r="P51" s="127"/>
      <c r="Q51" s="127"/>
      <c r="R51" s="131"/>
      <c r="S51" s="127"/>
      <c r="T51" s="127"/>
      <c r="U51" s="127"/>
      <c r="V51" s="127"/>
      <c r="W51" s="131"/>
      <c r="X51" s="127"/>
      <c r="Y51" s="127"/>
      <c r="Z51" s="127"/>
      <c r="AA51" s="127"/>
      <c r="AB51" s="131"/>
      <c r="AC51" s="127"/>
      <c r="AD51" s="127"/>
      <c r="AE51" s="127"/>
      <c r="AF51" s="127"/>
      <c r="AG51" s="131"/>
      <c r="AH51" s="127"/>
      <c r="AI51" s="127"/>
      <c r="AJ51" s="127"/>
      <c r="AK51" s="127"/>
      <c r="AL51" s="131"/>
      <c r="AM51" s="127"/>
      <c r="AN51" s="127"/>
      <c r="AO51" s="127"/>
      <c r="AP51" s="127"/>
      <c r="AQ51" s="131"/>
      <c r="AR51" s="127"/>
      <c r="AS51" s="127"/>
      <c r="AT51" s="127"/>
      <c r="AU51" s="127"/>
      <c r="AV51" s="131"/>
      <c r="AW51" s="127"/>
      <c r="AX51" s="127"/>
      <c r="AY51" s="127"/>
      <c r="AZ51" s="127"/>
      <c r="BA51" s="131"/>
    </row>
    <row r="52" spans="2:53" ht="13.15">
      <c r="B52" s="139"/>
      <c r="C52" s="126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</row>
    <row r="53" spans="2:53">
      <c r="B53" s="139" t="s">
        <v>132</v>
      </c>
      <c r="C53" s="129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</row>
    <row r="54" spans="2:53" ht="13.15">
      <c r="B54" s="140" t="s">
        <v>392</v>
      </c>
      <c r="C54" s="129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>
        <f>AL38/AG38-1</f>
        <v>0.37564732951169599</v>
      </c>
      <c r="AM54" s="128"/>
      <c r="AN54" s="128"/>
      <c r="AO54" s="128"/>
      <c r="AP54" s="128"/>
      <c r="AQ54" s="128">
        <f>AQ38/AL38-1</f>
        <v>0.43956750008609191</v>
      </c>
      <c r="AR54" s="128"/>
      <c r="AS54" s="128"/>
      <c r="AT54" s="128"/>
      <c r="AU54" s="128"/>
      <c r="AV54" s="128">
        <f>AV38/AQ38-1</f>
        <v>0.40259759991448552</v>
      </c>
      <c r="AW54" s="128"/>
      <c r="AX54" s="128"/>
      <c r="AY54" s="128"/>
      <c r="AZ54" s="128"/>
      <c r="BA54" s="128">
        <f>BA38/AV38-1</f>
        <v>0.23478018324889383</v>
      </c>
    </row>
    <row r="55" spans="2:53" ht="13.15">
      <c r="B55" s="140" t="s">
        <v>393</v>
      </c>
      <c r="AL55" s="128">
        <f>AL39/AG39-1</f>
        <v>0.17025019184664258</v>
      </c>
      <c r="AQ55" s="128">
        <f>AQ39/AL39-1</f>
        <v>0.17839777946089352</v>
      </c>
      <c r="AV55" s="128">
        <f>AV39/AQ39-1</f>
        <v>0.14627493911140022</v>
      </c>
      <c r="BA55" s="128">
        <f>BA39/AV39-1</f>
        <v>3.2010040949372875E-3</v>
      </c>
    </row>
    <row r="56" spans="2:53" ht="13.15">
      <c r="B56" s="144"/>
      <c r="C56" s="133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</row>
    <row r="57" spans="2:53">
      <c r="B57" s="139"/>
      <c r="C57" s="133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</row>
    <row r="59" spans="2:53">
      <c r="B59" s="133"/>
      <c r="C59" s="133"/>
    </row>
    <row r="60" spans="2:53">
      <c r="B60" s="133"/>
      <c r="C60" s="133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</row>
    <row r="61" spans="2:53">
      <c r="B61" s="133"/>
      <c r="C61" s="133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</row>
    <row r="67" spans="2:51">
      <c r="F67" s="138"/>
      <c r="K67" s="138"/>
      <c r="P67" s="138"/>
      <c r="U67" s="138"/>
      <c r="Z67" s="138"/>
      <c r="AE67" s="138"/>
      <c r="AJ67" s="138"/>
      <c r="AO67" s="138"/>
      <c r="AT67" s="138"/>
      <c r="AY67" s="138"/>
    </row>
    <row r="71" spans="2:51">
      <c r="B71" s="876"/>
      <c r="C71" s="876"/>
    </row>
    <row r="72" spans="2:51">
      <c r="B72" s="876"/>
      <c r="C72" s="876"/>
    </row>
  </sheetData>
  <mergeCells count="3">
    <mergeCell ref="B71:C71"/>
    <mergeCell ref="B72:C72"/>
    <mergeCell ref="BG6:BH6"/>
  </mergeCells>
  <printOptions horizontalCentered="1" verticalCentered="1"/>
  <pageMargins left="0.25" right="0.25" top="0.75" bottom="0.75" header="0.5" footer="0.5"/>
  <pageSetup scale="66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7581-A406-445B-A435-BA3C122DC0EF}">
  <dimension ref="D1:S35"/>
  <sheetViews>
    <sheetView showGridLines="0" view="pageBreakPreview" topLeftCell="B12" zoomScale="90" zoomScaleNormal="100" zoomScaleSheetLayoutView="90" workbookViewId="0">
      <selection activeCell="K25" sqref="K25"/>
    </sheetView>
  </sheetViews>
  <sheetFormatPr defaultRowHeight="14.25"/>
  <cols>
    <col min="1" max="1" width="0" hidden="1" customWidth="1"/>
    <col min="4" max="4" width="28.73046875" customWidth="1"/>
    <col min="5" max="7" width="8.73046875" customWidth="1"/>
    <col min="8" max="8" width="17.265625" customWidth="1"/>
    <col min="12" max="12" width="10.86328125" bestFit="1" customWidth="1"/>
    <col min="16" max="16" width="9.86328125" bestFit="1" customWidth="1"/>
  </cols>
  <sheetData>
    <row r="1" spans="4:19" hidden="1"/>
    <row r="2" spans="4:19" hidden="1"/>
    <row r="3" spans="4:19" hidden="1"/>
    <row r="4" spans="4:19" hidden="1"/>
    <row r="5" spans="4:19" hidden="1"/>
    <row r="6" spans="4:19" hidden="1"/>
    <row r="7" spans="4:19" hidden="1"/>
    <row r="8" spans="4:19" hidden="1"/>
    <row r="9" spans="4:19" hidden="1"/>
    <row r="10" spans="4:19" hidden="1"/>
    <row r="11" spans="4:19" hidden="1"/>
    <row r="14" spans="4:19">
      <c r="D14" s="849" t="s">
        <v>556</v>
      </c>
      <c r="E14" s="849"/>
      <c r="F14" s="849"/>
      <c r="G14" s="849"/>
      <c r="H14" s="849"/>
      <c r="L14" s="863" t="s">
        <v>543</v>
      </c>
      <c r="M14" s="864"/>
      <c r="N14" s="863"/>
      <c r="O14" s="864"/>
      <c r="P14" s="863" t="s">
        <v>3</v>
      </c>
      <c r="Q14" s="864"/>
      <c r="R14" s="863"/>
      <c r="S14" s="864"/>
    </row>
    <row r="15" spans="4:19">
      <c r="D15" s="850" t="s">
        <v>537</v>
      </c>
      <c r="E15" s="851" t="s">
        <v>555</v>
      </c>
      <c r="F15" s="851" t="s">
        <v>561</v>
      </c>
      <c r="G15" s="851" t="s">
        <v>562</v>
      </c>
      <c r="H15" s="851" t="s">
        <v>538</v>
      </c>
      <c r="L15" s="865" t="s">
        <v>85</v>
      </c>
      <c r="M15" s="866" t="s">
        <v>544</v>
      </c>
      <c r="N15" s="866" t="s">
        <v>545</v>
      </c>
      <c r="O15" s="867" t="s">
        <v>546</v>
      </c>
      <c r="P15" s="865" t="s">
        <v>85</v>
      </c>
      <c r="Q15" s="866" t="s">
        <v>544</v>
      </c>
      <c r="R15" s="866" t="s">
        <v>545</v>
      </c>
      <c r="S15" s="867" t="s">
        <v>546</v>
      </c>
    </row>
    <row r="16" spans="4:19">
      <c r="D16" s="736" t="s">
        <v>4</v>
      </c>
      <c r="E16" s="852">
        <f>L26</f>
        <v>216.261</v>
      </c>
      <c r="F16" s="852">
        <f>L29</f>
        <v>217.96</v>
      </c>
      <c r="G16" s="853">
        <f>215</f>
        <v>215</v>
      </c>
      <c r="H16" s="854" t="s">
        <v>563</v>
      </c>
      <c r="I16" s="868">
        <f>214/E16-1</f>
        <v>-1.0454959516510098E-2</v>
      </c>
      <c r="L16" s="869"/>
      <c r="M16" s="859"/>
      <c r="N16" s="859"/>
      <c r="O16" s="870"/>
      <c r="P16" s="869"/>
      <c r="Q16" s="859"/>
      <c r="R16" s="859"/>
      <c r="S16" s="870"/>
    </row>
    <row r="17" spans="4:19">
      <c r="D17" s="833" t="s">
        <v>489</v>
      </c>
      <c r="E17" s="844">
        <f>IS!BE53</f>
        <v>5.3554377691603205E-2</v>
      </c>
      <c r="F17" s="844">
        <f>IS!BI53</f>
        <v>1.5401529903938505E-2</v>
      </c>
      <c r="G17" s="855">
        <f>G16/E16-1</f>
        <v>-5.830917271260172E-3</v>
      </c>
      <c r="H17" s="856" t="s">
        <v>564</v>
      </c>
      <c r="I17" s="868">
        <f>216/E16-1</f>
        <v>-1.2068750260102457E-3</v>
      </c>
      <c r="L17" s="869"/>
      <c r="M17" s="859"/>
      <c r="N17" s="859"/>
      <c r="O17" s="870"/>
      <c r="P17" s="869"/>
      <c r="Q17" s="859"/>
      <c r="R17" s="859"/>
      <c r="S17" s="870"/>
    </row>
    <row r="18" spans="4:19">
      <c r="D18" s="833" t="s">
        <v>488</v>
      </c>
      <c r="E18" s="844">
        <f>IS!BE54</f>
        <v>7.486466592749208E-3</v>
      </c>
      <c r="F18" s="844">
        <f>IS!BI54</f>
        <v>1.7586942617172419E-2</v>
      </c>
      <c r="G18" s="855">
        <f>G16/F16-1</f>
        <v>-1.3580473481372812E-2</v>
      </c>
      <c r="H18" s="857"/>
      <c r="I18" s="844"/>
      <c r="L18" s="869"/>
      <c r="M18" s="859"/>
      <c r="N18" s="859"/>
      <c r="O18" s="870"/>
      <c r="P18" s="869"/>
      <c r="Q18" s="859"/>
      <c r="R18" s="859"/>
      <c r="S18" s="870"/>
    </row>
    <row r="19" spans="4:19">
      <c r="G19" s="858"/>
      <c r="H19" s="857"/>
      <c r="K19" t="s">
        <v>549</v>
      </c>
      <c r="L19" s="869">
        <f>IS!$AW52/1000</f>
        <v>183.17400000000001</v>
      </c>
      <c r="M19" s="859">
        <v>182</v>
      </c>
      <c r="N19" s="859">
        <f t="shared" ref="N19:N28" si="0">L19-M19</f>
        <v>1.1740000000000066</v>
      </c>
      <c r="O19" s="870">
        <f t="shared" ref="O19:O28" si="1">N19/M19</f>
        <v>6.4505494505494865E-3</v>
      </c>
      <c r="P19" s="869">
        <f>IS!$AW103/1000</f>
        <v>10.993</v>
      </c>
      <c r="Q19" s="859">
        <v>7</v>
      </c>
      <c r="R19" s="859">
        <f t="shared" ref="R19:R28" si="2">P19-Q19</f>
        <v>3.9930000000000003</v>
      </c>
      <c r="S19" s="870">
        <f t="shared" ref="S19:S28" si="3">R19/Q19</f>
        <v>0.57042857142857151</v>
      </c>
    </row>
    <row r="20" spans="4:19">
      <c r="D20" t="s">
        <v>539</v>
      </c>
      <c r="E20" s="859">
        <f>N26</f>
        <v>3.2609999999999957</v>
      </c>
      <c r="F20" s="859">
        <f>N29</f>
        <v>0.96000000000000796</v>
      </c>
      <c r="G20" s="858"/>
      <c r="H20" s="857"/>
      <c r="K20" t="s">
        <v>550</v>
      </c>
      <c r="L20" s="869">
        <f>IS!$AX$52/1000</f>
        <v>190.422</v>
      </c>
      <c r="M20" s="859">
        <v>189</v>
      </c>
      <c r="N20" s="859">
        <f t="shared" si="0"/>
        <v>1.421999999999997</v>
      </c>
      <c r="O20" s="870">
        <f t="shared" si="1"/>
        <v>7.5238095238095081E-3</v>
      </c>
      <c r="P20" s="869">
        <f>IS!$AX$103/1000</f>
        <v>12.957000000000001</v>
      </c>
      <c r="Q20" s="859">
        <v>9</v>
      </c>
      <c r="R20" s="859">
        <f t="shared" si="2"/>
        <v>3.9570000000000007</v>
      </c>
      <c r="S20" s="870">
        <f t="shared" si="3"/>
        <v>0.43966666666666676</v>
      </c>
    </row>
    <row r="21" spans="4:19">
      <c r="D21" t="s">
        <v>540</v>
      </c>
      <c r="E21" s="844">
        <f>O26</f>
        <v>1.5309859154929557E-2</v>
      </c>
      <c r="F21" s="844">
        <f>O29</f>
        <v>4.4239631336405894E-3</v>
      </c>
      <c r="G21" s="858"/>
      <c r="H21" s="857"/>
      <c r="K21" t="s">
        <v>551</v>
      </c>
      <c r="L21" s="869">
        <f>IS!$AY$52/1000</f>
        <v>198.84299999999999</v>
      </c>
      <c r="M21" s="859">
        <v>198</v>
      </c>
      <c r="N21" s="859">
        <f t="shared" si="0"/>
        <v>0.84299999999998931</v>
      </c>
      <c r="O21" s="870">
        <f t="shared" si="1"/>
        <v>4.257575757575704E-3</v>
      </c>
      <c r="P21" s="869">
        <f>IS!$AY$103/1000</f>
        <v>36.773000000000003</v>
      </c>
      <c r="Q21" s="859">
        <v>31</v>
      </c>
      <c r="R21" s="859">
        <f t="shared" si="2"/>
        <v>5.7730000000000032</v>
      </c>
      <c r="S21" s="870">
        <f t="shared" si="3"/>
        <v>0.18622580645161302</v>
      </c>
    </row>
    <row r="22" spans="4:19">
      <c r="G22" s="858"/>
      <c r="H22" s="857"/>
      <c r="K22" t="s">
        <v>552</v>
      </c>
      <c r="L22" s="869">
        <f>IS!$AZ$52/1000</f>
        <v>205.268</v>
      </c>
      <c r="M22" s="859">
        <v>202</v>
      </c>
      <c r="N22" s="859">
        <f t="shared" si="0"/>
        <v>3.2680000000000007</v>
      </c>
      <c r="O22" s="870">
        <f t="shared" si="1"/>
        <v>1.6178217821782182E-2</v>
      </c>
      <c r="P22" s="869">
        <f>IS!$AZ$103/1000</f>
        <v>41.497999999999998</v>
      </c>
      <c r="Q22" s="859">
        <v>35</v>
      </c>
      <c r="R22" s="859">
        <f t="shared" si="2"/>
        <v>6.4979999999999976</v>
      </c>
      <c r="S22" s="870">
        <f t="shared" si="3"/>
        <v>0.1856571428571428</v>
      </c>
    </row>
    <row r="23" spans="4:19">
      <c r="D23" t="s">
        <v>541</v>
      </c>
      <c r="G23" s="860">
        <f>AVERAGE(N26:N29)</f>
        <v>1.6667500000000004</v>
      </c>
      <c r="H23" s="857"/>
      <c r="K23" t="s">
        <v>553</v>
      </c>
      <c r="L23" s="869">
        <f>IS!$BB$52/1000</f>
        <v>205.101</v>
      </c>
      <c r="M23" s="859">
        <v>205</v>
      </c>
      <c r="N23" s="859">
        <f t="shared" si="0"/>
        <v>0.10099999999999909</v>
      </c>
      <c r="O23" s="870">
        <f t="shared" si="1"/>
        <v>4.9268292682926387E-4</v>
      </c>
      <c r="P23" s="869">
        <f>IS!$BB$103/1000</f>
        <v>40.284999999999997</v>
      </c>
      <c r="Q23" s="859">
        <v>39</v>
      </c>
      <c r="R23" s="859">
        <f t="shared" si="2"/>
        <v>1.2849999999999966</v>
      </c>
      <c r="S23" s="870">
        <f t="shared" si="3"/>
        <v>3.2948717948717864E-2</v>
      </c>
    </row>
    <row r="24" spans="4:19">
      <c r="D24" t="s">
        <v>542</v>
      </c>
      <c r="G24" s="855">
        <f>AVERAGE(O26:O29)</f>
        <v>7.8324941416777673E-3</v>
      </c>
      <c r="H24" s="857"/>
      <c r="K24" t="s">
        <v>548</v>
      </c>
      <c r="L24" s="869">
        <f>IS!$BC$52/1000</f>
        <v>207.99100000000001</v>
      </c>
      <c r="M24" s="859">
        <v>205</v>
      </c>
      <c r="N24" s="859">
        <f t="shared" si="0"/>
        <v>2.9910000000000139</v>
      </c>
      <c r="O24" s="870">
        <f t="shared" si="1"/>
        <v>1.4590243902439091E-2</v>
      </c>
      <c r="P24" s="869">
        <f>IS!$BC$103/1000</f>
        <v>39.276000000000003</v>
      </c>
      <c r="Q24" s="859">
        <v>37</v>
      </c>
      <c r="R24" s="859">
        <f t="shared" si="2"/>
        <v>2.2760000000000034</v>
      </c>
      <c r="S24" s="870">
        <f t="shared" si="3"/>
        <v>6.1513513513513605E-2</v>
      </c>
    </row>
    <row r="25" spans="4:19">
      <c r="G25" s="858"/>
      <c r="H25" s="857"/>
      <c r="K25" t="s">
        <v>554</v>
      </c>
      <c r="L25" s="869">
        <f>IS!$BD$52/1000</f>
        <v>214.654</v>
      </c>
      <c r="M25" s="859">
        <v>211</v>
      </c>
      <c r="N25" s="859">
        <f t="shared" si="0"/>
        <v>3.6539999999999964</v>
      </c>
      <c r="O25" s="870">
        <f t="shared" si="1"/>
        <v>1.7317535545023681E-2</v>
      </c>
      <c r="P25" s="869">
        <f>IS!$BD$103/1000</f>
        <v>43.951999999999998</v>
      </c>
      <c r="Q25" s="859">
        <v>38</v>
      </c>
      <c r="R25" s="859">
        <f t="shared" si="2"/>
        <v>5.9519999999999982</v>
      </c>
      <c r="S25" s="870">
        <f t="shared" si="3"/>
        <v>0.15663157894736837</v>
      </c>
    </row>
    <row r="26" spans="4:19">
      <c r="D26" s="736" t="s">
        <v>3</v>
      </c>
      <c r="E26" s="852">
        <f>P26</f>
        <v>39.994999999999997</v>
      </c>
      <c r="F26" s="852">
        <f>P29</f>
        <v>36.905999999999999</v>
      </c>
      <c r="G26" s="853">
        <f>27.9</f>
        <v>27.9</v>
      </c>
      <c r="H26" s="854" t="s">
        <v>565</v>
      </c>
      <c r="I26" s="844">
        <f>25/214</f>
        <v>0.11682242990654206</v>
      </c>
      <c r="K26" t="s">
        <v>555</v>
      </c>
      <c r="L26" s="869">
        <f>IS!$BE$52/1000</f>
        <v>216.261</v>
      </c>
      <c r="M26" s="859">
        <v>213</v>
      </c>
      <c r="N26" s="859">
        <f t="shared" si="0"/>
        <v>3.2609999999999957</v>
      </c>
      <c r="O26" s="870">
        <f t="shared" si="1"/>
        <v>1.5309859154929557E-2</v>
      </c>
      <c r="P26" s="869">
        <f>IS!$BE$103/1000</f>
        <v>39.994999999999997</v>
      </c>
      <c r="Q26" s="859">
        <v>35</v>
      </c>
      <c r="R26" s="859">
        <f t="shared" si="2"/>
        <v>4.9949999999999974</v>
      </c>
      <c r="S26" s="870">
        <f t="shared" si="3"/>
        <v>0.14271428571428565</v>
      </c>
    </row>
    <row r="27" spans="4:19">
      <c r="D27" s="833" t="s">
        <v>77</v>
      </c>
      <c r="E27" s="844">
        <f>E26/E16</f>
        <v>0.18493856959877183</v>
      </c>
      <c r="F27" s="844">
        <f>F26/F16</f>
        <v>0.16932464672416955</v>
      </c>
      <c r="G27" s="855">
        <f>G26/G16</f>
        <v>0.1297674418604651</v>
      </c>
      <c r="H27" s="856" t="s">
        <v>566</v>
      </c>
      <c r="I27" s="844">
        <f>30/216</f>
        <v>0.1388888888888889</v>
      </c>
      <c r="K27" t="s">
        <v>547</v>
      </c>
      <c r="L27" s="869">
        <f>IS!$BG$52/1000</f>
        <v>210.25299999999999</v>
      </c>
      <c r="M27" s="859">
        <v>209</v>
      </c>
      <c r="N27" s="859">
        <f t="shared" si="0"/>
        <v>1.2529999999999859</v>
      </c>
      <c r="O27" s="870">
        <f t="shared" si="1"/>
        <v>5.9952153110047176E-3</v>
      </c>
      <c r="P27" s="869">
        <f>IS!$BG$103/1000</f>
        <v>32.353000000000002</v>
      </c>
      <c r="Q27" s="859">
        <v>25</v>
      </c>
      <c r="R27" s="859">
        <f t="shared" si="2"/>
        <v>7.3530000000000015</v>
      </c>
      <c r="S27" s="870">
        <f t="shared" si="3"/>
        <v>0.29412000000000005</v>
      </c>
    </row>
    <row r="28" spans="4:19">
      <c r="D28" s="833" t="s">
        <v>489</v>
      </c>
      <c r="E28" s="844">
        <f>E26/P22-1</f>
        <v>-3.6218612945202233E-2</v>
      </c>
      <c r="F28" s="844">
        <f>F26/P25-1</f>
        <v>-0.16031124863487445</v>
      </c>
      <c r="G28" s="855"/>
      <c r="H28" s="857"/>
      <c r="K28" t="s">
        <v>559</v>
      </c>
      <c r="L28" s="869">
        <f>IS!$BH$52/1000</f>
        <v>214.19300000000001</v>
      </c>
      <c r="M28" s="859">
        <v>213</v>
      </c>
      <c r="N28" s="859">
        <f t="shared" si="0"/>
        <v>1.1930000000000121</v>
      </c>
      <c r="O28" s="870">
        <f t="shared" si="1"/>
        <v>5.6009389671362068E-3</v>
      </c>
      <c r="P28" s="869">
        <f>IS!$BH$103/1000</f>
        <v>36.347999999999999</v>
      </c>
      <c r="Q28" s="859">
        <v>32</v>
      </c>
      <c r="R28" s="859">
        <f t="shared" si="2"/>
        <v>4.347999999999999</v>
      </c>
      <c r="S28" s="870">
        <f t="shared" si="3"/>
        <v>0.13587499999999997</v>
      </c>
    </row>
    <row r="29" spans="4:19">
      <c r="G29" s="858"/>
      <c r="H29" s="857"/>
      <c r="K29" t="s">
        <v>561</v>
      </c>
      <c r="L29" s="869">
        <f>IS!$BI$52/1000</f>
        <v>217.96</v>
      </c>
      <c r="M29" s="859">
        <v>217</v>
      </c>
      <c r="N29" s="859">
        <f t="shared" ref="N29" si="4">L29-M29</f>
        <v>0.96000000000000796</v>
      </c>
      <c r="O29" s="870">
        <f t="shared" ref="O29" si="5">N29/M29</f>
        <v>4.4239631336405894E-3</v>
      </c>
      <c r="P29" s="869">
        <f>IS!$BI$103/1000</f>
        <v>36.905999999999999</v>
      </c>
      <c r="Q29" s="859">
        <v>31</v>
      </c>
      <c r="R29" s="859">
        <f t="shared" ref="R29" si="6">P29-Q29</f>
        <v>5.9059999999999988</v>
      </c>
      <c r="S29" s="870">
        <f t="shared" ref="S29" si="7">R29/Q29</f>
        <v>0.19051612903225804</v>
      </c>
    </row>
    <row r="30" spans="4:19">
      <c r="D30" t="s">
        <v>539</v>
      </c>
      <c r="E30" s="859">
        <f>R26</f>
        <v>4.9949999999999974</v>
      </c>
      <c r="F30" s="859">
        <f>R29</f>
        <v>5.9059999999999988</v>
      </c>
      <c r="G30" s="858"/>
      <c r="H30" s="857"/>
      <c r="K30" t="s">
        <v>562</v>
      </c>
      <c r="L30" s="869">
        <f>IS!$BJ$52/1000</f>
        <v>217.38800000000001</v>
      </c>
      <c r="M30" s="859">
        <v>216</v>
      </c>
      <c r="N30" s="859">
        <f t="shared" ref="N30" si="8">L30-M30</f>
        <v>1.3880000000000052</v>
      </c>
      <c r="O30" s="870">
        <f t="shared" ref="O30" si="9">N30/M30</f>
        <v>6.4259259259259504E-3</v>
      </c>
      <c r="P30" s="869">
        <f>IS!$BJ$103/1000</f>
        <v>30.125</v>
      </c>
      <c r="Q30" s="859">
        <v>30</v>
      </c>
      <c r="R30" s="859">
        <f t="shared" ref="R30" si="10">P30-Q30</f>
        <v>0.125</v>
      </c>
      <c r="S30" s="870">
        <f t="shared" ref="S30" si="11">R30/Q30</f>
        <v>4.1666666666666666E-3</v>
      </c>
    </row>
    <row r="31" spans="4:19">
      <c r="D31" t="s">
        <v>540</v>
      </c>
      <c r="E31" s="844">
        <f>S26</f>
        <v>0.14271428571428565</v>
      </c>
      <c r="F31" s="844">
        <f>S29</f>
        <v>0.19051612903225804</v>
      </c>
      <c r="G31" s="858"/>
      <c r="H31" s="857"/>
    </row>
    <row r="32" spans="4:19">
      <c r="G32" s="858"/>
      <c r="H32" s="857"/>
    </row>
    <row r="33" spans="4:8">
      <c r="D33" t="s">
        <v>541</v>
      </c>
      <c r="G33" s="860">
        <f>AVERAGE(R26:R29)</f>
        <v>5.6504999999999992</v>
      </c>
      <c r="H33" s="857"/>
    </row>
    <row r="34" spans="4:8">
      <c r="D34" t="s">
        <v>542</v>
      </c>
      <c r="G34" s="861">
        <f>AVERAGE(S26:S29)</f>
        <v>0.19080635368663593</v>
      </c>
      <c r="H34" s="857"/>
    </row>
    <row r="35" spans="4:8">
      <c r="D35" s="862"/>
      <c r="E35" s="862"/>
      <c r="F35" s="862"/>
      <c r="G35" s="862"/>
      <c r="H35" s="862"/>
    </row>
  </sheetData>
  <pageMargins left="0.7" right="0.7" top="0.75" bottom="0.75" header="0.3" footer="0.3"/>
  <pageSetup orientation="portrait" r:id="rId1"/>
  <colBreaks count="1" manualBreakCount="1">
    <brk id="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6DCF-8066-4513-8272-9FA52E741990}">
  <dimension ref="C4:W6"/>
  <sheetViews>
    <sheetView workbookViewId="0"/>
  </sheetViews>
  <sheetFormatPr defaultRowHeight="14.25"/>
  <cols>
    <col min="3" max="3" width="17.73046875" bestFit="1" customWidth="1"/>
    <col min="4" max="5" width="11.1328125" bestFit="1" customWidth="1"/>
    <col min="6" max="7" width="11.265625" bestFit="1" customWidth="1"/>
    <col min="8" max="9" width="11.1328125" bestFit="1" customWidth="1"/>
    <col min="10" max="11" width="11.265625" bestFit="1" customWidth="1"/>
    <col min="12" max="13" width="11.1328125" bestFit="1" customWidth="1"/>
    <col min="14" max="15" width="11.265625" bestFit="1" customWidth="1"/>
    <col min="16" max="16" width="10.86328125" bestFit="1" customWidth="1"/>
    <col min="17" max="19" width="10.59765625" bestFit="1" customWidth="1"/>
    <col min="20" max="20" width="10.86328125" bestFit="1" customWidth="1"/>
    <col min="21" max="21" width="10.265625" bestFit="1" customWidth="1"/>
    <col min="22" max="23" width="10.59765625" bestFit="1" customWidth="1"/>
  </cols>
  <sheetData>
    <row r="4" spans="3:23">
      <c r="D4" s="375" t="s">
        <v>383</v>
      </c>
      <c r="E4" s="375" t="s">
        <v>385</v>
      </c>
      <c r="F4" s="375" t="s">
        <v>388</v>
      </c>
      <c r="G4" s="375" t="s">
        <v>389</v>
      </c>
      <c r="H4" s="375" t="s">
        <v>398</v>
      </c>
      <c r="I4" s="375" t="s">
        <v>407</v>
      </c>
      <c r="J4" s="375" t="s">
        <v>408</v>
      </c>
      <c r="K4" s="375" t="s">
        <v>423</v>
      </c>
      <c r="L4" s="375" t="s">
        <v>429</v>
      </c>
      <c r="M4" s="375" t="s">
        <v>437</v>
      </c>
      <c r="N4" s="375" t="s">
        <v>380</v>
      </c>
      <c r="O4" s="375" t="s">
        <v>381</v>
      </c>
      <c r="P4" s="736" t="str">
        <f>Metrics!BG5</f>
        <v>1Q-Mar 25A</v>
      </c>
      <c r="Q4" s="736" t="str">
        <f>Metrics!BH5</f>
        <v>2Q-Jun 25A</v>
      </c>
      <c r="R4" s="736" t="str">
        <f>Metrics!BI5</f>
        <v>3Q-Sep 25A</v>
      </c>
      <c r="S4" s="736" t="str">
        <f>Metrics!BJ5</f>
        <v>4Q-Dec 25A</v>
      </c>
      <c r="T4" s="736" t="str">
        <f>Metrics!BL5</f>
        <v>1Q-Mar 26E</v>
      </c>
      <c r="U4" s="736" t="str">
        <f>Metrics!BM5</f>
        <v>2Q-Jun 26E</v>
      </c>
      <c r="V4" s="736" t="str">
        <f>Metrics!BN5</f>
        <v>3Q-Sep 26E</v>
      </c>
      <c r="W4" s="736" t="str">
        <f>Metrics!BO5</f>
        <v>4Q-Dec 26E</v>
      </c>
    </row>
    <row r="5" spans="3:23">
      <c r="C5" s="239" t="s">
        <v>296</v>
      </c>
      <c r="D5" s="353">
        <v>60300</v>
      </c>
      <c r="E5" s="353">
        <v>62000</v>
      </c>
      <c r="F5" s="353">
        <v>63400</v>
      </c>
      <c r="G5" s="353">
        <v>65400</v>
      </c>
      <c r="H5" s="353">
        <v>66000</v>
      </c>
      <c r="I5" s="353">
        <v>66500</v>
      </c>
      <c r="J5" s="353">
        <v>68100</v>
      </c>
      <c r="K5" s="353">
        <v>69900</v>
      </c>
      <c r="L5" s="353">
        <v>70423.660792182869</v>
      </c>
      <c r="M5" s="353">
        <v>70608.364607077543</v>
      </c>
      <c r="N5" s="353">
        <v>71240.090342986208</v>
      </c>
      <c r="O5" s="353">
        <v>72475.088046845165</v>
      </c>
      <c r="P5" s="353">
        <f>Metrics!BG50</f>
        <v>71649.122807017542</v>
      </c>
      <c r="Q5" s="353">
        <f>Metrics!BH50</f>
        <v>72198.746027656103</v>
      </c>
      <c r="R5" s="353">
        <f>Metrics!BI50</f>
        <v>72106.214494749525</v>
      </c>
      <c r="S5" s="353">
        <f>Metrics!BJ50</f>
        <v>71946.205242419048</v>
      </c>
      <c r="T5" s="353">
        <f>Metrics!BL50</f>
        <v>71313.948136699299</v>
      </c>
      <c r="U5" s="353">
        <f>Metrics!BM50</f>
        <v>71489.29333058164</v>
      </c>
      <c r="V5" s="353">
        <f>Metrics!BN50</f>
        <v>71687.856773526364</v>
      </c>
      <c r="W5" s="353">
        <f>Metrics!BO50</f>
        <v>71876.178947083405</v>
      </c>
    </row>
    <row r="6" spans="3:23">
      <c r="C6" s="227" t="s">
        <v>126</v>
      </c>
      <c r="D6" s="233">
        <v>0.18235294117647061</v>
      </c>
      <c r="E6" s="233">
        <v>0.18095238095238098</v>
      </c>
      <c r="F6" s="233">
        <v>0.14234234234234244</v>
      </c>
      <c r="G6" s="233">
        <v>0.12178387650085765</v>
      </c>
      <c r="H6" s="233">
        <v>9.4527363184079505E-2</v>
      </c>
      <c r="I6" s="233">
        <v>7.2580645161290258E-2</v>
      </c>
      <c r="J6" s="233">
        <v>7.4132492113564652E-2</v>
      </c>
      <c r="K6" s="233">
        <v>6.8807339449541205E-2</v>
      </c>
      <c r="L6" s="233">
        <v>6.7025163517922204E-2</v>
      </c>
      <c r="M6" s="233">
        <v>6.1779918903421605E-2</v>
      </c>
      <c r="N6" s="233">
        <v>4.6109990352220409E-2</v>
      </c>
      <c r="O6" s="233">
        <v>3.683960009792786E-2</v>
      </c>
      <c r="P6" s="233">
        <f t="shared" ref="P6:W6" si="0">P5/L5-1</f>
        <v>1.7401282481621649E-2</v>
      </c>
      <c r="Q6" s="233">
        <f t="shared" si="0"/>
        <v>2.2523980401312871E-2</v>
      </c>
      <c r="R6" s="233">
        <f t="shared" si="0"/>
        <v>1.2157819390645752E-2</v>
      </c>
      <c r="S6" s="233">
        <f t="shared" si="0"/>
        <v>-7.2974427307251899E-3</v>
      </c>
      <c r="T6" s="233">
        <f t="shared" si="0"/>
        <v>-4.6780010303966169E-3</v>
      </c>
      <c r="U6" s="233">
        <f t="shared" si="0"/>
        <v>-9.8263853059539219E-3</v>
      </c>
      <c r="V6" s="233">
        <f t="shared" si="0"/>
        <v>-5.8019648397105161E-3</v>
      </c>
      <c r="W6" s="233">
        <f t="shared" si="0"/>
        <v>-9.7331464668215517E-4</v>
      </c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Q61"/>
  <sheetViews>
    <sheetView showGridLines="0" zoomScaleNormal="100" workbookViewId="0">
      <pane xSplit="3" ySplit="6" topLeftCell="D7" activePane="bottomRight" state="frozen"/>
      <selection activeCell="A77" sqref="A77:XFD78"/>
      <selection pane="topRight" activeCell="A77" sqref="A77:XFD78"/>
      <selection pane="bottomLeft" activeCell="A77" sqref="A77:XFD78"/>
      <selection pane="bottomRight" activeCell="AC49" sqref="AC49"/>
    </sheetView>
  </sheetViews>
  <sheetFormatPr defaultColWidth="9.265625" defaultRowHeight="12.75" outlineLevelCol="2"/>
  <cols>
    <col min="1" max="1" width="2" style="115" customWidth="1"/>
    <col min="2" max="2" width="24.3984375" style="115" customWidth="1"/>
    <col min="3" max="3" width="6.265625" style="115" customWidth="1"/>
    <col min="4" max="7" width="12.265625" style="115" hidden="1" customWidth="1" outlineLevel="2"/>
    <col min="8" max="8" width="10" style="115" customWidth="1" collapsed="1"/>
    <col min="9" max="12" width="12.265625" style="115" hidden="1" customWidth="1" outlineLevel="1"/>
    <col min="13" max="13" width="10" style="115" bestFit="1" customWidth="1" collapsed="1"/>
    <col min="14" max="17" width="12.265625" style="115" hidden="1" customWidth="1" outlineLevel="1"/>
    <col min="18" max="18" width="10" style="115" bestFit="1" customWidth="1" collapsed="1"/>
    <col min="19" max="21" width="12.265625" style="115" hidden="1" customWidth="1" outlineLevel="1"/>
    <col min="22" max="22" width="11.265625" style="115" hidden="1" customWidth="1" outlineLevel="1"/>
    <col min="23" max="23" width="10" style="115" bestFit="1" customWidth="1" collapsed="1"/>
    <col min="24" max="25" width="12" style="115" customWidth="1" outlineLevel="1"/>
    <col min="26" max="27" width="12.265625" style="115" customWidth="1" outlineLevel="1"/>
    <col min="28" max="28" width="10" style="115" bestFit="1" customWidth="1"/>
    <col min="29" max="30" width="12" style="115" customWidth="1" outlineLevel="1"/>
    <col min="31" max="32" width="12.265625" style="115" customWidth="1" outlineLevel="1"/>
    <col min="33" max="33" width="10" style="115" bestFit="1" customWidth="1"/>
    <col min="34" max="35" width="12" style="115" hidden="1" customWidth="1" outlineLevel="1"/>
    <col min="36" max="37" width="12.265625" style="115" hidden="1" customWidth="1" outlineLevel="1"/>
    <col min="38" max="38" width="10" style="115" bestFit="1" customWidth="1" collapsed="1"/>
    <col min="39" max="40" width="12" style="115" hidden="1" customWidth="1" outlineLevel="1"/>
    <col min="41" max="42" width="12.265625" style="115" hidden="1" customWidth="1" outlineLevel="1"/>
    <col min="43" max="43" width="10" style="115" bestFit="1" customWidth="1" collapsed="1"/>
    <col min="44" max="16384" width="9.265625" style="115"/>
  </cols>
  <sheetData>
    <row r="2" spans="2:43" ht="13.15" thickBot="1">
      <c r="B2" s="113"/>
      <c r="C2" s="113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</row>
    <row r="3" spans="2:43" ht="17.649999999999999">
      <c r="B3" s="250" t="s">
        <v>215</v>
      </c>
      <c r="C3" s="116"/>
    </row>
    <row r="4" spans="2:43" s="139" customFormat="1" ht="13.15">
      <c r="B4" s="251"/>
      <c r="C4" s="251"/>
      <c r="D4" s="252"/>
      <c r="E4" s="253"/>
      <c r="F4" s="254"/>
      <c r="G4" s="254"/>
      <c r="H4" s="255"/>
      <c r="I4" s="252"/>
      <c r="J4" s="253"/>
      <c r="K4" s="254"/>
      <c r="L4" s="254"/>
      <c r="M4" s="255"/>
      <c r="N4" s="252"/>
      <c r="O4" s="253"/>
      <c r="P4" s="254"/>
      <c r="Q4" s="254"/>
      <c r="R4" s="255"/>
    </row>
    <row r="5" spans="2:43" s="139" customFormat="1" ht="13.15">
      <c r="B5" s="256"/>
      <c r="C5" s="256"/>
      <c r="D5" s="187" t="str">
        <f>+IS!D22</f>
        <v>2014A</v>
      </c>
      <c r="E5" s="188"/>
      <c r="F5" s="189"/>
      <c r="G5" s="189"/>
      <c r="H5" s="507" t="s">
        <v>206</v>
      </c>
      <c r="I5" s="187" t="str">
        <f>+IS!I22</f>
        <v>2015A</v>
      </c>
      <c r="J5" s="188"/>
      <c r="K5" s="189"/>
      <c r="L5" s="189"/>
      <c r="M5" s="507" t="s">
        <v>206</v>
      </c>
      <c r="N5" s="187" t="str">
        <f>+IS!N22</f>
        <v>2016A</v>
      </c>
      <c r="O5" s="188"/>
      <c r="P5" s="189"/>
      <c r="Q5" s="189"/>
      <c r="R5" s="507" t="s">
        <v>206</v>
      </c>
      <c r="S5" s="187" t="str">
        <f>+IS!S22</f>
        <v>2017A</v>
      </c>
      <c r="T5" s="188"/>
      <c r="U5" s="189"/>
      <c r="V5" s="189"/>
      <c r="W5" s="507" t="s">
        <v>206</v>
      </c>
      <c r="X5" s="187" t="str">
        <f>+IS!X22</f>
        <v xml:space="preserve"> 2018A</v>
      </c>
      <c r="Y5" s="188"/>
      <c r="Z5" s="189"/>
      <c r="AA5" s="189"/>
      <c r="AB5" s="507" t="s">
        <v>206</v>
      </c>
      <c r="AC5" s="187" t="str">
        <f>+IS!AC22</f>
        <v xml:space="preserve"> 2019A</v>
      </c>
      <c r="AD5" s="188"/>
      <c r="AE5" s="189"/>
      <c r="AF5" s="189"/>
      <c r="AG5" s="507" t="s">
        <v>206</v>
      </c>
      <c r="AH5" s="187" t="str">
        <f>+IS!AH22</f>
        <v xml:space="preserve"> 2020A</v>
      </c>
      <c r="AI5" s="188"/>
      <c r="AJ5" s="189"/>
      <c r="AK5" s="189"/>
      <c r="AL5" s="507" t="s">
        <v>206</v>
      </c>
      <c r="AM5" s="187" t="str">
        <f>+IS!AM22</f>
        <v xml:space="preserve"> 2021A</v>
      </c>
      <c r="AN5" s="188"/>
      <c r="AO5" s="189"/>
      <c r="AP5" s="189"/>
      <c r="AQ5" s="507" t="s">
        <v>206</v>
      </c>
    </row>
    <row r="6" spans="2:43" s="139" customFormat="1" ht="13.15">
      <c r="B6" s="186" t="s">
        <v>146</v>
      </c>
      <c r="C6" s="256"/>
      <c r="D6" s="190" t="str">
        <f>+IS!D23</f>
        <v>1Q-Mar 14A</v>
      </c>
      <c r="E6" s="190" t="str">
        <f>+IS!E23</f>
        <v>2Q-Jun 14A</v>
      </c>
      <c r="F6" s="190" t="str">
        <f>+IS!F23</f>
        <v>3Q-Sep 14A</v>
      </c>
      <c r="G6" s="190" t="str">
        <f>+IS!G23</f>
        <v>4Q-Dec 14A</v>
      </c>
      <c r="H6" s="507" t="str">
        <f>+IS!H23</f>
        <v>2014A</v>
      </c>
      <c r="I6" s="190" t="str">
        <f>+IS!I23</f>
        <v>1Q-Mar 15</v>
      </c>
      <c r="J6" s="190" t="str">
        <f>+IS!J23</f>
        <v>2Q-Jun 15</v>
      </c>
      <c r="K6" s="190" t="str">
        <f>+IS!K23</f>
        <v>3Q-Sep 15</v>
      </c>
      <c r="L6" s="190" t="str">
        <f>+IS!L23</f>
        <v>4Q-Dec 15</v>
      </c>
      <c r="M6" s="507" t="str">
        <f>+IS!M23</f>
        <v>2015A</v>
      </c>
      <c r="N6" s="190" t="str">
        <f>+IS!N23</f>
        <v>1Q-Mar 16</v>
      </c>
      <c r="O6" s="190" t="str">
        <f>+IS!O23</f>
        <v>2Q-Jun 16</v>
      </c>
      <c r="P6" s="190" t="str">
        <f>+IS!P23</f>
        <v>3Q-Sep 16</v>
      </c>
      <c r="Q6" s="190" t="str">
        <f>+IS!Q23</f>
        <v>4Q-Dec 16</v>
      </c>
      <c r="R6" s="507" t="str">
        <f>+IS!R23</f>
        <v>2016A</v>
      </c>
      <c r="S6" s="190" t="str">
        <f>+IS!S23</f>
        <v>1Q-Mar 17A</v>
      </c>
      <c r="T6" s="190" t="str">
        <f>+IS!T23</f>
        <v>2Q-Jun 17A</v>
      </c>
      <c r="U6" s="190" t="str">
        <f>+IS!U23</f>
        <v>3Q-Sep 17A</v>
      </c>
      <c r="V6" s="190" t="str">
        <f>+IS!V23</f>
        <v>4Q-Dec 17A</v>
      </c>
      <c r="W6" s="507" t="str">
        <f>+IS!W23</f>
        <v>2017A</v>
      </c>
      <c r="X6" s="190" t="str">
        <f>+IS!X23</f>
        <v>1Q-Mar 18A</v>
      </c>
      <c r="Y6" s="190" t="str">
        <f>+IS!Y23</f>
        <v>2Q-Jun 18A</v>
      </c>
      <c r="Z6" s="190" t="str">
        <f>+IS!Z23</f>
        <v>3Q-Sep 18A</v>
      </c>
      <c r="AA6" s="190" t="str">
        <f>+IS!AA23</f>
        <v>4Q-Dec 18A</v>
      </c>
      <c r="AB6" s="507" t="str">
        <f>+IS!AB23</f>
        <v>2018A</v>
      </c>
      <c r="AC6" s="190" t="str">
        <f>+IS!AC23</f>
        <v>1Q-Mar 19A</v>
      </c>
      <c r="AD6" s="190" t="str">
        <f>+IS!AD23</f>
        <v>2Q-Jun 19A</v>
      </c>
      <c r="AE6" s="190" t="str">
        <f>+IS!AE23</f>
        <v>3Q-Sep 19A</v>
      </c>
      <c r="AF6" s="190" t="str">
        <f>+IS!AF23</f>
        <v>4Q-Dec 19A</v>
      </c>
      <c r="AG6" s="507" t="str">
        <f>+IS!AG23</f>
        <v>2019A</v>
      </c>
      <c r="AH6" s="190" t="str">
        <f>+IS!AH23</f>
        <v>1Q-Mar 20A</v>
      </c>
      <c r="AI6" s="190" t="str">
        <f>+IS!AI23</f>
        <v>2Q-Jun 20A</v>
      </c>
      <c r="AJ6" s="190" t="str">
        <f>+IS!AJ23</f>
        <v>3Q-Sep 20A</v>
      </c>
      <c r="AK6" s="190" t="str">
        <f>+IS!AK23</f>
        <v>4Q-Dec 20A</v>
      </c>
      <c r="AL6" s="507" t="str">
        <f>+IS!AL23</f>
        <v>2020A</v>
      </c>
      <c r="AM6" s="190" t="str">
        <f>+IS!AM23</f>
        <v>1Q-Mar 21A</v>
      </c>
      <c r="AN6" s="190" t="str">
        <f>+IS!AN23</f>
        <v>2Q-Jun 21A</v>
      </c>
      <c r="AO6" s="190" t="str">
        <f>+IS!AO23</f>
        <v>3Q-Sep 21A</v>
      </c>
      <c r="AP6" s="190" t="str">
        <f>+IS!AP23</f>
        <v>4Q-Dec 21A</v>
      </c>
      <c r="AQ6" s="507" t="str">
        <f>+IS!AQ23</f>
        <v>2021A</v>
      </c>
    </row>
    <row r="7" spans="2:43" s="139" customFormat="1" ht="13.15">
      <c r="B7" s="565" t="s">
        <v>347</v>
      </c>
      <c r="C7" s="559"/>
      <c r="D7" s="559"/>
      <c r="E7" s="559"/>
      <c r="F7" s="559"/>
      <c r="G7" s="559"/>
      <c r="H7" s="560"/>
      <c r="I7" s="559"/>
      <c r="J7" s="559"/>
      <c r="K7" s="559"/>
      <c r="L7" s="559"/>
      <c r="M7" s="560"/>
      <c r="N7" s="559"/>
      <c r="O7" s="559"/>
      <c r="P7" s="559"/>
      <c r="Q7" s="559"/>
      <c r="R7" s="560"/>
      <c r="S7" s="559"/>
      <c r="T7" s="559"/>
      <c r="U7" s="559"/>
      <c r="V7" s="559"/>
      <c r="W7" s="560"/>
      <c r="X7" s="559"/>
      <c r="Y7" s="559"/>
      <c r="Z7" s="559"/>
      <c r="AA7" s="559"/>
      <c r="AB7" s="560"/>
      <c r="AC7" s="559"/>
      <c r="AD7" s="559"/>
      <c r="AE7" s="559"/>
      <c r="AF7" s="559"/>
      <c r="AG7" s="560"/>
      <c r="AH7" s="559"/>
      <c r="AI7" s="559"/>
      <c r="AJ7" s="559"/>
      <c r="AK7" s="559"/>
      <c r="AL7" s="560"/>
      <c r="AM7" s="559"/>
      <c r="AN7" s="559"/>
      <c r="AO7" s="559"/>
      <c r="AP7" s="559"/>
      <c r="AQ7" s="560"/>
    </row>
    <row r="8" spans="2:43" s="286" customFormat="1" ht="12.75" customHeight="1">
      <c r="B8" s="561" t="s">
        <v>169</v>
      </c>
      <c r="C8" s="562"/>
      <c r="D8" s="563"/>
      <c r="E8" s="563">
        <v>1.08</v>
      </c>
      <c r="F8" s="563"/>
      <c r="G8" s="563">
        <v>1.1100000000000001</v>
      </c>
      <c r="H8" s="564">
        <f>+G8</f>
        <v>1.1100000000000001</v>
      </c>
      <c r="I8" s="563">
        <v>1.1200000000000001</v>
      </c>
      <c r="J8" s="563">
        <v>1.1499999999999999</v>
      </c>
      <c r="K8" s="563">
        <v>1.22</v>
      </c>
      <c r="L8" s="563">
        <v>1.26</v>
      </c>
      <c r="M8" s="564">
        <f>+L8</f>
        <v>1.26</v>
      </c>
      <c r="N8" s="563">
        <v>1.26</v>
      </c>
      <c r="O8" s="563">
        <v>1.26</v>
      </c>
      <c r="P8" s="563">
        <v>1.21</v>
      </c>
      <c r="Q8" s="563">
        <v>1.2</v>
      </c>
      <c r="R8" s="564">
        <f>+Q8</f>
        <v>1.2</v>
      </c>
      <c r="S8" s="563">
        <v>1.2</v>
      </c>
      <c r="T8" s="563">
        <v>1.19</v>
      </c>
      <c r="U8" s="563">
        <v>1.19</v>
      </c>
      <c r="V8" s="563">
        <v>1.22</v>
      </c>
      <c r="W8" s="564">
        <f>+V8</f>
        <v>1.22</v>
      </c>
      <c r="X8" s="563">
        <v>1.2</v>
      </c>
      <c r="Y8" s="563">
        <v>1.22</v>
      </c>
      <c r="Z8" s="563">
        <v>1.2</v>
      </c>
      <c r="AA8" s="563">
        <v>1.2</v>
      </c>
      <c r="AB8" s="564">
        <f>+AA8</f>
        <v>1.2</v>
      </c>
      <c r="AC8" s="563">
        <f>+AB8</f>
        <v>1.2</v>
      </c>
      <c r="AD8" s="563">
        <v>1.1599999999999999</v>
      </c>
      <c r="AE8" s="563">
        <v>1.2</v>
      </c>
      <c r="AF8" s="563"/>
      <c r="AG8" s="564">
        <f>+AF8</f>
        <v>0</v>
      </c>
      <c r="AH8" s="563"/>
      <c r="AI8" s="563"/>
      <c r="AJ8" s="563"/>
      <c r="AK8" s="563"/>
      <c r="AL8" s="564">
        <f>+AK8</f>
        <v>0</v>
      </c>
      <c r="AM8" s="563"/>
      <c r="AN8" s="563"/>
      <c r="AO8" s="563"/>
      <c r="AP8" s="563"/>
      <c r="AQ8" s="564">
        <f>+AP8</f>
        <v>0</v>
      </c>
    </row>
    <row r="9" spans="2:43" s="286" customFormat="1" ht="12.75" customHeight="1">
      <c r="B9" s="561" t="s">
        <v>170</v>
      </c>
      <c r="C9" s="562"/>
      <c r="D9" s="563"/>
      <c r="E9" s="563">
        <v>0.85</v>
      </c>
      <c r="F9" s="563"/>
      <c r="G9" s="563">
        <v>0.85</v>
      </c>
      <c r="H9" s="564">
        <f>+G9</f>
        <v>0.85</v>
      </c>
      <c r="I9" s="563">
        <v>0.85</v>
      </c>
      <c r="J9" s="563">
        <v>0.87</v>
      </c>
      <c r="K9" s="563">
        <v>0.88</v>
      </c>
      <c r="L9" s="563">
        <v>0.88</v>
      </c>
      <c r="M9" s="564">
        <f>+L9</f>
        <v>0.88</v>
      </c>
      <c r="N9" s="563">
        <v>0.89</v>
      </c>
      <c r="O9" s="563">
        <v>0.89</v>
      </c>
      <c r="P9" s="563">
        <v>0.89</v>
      </c>
      <c r="Q9" s="563">
        <v>0.89</v>
      </c>
      <c r="R9" s="564">
        <f>+Q9</f>
        <v>0.89</v>
      </c>
      <c r="S9" s="563">
        <v>0.88</v>
      </c>
      <c r="T9" s="563">
        <v>0.88</v>
      </c>
      <c r="U9" s="563">
        <v>0.89</v>
      </c>
      <c r="V9" s="563">
        <v>0.89</v>
      </c>
      <c r="W9" s="564">
        <f>+V9</f>
        <v>0.89</v>
      </c>
      <c r="X9" s="563">
        <v>0.89</v>
      </c>
      <c r="Y9" s="563">
        <v>0.89</v>
      </c>
      <c r="Z9" s="563">
        <v>0.9</v>
      </c>
      <c r="AA9" s="563">
        <v>0.9</v>
      </c>
      <c r="AB9" s="564">
        <f>+AA9</f>
        <v>0.9</v>
      </c>
      <c r="AC9" s="563" t="s">
        <v>340</v>
      </c>
      <c r="AD9" s="563"/>
      <c r="AE9" s="563"/>
      <c r="AF9" s="563"/>
      <c r="AG9" s="564">
        <f>+AF9</f>
        <v>0</v>
      </c>
      <c r="AH9" s="563"/>
      <c r="AI9" s="563"/>
      <c r="AJ9" s="563"/>
      <c r="AK9" s="563"/>
      <c r="AL9" s="564">
        <f>+AK9</f>
        <v>0</v>
      </c>
      <c r="AM9" s="563"/>
      <c r="AN9" s="563"/>
      <c r="AO9" s="563"/>
      <c r="AP9" s="563"/>
      <c r="AQ9" s="564">
        <f>+AP9</f>
        <v>0</v>
      </c>
    </row>
    <row r="10" spans="2:43" s="286" customFormat="1" ht="12.75" customHeight="1">
      <c r="B10" s="191" t="s">
        <v>348</v>
      </c>
      <c r="C10" s="270"/>
      <c r="D10" s="211"/>
      <c r="E10" s="211"/>
      <c r="F10" s="323"/>
      <c r="G10" s="211"/>
      <c r="H10" s="555"/>
      <c r="I10" s="211"/>
      <c r="J10" s="211"/>
      <c r="K10" s="211"/>
      <c r="L10" s="211"/>
      <c r="M10" s="555"/>
      <c r="N10" s="211"/>
      <c r="O10" s="211"/>
      <c r="P10" s="211"/>
      <c r="Q10" s="211"/>
      <c r="R10" s="555"/>
      <c r="S10" s="211"/>
      <c r="T10" s="211"/>
      <c r="U10" s="210"/>
      <c r="V10" s="210"/>
      <c r="W10" s="555"/>
      <c r="X10" s="210"/>
      <c r="Y10" s="210"/>
      <c r="Z10" s="210"/>
      <c r="AA10" s="210"/>
      <c r="AB10" s="555"/>
      <c r="AC10" s="210"/>
      <c r="AD10" s="210"/>
      <c r="AE10" s="210"/>
      <c r="AF10" s="210"/>
      <c r="AG10" s="555"/>
      <c r="AH10" s="210"/>
      <c r="AI10" s="210"/>
      <c r="AJ10" s="210"/>
      <c r="AK10" s="210"/>
      <c r="AL10" s="555"/>
      <c r="AM10" s="210"/>
      <c r="AN10" s="210"/>
      <c r="AO10" s="210"/>
      <c r="AP10" s="210"/>
      <c r="AQ10" s="555"/>
    </row>
    <row r="15" spans="2:43" s="286" customFormat="1" ht="12.75" customHeight="1">
      <c r="B15" s="186"/>
      <c r="C15" s="270"/>
      <c r="D15" s="221"/>
      <c r="E15" s="221"/>
      <c r="F15" s="221"/>
      <c r="G15" s="221"/>
      <c r="H15" s="513"/>
      <c r="I15" s="221"/>
      <c r="J15" s="221"/>
      <c r="K15" s="221"/>
      <c r="L15" s="221"/>
      <c r="M15" s="513"/>
      <c r="N15" s="221"/>
      <c r="O15" s="221"/>
      <c r="P15" s="221"/>
      <c r="Q15" s="221"/>
      <c r="R15" s="513"/>
      <c r="S15" s="221"/>
      <c r="T15" s="221"/>
      <c r="U15" s="196"/>
      <c r="V15" s="196"/>
      <c r="W15" s="513"/>
      <c r="X15" s="196"/>
      <c r="Y15" s="196"/>
      <c r="Z15" s="196"/>
      <c r="AA15" s="196"/>
      <c r="AB15" s="513"/>
      <c r="AC15" s="196"/>
      <c r="AD15" s="196"/>
      <c r="AE15" s="196"/>
      <c r="AF15" s="196"/>
      <c r="AG15" s="513"/>
      <c r="AH15" s="196"/>
      <c r="AI15" s="196"/>
      <c r="AJ15" s="196"/>
      <c r="AK15" s="196"/>
      <c r="AL15" s="513"/>
      <c r="AM15" s="196"/>
      <c r="AN15" s="196"/>
      <c r="AO15" s="196"/>
      <c r="AP15" s="196"/>
      <c r="AQ15" s="513"/>
    </row>
    <row r="16" spans="2:43" s="286" customFormat="1" ht="12.75" customHeight="1">
      <c r="B16" s="186" t="s">
        <v>336</v>
      </c>
      <c r="C16" s="270"/>
      <c r="D16" s="196"/>
      <c r="E16" s="196"/>
      <c r="F16" s="196"/>
      <c r="G16" s="196"/>
      <c r="H16" s="513"/>
      <c r="I16" s="196"/>
      <c r="J16" s="196"/>
      <c r="K16" s="196"/>
      <c r="L16" s="196"/>
      <c r="M16" s="513"/>
      <c r="N16" s="196"/>
      <c r="O16" s="196"/>
      <c r="P16" s="196"/>
      <c r="Q16" s="196"/>
      <c r="R16" s="513"/>
      <c r="S16" s="196"/>
      <c r="T16" s="196"/>
      <c r="U16" s="196"/>
      <c r="V16" s="196" t="s">
        <v>340</v>
      </c>
      <c r="W16" s="513" t="s">
        <v>340</v>
      </c>
      <c r="X16" s="196" t="s">
        <v>340</v>
      </c>
      <c r="Y16" s="196" t="s">
        <v>340</v>
      </c>
      <c r="Z16" s="196" t="s">
        <v>340</v>
      </c>
      <c r="AA16" s="415" t="s">
        <v>337</v>
      </c>
      <c r="AB16" s="556" t="s">
        <v>337</v>
      </c>
      <c r="AC16" s="415" t="s">
        <v>337</v>
      </c>
      <c r="AD16" s="196"/>
      <c r="AE16" s="196"/>
      <c r="AF16" s="196"/>
      <c r="AG16" s="513"/>
      <c r="AH16" s="196"/>
      <c r="AI16" s="196"/>
      <c r="AJ16" s="196"/>
      <c r="AK16" s="196"/>
      <c r="AL16" s="513"/>
      <c r="AM16" s="196"/>
      <c r="AN16" s="196"/>
      <c r="AO16" s="196"/>
      <c r="AP16" s="196"/>
      <c r="AQ16" s="513"/>
    </row>
    <row r="17" spans="2:43" s="286" customFormat="1" ht="12.75" customHeight="1">
      <c r="B17" s="186" t="s">
        <v>328</v>
      </c>
      <c r="C17" s="270"/>
      <c r="D17" s="196"/>
      <c r="E17" s="196"/>
      <c r="F17" s="196"/>
      <c r="G17" s="196"/>
      <c r="H17" s="513"/>
      <c r="I17" s="196"/>
      <c r="J17" s="196"/>
      <c r="K17" s="196"/>
      <c r="L17" s="196"/>
      <c r="M17" s="513"/>
      <c r="N17" s="196"/>
      <c r="O17" s="196"/>
      <c r="P17" s="196"/>
      <c r="Q17" s="196"/>
      <c r="R17" s="513"/>
      <c r="S17" s="196"/>
      <c r="T17" s="196"/>
      <c r="U17" s="196"/>
      <c r="V17" s="196"/>
      <c r="W17" s="513"/>
      <c r="X17" s="196"/>
      <c r="Y17" s="196"/>
      <c r="Z17" s="196"/>
      <c r="AA17" s="196"/>
      <c r="AB17" s="513"/>
      <c r="AC17" s="196"/>
      <c r="AD17" s="196"/>
      <c r="AE17" s="196"/>
      <c r="AF17" s="196"/>
      <c r="AG17" s="513"/>
      <c r="AH17" s="196"/>
      <c r="AI17" s="196"/>
      <c r="AJ17" s="196"/>
      <c r="AK17" s="196"/>
      <c r="AL17" s="513"/>
      <c r="AM17" s="196"/>
      <c r="AN17" s="196"/>
      <c r="AO17" s="196"/>
      <c r="AP17" s="196"/>
      <c r="AQ17" s="513"/>
    </row>
    <row r="18" spans="2:43" s="286" customFormat="1" ht="12.75" customHeight="1">
      <c r="B18" s="186" t="s">
        <v>327</v>
      </c>
      <c r="C18" s="270"/>
      <c r="D18" s="196"/>
      <c r="E18" s="196"/>
      <c r="F18" s="196"/>
      <c r="G18" s="196"/>
      <c r="H18" s="513"/>
      <c r="I18" s="196"/>
      <c r="J18" s="196"/>
      <c r="K18" s="196"/>
      <c r="L18" s="196"/>
      <c r="M18" s="513"/>
      <c r="N18" s="196"/>
      <c r="O18" s="196"/>
      <c r="P18" s="196"/>
      <c r="Q18" s="196"/>
      <c r="R18" s="513"/>
      <c r="S18" s="196"/>
      <c r="T18" s="196"/>
      <c r="U18" s="196"/>
      <c r="V18" s="415" t="s">
        <v>258</v>
      </c>
      <c r="W18" s="556" t="s">
        <v>258</v>
      </c>
      <c r="X18" s="415" t="s">
        <v>258</v>
      </c>
      <c r="Y18" s="415" t="s">
        <v>258</v>
      </c>
      <c r="Z18" s="415" t="s">
        <v>258</v>
      </c>
      <c r="AA18" s="196" t="s">
        <v>340</v>
      </c>
      <c r="AB18" s="513" t="s">
        <v>340</v>
      </c>
      <c r="AC18" s="196" t="s">
        <v>340</v>
      </c>
      <c r="AD18" s="196"/>
      <c r="AE18" s="196"/>
      <c r="AF18" s="196"/>
      <c r="AG18" s="513"/>
      <c r="AH18" s="196"/>
      <c r="AI18" s="196"/>
      <c r="AJ18" s="196"/>
      <c r="AK18" s="196"/>
      <c r="AL18" s="513"/>
      <c r="AM18" s="196"/>
      <c r="AN18" s="196"/>
      <c r="AO18" s="196"/>
      <c r="AP18" s="196"/>
      <c r="AQ18" s="513"/>
    </row>
    <row r="19" spans="2:43" s="286" customFormat="1" ht="12.75" customHeight="1">
      <c r="B19" s="186" t="s">
        <v>328</v>
      </c>
      <c r="C19" s="270"/>
      <c r="D19" s="196"/>
      <c r="E19" s="196"/>
      <c r="F19" s="196"/>
      <c r="G19" s="196"/>
      <c r="H19" s="513"/>
      <c r="I19" s="196"/>
      <c r="J19" s="196"/>
      <c r="K19" s="196"/>
      <c r="L19" s="196"/>
      <c r="M19" s="513"/>
      <c r="N19" s="196"/>
      <c r="O19" s="196"/>
      <c r="P19" s="196"/>
      <c r="Q19" s="196"/>
      <c r="R19" s="513"/>
      <c r="S19" s="196"/>
      <c r="T19" s="196"/>
      <c r="U19" s="196"/>
      <c r="V19" s="196"/>
      <c r="W19" s="513"/>
      <c r="X19" s="196"/>
      <c r="Y19" s="196"/>
      <c r="Z19" s="196"/>
      <c r="AA19" s="196"/>
      <c r="AB19" s="513"/>
      <c r="AC19" s="196"/>
      <c r="AD19" s="196"/>
      <c r="AE19" s="196"/>
      <c r="AF19" s="196"/>
      <c r="AG19" s="513"/>
      <c r="AH19" s="196"/>
      <c r="AI19" s="196"/>
      <c r="AJ19" s="196"/>
      <c r="AK19" s="196"/>
      <c r="AL19" s="513"/>
      <c r="AM19" s="196"/>
      <c r="AN19" s="196"/>
      <c r="AO19" s="196"/>
      <c r="AP19" s="196"/>
      <c r="AQ19" s="513"/>
    </row>
    <row r="20" spans="2:43" s="286" customFormat="1" ht="12.75" customHeight="1">
      <c r="B20" s="186" t="s">
        <v>260</v>
      </c>
      <c r="C20" s="270"/>
      <c r="D20" s="196"/>
      <c r="E20" s="196"/>
      <c r="F20" s="196"/>
      <c r="G20" s="196"/>
      <c r="H20" s="513"/>
      <c r="I20" s="196"/>
      <c r="J20" s="196"/>
      <c r="K20" s="196"/>
      <c r="L20" s="196"/>
      <c r="M20" s="513"/>
      <c r="N20" s="196"/>
      <c r="O20" s="196"/>
      <c r="P20" s="196"/>
      <c r="Q20" s="196"/>
      <c r="R20" s="513"/>
      <c r="S20" s="196"/>
      <c r="T20" s="196"/>
      <c r="U20" s="196"/>
      <c r="V20" s="415" t="s">
        <v>259</v>
      </c>
      <c r="W20" s="556" t="s">
        <v>259</v>
      </c>
      <c r="X20" s="415" t="s">
        <v>259</v>
      </c>
      <c r="Y20" s="415" t="s">
        <v>259</v>
      </c>
      <c r="Z20" s="415" t="s">
        <v>259</v>
      </c>
      <c r="AA20" s="415" t="s">
        <v>259</v>
      </c>
      <c r="AB20" s="556" t="s">
        <v>259</v>
      </c>
      <c r="AC20" s="415" t="s">
        <v>259</v>
      </c>
      <c r="AD20" s="196"/>
      <c r="AE20" s="196"/>
      <c r="AF20" s="196"/>
      <c r="AG20" s="513"/>
      <c r="AH20" s="196"/>
      <c r="AI20" s="196"/>
      <c r="AJ20" s="196"/>
      <c r="AK20" s="196"/>
      <c r="AL20" s="513"/>
      <c r="AM20" s="196"/>
      <c r="AN20" s="196"/>
      <c r="AO20" s="196"/>
      <c r="AP20" s="196"/>
      <c r="AQ20" s="513"/>
    </row>
    <row r="21" spans="2:43" s="286" customFormat="1" ht="12.75" customHeight="1">
      <c r="B21" s="186"/>
      <c r="C21" s="270"/>
      <c r="D21" s="221"/>
      <c r="E21" s="221"/>
      <c r="F21" s="221"/>
      <c r="G21" s="221"/>
      <c r="H21" s="196"/>
      <c r="I21" s="221"/>
      <c r="J21" s="221"/>
      <c r="K21" s="221"/>
      <c r="L21" s="221"/>
      <c r="M21" s="196"/>
      <c r="N21" s="221"/>
      <c r="O21" s="221"/>
      <c r="P21" s="221"/>
      <c r="Q21" s="221"/>
      <c r="R21" s="196"/>
      <c r="S21" s="221"/>
      <c r="T21" s="221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</row>
    <row r="22" spans="2:43" s="139" customFormat="1"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</row>
    <row r="23" spans="2:43" s="139" customFormat="1" ht="13.15" thickBot="1">
      <c r="B23" s="178" t="s">
        <v>168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</row>
    <row r="24" spans="2:43" s="139" customFormat="1"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</row>
    <row r="28" spans="2:43" ht="13.5" customHeight="1"/>
    <row r="30" spans="2:43">
      <c r="B30" s="117"/>
      <c r="C30" s="117"/>
      <c r="D30" s="118"/>
      <c r="E30" s="119"/>
      <c r="F30" s="120"/>
      <c r="G30" s="120"/>
      <c r="H30" s="121"/>
      <c r="I30" s="118"/>
      <c r="J30" s="119"/>
      <c r="K30" s="120"/>
      <c r="L30" s="120"/>
      <c r="M30" s="121"/>
      <c r="N30" s="118"/>
      <c r="O30" s="119"/>
      <c r="P30" s="120"/>
      <c r="Q30" s="120"/>
      <c r="R30" s="121"/>
      <c r="S30" s="118"/>
      <c r="T30" s="119"/>
      <c r="U30" s="120"/>
      <c r="V30" s="120"/>
      <c r="W30" s="121"/>
      <c r="X30" s="118"/>
      <c r="Y30" s="119"/>
      <c r="Z30" s="120"/>
      <c r="AA30" s="120"/>
      <c r="AB30" s="121"/>
      <c r="AC30" s="118"/>
      <c r="AD30" s="119"/>
      <c r="AE30" s="120"/>
      <c r="AF30" s="120"/>
      <c r="AG30" s="121"/>
      <c r="AH30" s="118"/>
      <c r="AI30" s="119"/>
      <c r="AJ30" s="120"/>
      <c r="AK30" s="120"/>
      <c r="AL30" s="121"/>
      <c r="AM30" s="118"/>
      <c r="AN30" s="119"/>
      <c r="AO30" s="120"/>
      <c r="AP30" s="120"/>
      <c r="AQ30" s="121"/>
    </row>
    <row r="31" spans="2:43">
      <c r="B31" s="117"/>
      <c r="C31" s="117"/>
      <c r="D31" s="122"/>
      <c r="E31" s="122"/>
      <c r="F31" s="122"/>
      <c r="G31" s="122"/>
      <c r="H31" s="123"/>
      <c r="I31" s="122"/>
      <c r="J31" s="122"/>
      <c r="K31" s="122"/>
      <c r="L31" s="122"/>
      <c r="M31" s="123"/>
      <c r="N31" s="122"/>
      <c r="O31" s="122"/>
      <c r="P31" s="122"/>
      <c r="Q31" s="122"/>
      <c r="R31" s="123"/>
      <c r="S31" s="122"/>
      <c r="T31" s="122"/>
      <c r="U31" s="122"/>
      <c r="V31" s="122"/>
      <c r="W31" s="123"/>
      <c r="X31" s="122"/>
      <c r="Y31" s="122"/>
      <c r="Z31" s="122"/>
      <c r="AA31" s="122"/>
      <c r="AB31" s="123"/>
      <c r="AC31" s="122"/>
      <c r="AD31" s="122"/>
      <c r="AE31" s="122"/>
      <c r="AF31" s="122"/>
      <c r="AG31" s="123"/>
      <c r="AH31" s="122"/>
      <c r="AI31" s="122"/>
      <c r="AJ31" s="122"/>
      <c r="AK31" s="122"/>
      <c r="AL31" s="123"/>
      <c r="AM31" s="122"/>
      <c r="AN31" s="122"/>
      <c r="AO31" s="122"/>
      <c r="AP31" s="122"/>
      <c r="AQ31" s="123"/>
    </row>
    <row r="32" spans="2:43">
      <c r="B32" s="117"/>
      <c r="C32" s="117"/>
      <c r="D32" s="124"/>
      <c r="E32" s="124"/>
      <c r="F32" s="124"/>
      <c r="G32" s="124"/>
      <c r="H32" s="121"/>
      <c r="I32" s="124"/>
      <c r="J32" s="124"/>
      <c r="K32" s="124"/>
      <c r="L32" s="124"/>
      <c r="M32" s="121"/>
      <c r="N32" s="124"/>
      <c r="O32" s="124"/>
      <c r="P32" s="124"/>
      <c r="Q32" s="124"/>
      <c r="R32" s="121"/>
      <c r="S32" s="124"/>
      <c r="T32" s="124"/>
      <c r="U32" s="124"/>
      <c r="V32" s="124"/>
      <c r="W32" s="121"/>
      <c r="X32" s="124"/>
      <c r="Y32" s="124"/>
      <c r="Z32" s="124"/>
      <c r="AA32" s="124"/>
      <c r="AB32" s="121"/>
      <c r="AC32" s="124"/>
      <c r="AD32" s="124"/>
      <c r="AE32" s="124"/>
      <c r="AF32" s="124"/>
      <c r="AG32" s="121"/>
      <c r="AH32" s="124"/>
      <c r="AI32" s="124"/>
      <c r="AJ32" s="124"/>
      <c r="AK32" s="124"/>
      <c r="AL32" s="121"/>
      <c r="AM32" s="124"/>
      <c r="AN32" s="124"/>
      <c r="AO32" s="124"/>
      <c r="AP32" s="124"/>
      <c r="AQ32" s="121"/>
    </row>
    <row r="34" spans="2:43" ht="13.15">
      <c r="B34" s="125"/>
      <c r="C34" s="126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</row>
    <row r="35" spans="2:43" ht="13.15">
      <c r="B35" s="125"/>
      <c r="C35" s="126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</row>
    <row r="36" spans="2:43">
      <c r="C36" s="129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</row>
    <row r="37" spans="2:43">
      <c r="C37" s="129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</row>
    <row r="38" spans="2:43">
      <c r="B38" s="129"/>
      <c r="C38" s="129"/>
      <c r="D38" s="130"/>
      <c r="E38" s="130"/>
      <c r="F38" s="130"/>
      <c r="G38" s="130"/>
      <c r="I38" s="130"/>
      <c r="J38" s="130"/>
      <c r="K38" s="130"/>
      <c r="L38" s="130"/>
      <c r="N38" s="130"/>
      <c r="O38" s="130"/>
      <c r="P38" s="130"/>
      <c r="Q38" s="130"/>
      <c r="S38" s="130"/>
      <c r="T38" s="130"/>
      <c r="U38" s="130"/>
      <c r="V38" s="130"/>
      <c r="X38" s="130"/>
      <c r="Y38" s="130"/>
      <c r="Z38" s="130"/>
      <c r="AA38" s="130"/>
      <c r="AC38" s="130"/>
      <c r="AD38" s="130"/>
      <c r="AE38" s="130"/>
      <c r="AF38" s="130"/>
      <c r="AH38" s="130"/>
      <c r="AI38" s="130"/>
      <c r="AJ38" s="130"/>
      <c r="AK38" s="130"/>
      <c r="AM38" s="130"/>
      <c r="AN38" s="130"/>
      <c r="AO38" s="130"/>
      <c r="AP38" s="130"/>
    </row>
    <row r="40" spans="2:43" ht="13.15">
      <c r="B40" s="125"/>
      <c r="C40" s="126"/>
      <c r="D40" s="127"/>
      <c r="E40" s="127"/>
      <c r="F40" s="127"/>
      <c r="G40" s="127"/>
      <c r="H40" s="131"/>
      <c r="I40" s="127"/>
      <c r="J40" s="127"/>
      <c r="K40" s="127"/>
      <c r="L40" s="127"/>
      <c r="M40" s="131"/>
      <c r="N40" s="127"/>
      <c r="O40" s="127"/>
      <c r="P40" s="127"/>
      <c r="Q40" s="127"/>
      <c r="R40" s="131"/>
      <c r="S40" s="127"/>
      <c r="T40" s="127"/>
      <c r="U40" s="127"/>
      <c r="V40" s="127"/>
      <c r="W40" s="131"/>
      <c r="X40" s="127"/>
      <c r="Y40" s="127"/>
      <c r="Z40" s="127"/>
      <c r="AA40" s="127"/>
      <c r="AB40" s="131"/>
      <c r="AC40" s="127"/>
      <c r="AD40" s="127"/>
      <c r="AE40" s="127"/>
      <c r="AF40" s="127"/>
      <c r="AG40" s="131"/>
      <c r="AH40" s="127"/>
      <c r="AI40" s="127"/>
      <c r="AJ40" s="127"/>
      <c r="AK40" s="127"/>
      <c r="AL40" s="131"/>
      <c r="AM40" s="127"/>
      <c r="AN40" s="127"/>
      <c r="AO40" s="127"/>
      <c r="AP40" s="127"/>
      <c r="AQ40" s="131"/>
    </row>
    <row r="41" spans="2:43" ht="13.15">
      <c r="B41" s="125"/>
      <c r="C41" s="126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</row>
    <row r="42" spans="2:43">
      <c r="C42" s="129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</row>
    <row r="43" spans="2:43">
      <c r="C43" s="129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</row>
    <row r="45" spans="2:43">
      <c r="B45" s="133"/>
      <c r="C45" s="133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</row>
    <row r="46" spans="2:43">
      <c r="B46" s="133"/>
      <c r="C46" s="133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</row>
    <row r="48" spans="2:43">
      <c r="B48" s="133"/>
      <c r="C48" s="133"/>
    </row>
    <row r="49" spans="2:43">
      <c r="B49" s="133"/>
      <c r="C49" s="133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</row>
    <row r="50" spans="2:43">
      <c r="B50" s="133"/>
      <c r="C50" s="133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</row>
    <row r="56" spans="2:43">
      <c r="F56" s="138"/>
      <c r="K56" s="138"/>
      <c r="P56" s="138"/>
      <c r="U56" s="138"/>
      <c r="Z56" s="138"/>
      <c r="AE56" s="138"/>
      <c r="AJ56" s="138"/>
      <c r="AO56" s="138"/>
    </row>
    <row r="60" spans="2:43">
      <c r="B60" s="876"/>
      <c r="C60" s="876"/>
    </row>
    <row r="61" spans="2:43">
      <c r="B61" s="876"/>
      <c r="C61" s="876"/>
    </row>
  </sheetData>
  <mergeCells count="2">
    <mergeCell ref="B60:C60"/>
    <mergeCell ref="B61:C61"/>
  </mergeCells>
  <pageMargins left="0.5" right="0.5" top="1" bottom="1" header="0.5" footer="0.5"/>
  <pageSetup scale="75" orientation="landscape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topLeftCell="A76" workbookViewId="0">
      <selection activeCell="Q45" sqref="Q45"/>
    </sheetView>
  </sheetViews>
  <sheetFormatPr defaultRowHeight="14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39313364"><![CDATA[{"RPD-US^FE_ACTUAL(ACTUAL,EBITDA_ADJ,QUARTERLY,-10,,,,'')":-7.6405,"RPD-US^FE_ACTUAL(ACTUAL,EBITDA_ADJ,QUARTERLY,-9,,,,'')":-3.7315,"RPD-US^FE_ACTUAL(ACTUAL,EBITDA_ADJ,QUARTERLY,-8,,,,'')":-4.5,"RPD-US^FE_ACTUAL(ACTUAL,EBITDA_ADJ,QUARTERLY,-7,,,,'')":-4.567,"RPD-US^FE_ACTUAL(ACTUAL,EBITDA_ADJ,QUARTERLY,-6,,,,'')":-5.033,"RPD-US^FE_ACTUAL(ACTUAL,EBITDA_ADJ,QUARTERLY,-5,,,,'')":-5.6,"RPD-US^FE_ACTUAL(ACTUAL,EBITDA_ADJ,QUARTERLY,-4,,,,'')":-6.258,"RPD-US^FE_ACTUAL(ACTUAL,EBITDA_ADJ,QUARTERLY,-3,,,,'')":-7.421,"RPD-US^FE_ESTIMATE(DEP_AMORT_EXP,MEAN,QUARTERLY,+1,NOW,,,'')":2.6666667,"RPD-US^FE_ESTIMATE(DEP_AMORT_EXP,MEAN,QUARTERLY,+2,NOW,,,'')":2.7766666,"RPD-US^FE_ESTIMATE(DEP_AMORT_EXP,MEAN,QUARTERLY,+3,NOW,,,'')":2.88,"RPD-US^FE_ESTIMATE(DEP_AMORT_EXP,MEAN,QUARTERLY,+4,NOW,,,'')":3.0933332,"RPD-US^FE_ESTIMATE(DEP_AMORT_EXP,MEAN,ANNUAL,+1,NOW,,,'')":10.8375,"RPD-US^FE_ESTIMATE(INC_TAX,MEAN,QUARTERLY,+1,NOW,,,'')":0.11281818,"RPD-US^FE_ESTIMATE(INC_TAX,MEAN,QUARTERLY,+2,NOW,,,'')":0.11163636,"RPD-US^FE_ESTIMATE(INC_TAX,MEAN,QUARTERLY,+3,NOW,,,'')":0.10890909,"RPD-US^FE_ESTIMATE(INC_TAX,MEAN,QUARTERLY,+4,NOW,,,'')":0.19372727,"RPD-US^FE_ESTIMATE(INC_TAX,MEAN,ANNUAL,+1,NOW,,,'')":0.49033332,"RPD-US^FE_ESTIMATE(INC_TAX,MEAN,QUARTERLY,+5,NOW,,,'')":0.2812,"RPD-US^FE_ESTIMATE(INC_TAX,MEAN,QUARTERLY,+6,NOW,,,'')":0.3846,"RPD-US^FE_ESTIMATE(INC_TAX,MEAN,QUARTERLY,+7,NOW,,,'')":0.6146,"RPD-US^FE_ESTIMATE(INC_TAX,MEAN,QUARTERLY,+8,NOW,,,'')":0.7868,"RPD-US^FE_ESTIMATE(NET_INC_REP,MEAN,QUARTERLY,+1,NOW,,,'')":-12.6448,"RPD-US^FE_ESTIMATE(NET_INC_REP,MEAN,QUARTERLY,+2,NOW,,,'')":-10.3726,"RPD-US^FE_ESTIMATE(NET_INC_REP,MEAN,QUARTERLY,+3,NOW,,,'')":-8.2842,"RPD-US^FE_ESTIMATE(NET_INC_REP,MEAN,QUARTERLY,+4,NOW,,,'')":-4.7462,"RPD-US^FE_ESTIMATE(NET_INC_REP,MEAN,ANNUAL,+1,NOW,,,'')":-29.92139,"RPD-US^FE_ESTIMATE(NET_INC_REP,MEAN,QUARTERLY,+5,NOW,,,'')":-9.9,"RPD-US^FE_ESTIMATE(NET_INC_REP,MEAN,QUARTERLY,+6,NOW,,,'')":-7.25,"RPD-US^FE_ESTIMATE(NET_INC_REP,MEAN,QUARTERLY,+7,NOW,,,'')":-4.65,"RPD-US^FE_ESTIMATE(NET_INC_REP,MEAN,QUARTERLY,+8,NOW,,,'')":1.1,"RPD-US^FE_ESTIMATE(NET_INC_REP,MEAN,ANNUAL,+2,NOW,,,'')":-16.72044,"RPD-US^FE_ESTIMATE(DEP_AMORT_EXP,MEAN,ANNUAL,+2,NOW,,,'')":11.5575,"RPD-US^FE_ESTIMATE(EBITDA_ADJ,MEAN,QUARTERLY,+1,NOW,,,'')":-2.0336,"RPD-US^FE_ESTIMATE(EBITDA_ADJ,MEAN,QUARTERLY,+2,NOW,,,'')":1.841,"RPD-US^FE_ESTIMATE(EBITDA_ADJ,MEAN,QUARTERLY,+3,NOW,,,'')":4.2024,"RPD-US^FE_ESTIMATE(EBITDA_ADJ,MEAN,QUARTERLY,+4,NOW,,,'')":6.9004,"RPD-US^FE_ESTIMATE(EBITDA_ADJ,MEAN,ANNUAL,+1,NOW,,,'')":10.9302,"RPD-US^FE_ESTIMATE(EBITDA_ADJ,MEAN,QUARTERLY,+5,NOW,,,'')":0.7,"RPD-US^FE_ESTIMATE(EBITDA_ADJ,MEAN,QUARTERLY,+6,NOW,,,'')":5.5,"RPD-US^FE_ESTIMATE(EBITDA_ADJ,MEAN,QUARTERLY,+7,NOW,,,'')":8.1,"RPD-US^FE_ESTIMATE(EBITDA_ADJ,MEAN,QUARTERLY,+8,NOW,,,'')":15.1,"RPD-US^FE_ESTIMATE(EBITDA_ADJ,MEAN,ANNUAL,+2,NOW,,,'')":28.26225,"RPD-US^FE_ESTIMATE(CF_FIN,MEAN,ANNUAL,+1,NOW,,,'')":0.0,"RPD-US^FE_ESTIMATE(CF_OP,MEAN,QUARTERLY,+1,NOW,,,'')":7.3042,"RPD-US^FE_ESTIMATE(CF_OP,MEAN,QUARTERLY,+2,NOW,,,'')":-6.5782,"RPD-US^FE_ESTIMATE(CF_OP,MEAN,QUARTERLY,+3,NOW,,,'')":3.0656,"RPD-US^FE_ESTIMATE(CF_OP,MEAN,QUARTERLY,+4,NOW,,,'')":13.3834,"RPD-US^FE_ESTIMATE(CF_OP,MEAN,ANNUAL,+1,NOW,,,'')":20.629168,"RPD-US^FE_ESTIMATE(CF_OP,MEAN,QUARTERLY,+5,NOW,,,'')":19.566668,"RPD-US^FE_ESTIMATE(CF_OP,MEAN,QUARTERLY,+6,NOW,,,'')":-3.2666667,"RPD-US^FE_ESTIMATE(CF_OP,MEAN,QUARTERLY,+7,NOW,,,'')":5.9,"RPD-US^FE_ESTIMATE(CF_OP,MEAN,QUARTERLY,+8,NOW,,,'')":18.933332,"RPD-US^FE_ESTIMATE(CF_OP,MEAN,ANNUAL,+2,NOW,,,'')":47.181,"RPD-US^FE_ESTIMATE(CF_FIN,MEAN,ANNUAL,+2,NOW,,,'')":0.0,"RPD-US^FE_ESTIMATE(FCF,MEAN,QUARTERLY,+1,NOW,,,'')":-1.1353333,"RPD-US^FE_ESTIMATE(FCF,MEAN,QUARTERLY,+2,NOW,,,'')":-12.166333,"RPD-US^FE_ESTIMATE(FCF,MEAN,QUARTERLY,+3,NOW,,,'')":-2.4166667,"RPD-US^FE_ESTIMATE(FCF,MEAN,QUARTERLY,+4,NOW,,,'')":9.391334,"RPD-US^FE_ESTIMATE(FCF,MEAN,ANNUAL,+1,NOW,,,'')":2.4481428,"RPD-US^FE_ESTIMATE(FCF,MEAN,QUARTERLY,+5,NOW,,,'')":16.033333,"RPD-US^FE_ESTIMATE(FCF,MEAN,QUARTERLY,+6,NOW,,,'')":-6.8333335,"RPD-US^FE_ESTIMATE(FCF,MEAN,QUARTERLY,+7,NOW,,,'')":2.2666667,"RPD-US^FE_ESTIMATE(FCF,MEAN,QUARTERLY,+8,NOW,,,'')":15.166667,"RPD-US^FE_ESTIMATE(FCF,MEAN,ANNUAL,+2,NOW,,,'')":33.403572,"RPD-US^FE_ESTIMATE(PAY_ACCT,MEAN,ANNUAL,+1,NOW,,,'')":8.492666,"RPD-US^FE_ESTIMATE(CASH_ST,MEAN,ANNUAL,-1,NOW,,,'')":77.91033,"RPD-US^FE_ESTIMATE(CASH_ST,MEAN,QUARTERLY,-3,NOW,,,'')":119.59866,"RPD-US^FE_ESTIMATE(CASH_ST,MEAN,QUARTERLY,-2,NOW,,,'')":109.2124,"RPD-US^FE_ESTIMATE(CASH_ST,MEAN,QUARTERLY,-1,NOW,,,'')":236.64,"RPD-US^FE_ESTIMATE(CASH_ST,MEAN,QUARTERLY,0,NOW,,,'')":218.99126,"RPD-US^FE_ESTIMATE(CASH_ST,MEAN,ANNUAL,0,NOW,,,'')":218.99126,"RPD-US^FE_ESTIMATE(CASH_ST,MEAN,QUARTERLY,+1,NOW,,,'')":219.6465,"RPD-US^FE_ESTIMATE(CASH_ST,MEAN,QUARTERLY,+2,NOW,,,'')":221.38374,"RPD-US^FE_ESTIMATE(CASH_ST,MEAN,QUARTERLY,+3,NOW,,,'')":219.67075,"RPD-US^FE_ESTIMATE(CASH_ST,MEAN,QUARTERLY,+4,NOW,,,'')":229.535,"RPD-US^FE_ESTIMATE(CASH_ST,MEAN,ANNUAL,+1,NOW,,,'')":229.535,"RPD-US^FE_ESTIMATE(CASH_ST,MEAN,QUARTERLY,+5,NOW,,,'')":298.46667,"RPD-US^FE_ESTIMATE(CASH_ST,MEAN,QUARTERLY,+6,NOW,,,'')":292.43332,"RPD-US^FE_ESTIMATE(CASH_ST,MEAN,QUARTERLY,+7,NOW,,,'')":297.33334,"RPD-US^FE_ESTIMATE(CASH_ST,MEAN,QUARTERLY,+8,NOW,,,'')":315.1,"RPD-US^FE_ESTIMATE(CASH_ST,MEAN,ANNUAL,+2,NOW,,,'')":257.26526,"RPD-US^FE_ESTIMATE(RECEIV_NET,MEAN,QUARTERLY,+1,NOW,,,'')":46.414665,"RPD-US^FE_ESTIMATE(RECEIV_NET,MEAN,QUARTERLY,-1,NOW,,,'')":53.790333,"RPD-US^FE_ESTIMATE(RECEIV_NET,MEAN,QUARTERLY,0,NOW,,,'')":74.91167,"RPD-US^FE_ESTIMATE(RECEIV_NET,MEAN,ANNUAL,+1,NOW,,,'')":87.852,"RPD-US^FE_ESTIMATE(RECEIV_NET,MEAN,QUARTERLY,+5,NOW,,,'')":46.75,"RPD-US^FE_ESTIMATE(RECEIV_NET,MEAN,QUARTERLY,+3,NOW,,,'')":54.870335,"RPD-US^FE_ESTIMATE(RECEIV_NET,MEAN,QUARTERLY,+4,NOW,,,'')":87.852,"RPD-US^FE_ESTIMATE(RECEIV_NET,MEAN,ANNUAL,+2,NOW,,,'')":99.85067,"RPD-US^FE_ESTIMATE(PAY_ACCT,MEAN,ANNUAL,+2,NOW,,,'')":10.390667,"RPD-US^FE_ESTIMATE(EBIT_ADJ,MEAN,QUARTERLY,-2,NOW,,,'')":-5.992,"RPD-US^FE_ESTIMATE(EPS,MEAN,QUARTERLY,0,NOW,,,'')":-0.05,"RPD-US^FE_ESTIMATE(NET_INC_ADJ,MEAN,ANNUAL,+2,NOW,,,'')":20.934422,"RPD-US^FE_ESTIMATE(NET_INC_ADJ,MEAN,ANNUAL,0,NOW,,,'')":-19.057,"RPD-US^FE_ESTIMATE(EPS,MEAN,QUARTERLY,+2,NOW,,,'')":-0.008544247,"RPD-US^FE_ESTIMATE(PTX_INC_ADJ,MEAN,QUARTERLY,+5,NOW,,,'')":1.269,"RPD-US^FE_ESTIMATE(PTX_INC_ADJ,MEAN,QUARTERLY,0,NOW,,,'')":-3.2481666,"RPD-US^FE_ESTIMATE(SALES,MEAN,QUARTERLY,+2,NOW,,,'')":73.578415,"RPD-US^FE_ESTIMATE(EBIT_ADJ,MEAN,QUARTERLY,+1,NOW,,,'')":-4.3312855,"RPD-US^FE_ESTIMATE(PTX_INC_ADJ,MEAN,ANNUAL,0,NOW,,,'')":-20.447857,"RPD-US^FE_ESTIMATE(NET_INC_ADJ,MEAN,QUARTERLY,0,NOW,,,'')":-2.368,"RPD-US^FE_ESTIMATE(EPS,MEAN,QUARTERLY,+3,NOW,,,'')":0.04453363,"RPD-US^FE_ESTIMATE(EBIT_ADJ,MEAN,QUARTERLY,+7,NOW,,,'')":6.504,"RPD-US^FE_ESTIMATE(EPS,MEAN,ANNUAL,+2,NOW,,,'')":0.3750583,"RPD-US^FE_ESTIMATE(SALES,MEAN,QUARTERLY,+3,NOW,,,'')":78.69867,"RPD-US^FE_ESTIMATE(EBIT_ADJ,MEAN,QUARTERLY,+5,NOW,,,'')":1.10225,"RPD-US^FE_ESTIMATE(PTX_INC_ADJ,MEAN,ANNUAL,+1,NOW,,,'')":2.0138571,"RPD-US^FE_ESTIMATE(NET_INC_ADJ,MEAN,QUARTERLY,+4,NOW,,,'')":5.243417,"RPD-US^FE_ESTIMATE(PTX_INC_ADJ,MEAN,ANNUAL,-1,NOW,,,'')":-26.5145,"RPD-US^FE_ESTIMATE(SALES,MEAN,QUARTERLY,-3,NOW,,,'')":54.515,"RPD-US^FE_ESTIMATE(EBIT_ADJ,MEAN,ANNUAL,-1,NOW,,,'')":-26.273,"RPD-US^FE_ESTIMATE(PTX_INC_ADJ,MEAN,QUARTERLY,-1,NOW,,,'')":-2.8541667,"RPD-US^FE_ESTIMATE(PTX_INC_ADJ,MEAN,ANNUAL,+2,NOW,,,'')":19.46857,"RPD-US^FE_ESTIMATE(NET_INC_ADJ,MEAN,QUARTERLY,+8,NOW,,,'')":10.758142,"RPD-US^FE_ESTIMATE(SALES,MEAN,QUARTERLY,-2,NOW,,,'')":58.441,"RPD-US^FE_ESTIMATE(NET_INC_ADJ,MEAN,QUARTERLY,+5,NOW,,,'')":1.5418571,"RPD-US^FE_ESTIMATE(SALES,MEAN,QUARTERLY,-1,NOW,,,'')":62.365,"RPD-US^FE_ESTIMATE(NET_INC_ADJ,MEAN,ANNUAL,-1,NOW,,,'')":-25.635693,"RPD-US^FE_ESTIMATE(PTX_INC_ADJ,MEAN,QUARTERLY,+1,NOW,,,'')":-4.0593333,"RPD-US^FE_ESTIMATE(EBIT_ADJ,MEAN,QUARTERLY,-3,NOW,,,'')":-8.872,"RPD-US^FE_ESTIMATE(EBIT_ADJ,MEAN,QUARTERLY,+6,NOW,,,'')":3.69825,"RPD-US^FE_ESTIMATE(EPS,MEAN,QUARTERLY,+8,NOW,,,'')":0.17605034,"RPD-US^FE_ESTIMATE(SALES,MEAN,QUARTERLY,+5,NOW,,,'')":85.76325,"RPD-US^FE_ESTIMATE(EBIT_ADJ,MEAN,ANNUAL,+1,NOW,,,'')":1.1615714,"RPD-US^FE_ESTIMATE(PTX_INC_ADJ,MEAN,QUARTERLY,+4,NOW,,,'')":4.7613335,"RPD-US^FE_ESTIMATE(NET_INC_ADJ,MEAN,QUARTERLY,+3,NOW,,,'')":2.3219166,"RPD-US^FE_ESTIMATE(EPS,MEAN,QUARTERLY,+6,NOW,,,'')":0.06531399,"RPD-US^FE_ESTIMATE(PTX_INC_ADJ,MEAN,QUARTERLY,+3,NOW,,,'')":1.6441667,"RPD-US^FE_ESTIMATE(SALES,MEAN,ANNUAL,-1,NOW,,,'')":200.94,"RPD-US^FE_ESTIMATE(SALES,MEAN,QUARTERLY,+6,NOW,,,'')":90.669624,"RPD-US^FE_ESTIMATE(EBIT_ADJ,MEAN,ANNUAL,+2,NOW,,,'')":19.252428,"RPD-US^FE_ESTIMATE(PTX_INC_ADJ,MEAN,QUARTERLY,+8,NOW,,,'')":10.649333,"RPD-US^FE_ESTIMATE(NET_INC_ADJ,MEAN,QUARTERLY,+7,NOW,,,'')":6.8865714,"RPD-US^FE_ESTIMATE(EPS,MEAN,QUARTERLY,+7,NOW,,,'')":0.1196005,"RPD-US^FE_ESTIMATE(PTX_INC_ADJ,MEAN,QUARTERLY,+6,NOW,,,'')":4.325,"RPD-US^FE_ESTIMATE(SALES,MEAN,ANNUAL,0,NOW,,,'')":244.091,"RPD-US^FE_ESTIMATE(EBIT_ADJ,MEAN,QUARTERLY,0,NOW,,,'')":-2.695,"RPD-US^FE_ESTIMATE(NET_INC_ADJ,MEAN,QUARTERLY,-2,NOW,,,'')":-5.985,"RPD-US^FE_ESTIMATE(EPS,MEAN,QUARTERLY,+1,NOW,,,'')":-0.083404526,"RPD-US^FE_ESTIMATE(SALES,MEAN,QUARTERLY,+8,NOW,,,'')":106.52025,"RPD-US^FE_ESTIMATE(EPS,MEAN,QUARTERLY,+5,NOW,,,'')":0.022171829,"RPD-US^FE_ESTIMATE(PTX_INC_ADJ,MEAN,QUARTERLY,-3,NOW,,,'')":-8.568666,"RPD-US^FE_ESTIMATE(EBIT_ADJ,MEAN,ANNUAL,0,NOW,,,'')":-20.4,"RPD-US^FE_ESTIMATE(EBIT_ADJ,MEAN,QUARTERLY,+2,NOW,,,'')":-0.9882857,"RPD-US^FE_ESTIMATE(EPS,MEAN,QUARTERLY,+4,NOW,,,'')":0.09396738,"RPD-US^FE_ESTIMATE(SALES,MEAN,QUARTERLY,+7,NOW,,,'')":97.24213,"RPD-US^FE_ESTIMATE(NET_INC_ADJ,MEAN,ANNUAL,+1,NOW,,,'')":3.084712,"RPD-US^FE_ESTIMATE(SALES,MEAN,ANNUAL,+2,NOW,,,'')":376.7502,"RPD-US^FE_ESTIMATE(EBIT_ADJ,MEAN,QUARTERLY,+8,NOW,,,'')":10.7905,"RPD-US^FE_ESTIMATE(PTX_INC_ADJ,MEAN,QUARTERLY,+7,NOW,,,'')":6.633,"RPD-US^FE_ESTIMATE(NET_INC_ADJ,MEAN,QUARTERLY,+6,NOW,,,'')":3.7282858,"RPD-US^FE_ESTIMATE(SALES,MEAN,ANNUAL,+1,NOW,,,'')":308.6817,"RPD-US^FE_ESTIMATE(NET_INC_ADJ,MEAN,QUARTERLY,-1,NOW,,,'')":-2.056,"RPD-US^FE_ESTIMATE(SALES,MEAN,QUARTERLY,0,NOW,,,'')":68.77,"RPD-US^FE_ESTIMATE(EBIT_ADJ,MEAN,QUARTERLY,-1,NOW,,,'')":-2.822,"RPD-US^FE_ESTIMATE(PTX_INC_ADJ,MEAN,QUARTERLY,-2,NOW,,,'')":-5.8737144,"RPD-US^FE_ESTIMATE(NET_INC_ADJ,MEAN,QUARTERLY,-3,NOW,,,'')":-8.648,"RPD-US^FE_ESTIMATE(EPS,MEAN,ANNUAL,0,NOW,,,'')":-0.41,"RPD-US^FE_ESTIMATE(SALES,MEAN,QUARTERLY,+1,NOW,,,'')":69.861664,"RPD-US^FE_ESTIMATE(NET_INC_ADJ,MEAN,QUARTERLY,+2,NOW,,,'')":-0.58575,"RPD-US^FE_ESTIMATE(SALES,MEAN,QUARTERLY,+4,NOW,,,'')":86.70758,"RPD-US^FE_ESTIMATE(EBIT_ADJ,MEAN,QUARTERLY,+3,NOW,,,'')":1.4234285,"RPD-US^FE_ESTIMATE(PTX_INC_ADJ,MEAN,QUARTERLY,+2,NOW,,,'')":-0.4965,"RPD-US^FE_ESTIMATE(NET_INC_ADJ,MEAN,QUARTERLY,+1,NOW,,,'')":-3.8708334,"RPD-US^FE_ESTIMATE(EPS,MEAN,ANNUAL,+1,NOW,,,'')":0.053544864,"RPD-US^FE_ESTIMATE(EBIT_ADJ,MEAN,QUARTERLY,+4,NOW,,,'')":5.0577145}]]></FdsFormulaCache>
</file>

<file path=customXml/itemProps1.xml><?xml version="1.0" encoding="utf-8"?>
<ds:datastoreItem xmlns:ds="http://schemas.openxmlformats.org/officeDocument/2006/customXml" ds:itemID="{2D00DC88-13C3-4D69-AA9E-A085F14E0F1A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BM Upload</vt:lpstr>
      <vt:lpstr>Variance</vt:lpstr>
      <vt:lpstr>BS</vt:lpstr>
      <vt:lpstr>CF</vt:lpstr>
      <vt:lpstr>IS</vt:lpstr>
      <vt:lpstr>Billings &amp; Recs</vt:lpstr>
      <vt:lpstr>Metrics</vt:lpstr>
      <vt:lpstr>Geos</vt:lpstr>
      <vt:lpstr>Preview</vt:lpstr>
      <vt:lpstr>ARPU</vt:lpstr>
      <vt:lpstr>OLD Data</vt:lpstr>
      <vt:lpstr>S-1 Exhibits</vt:lpstr>
      <vt:lpstr>'Billings &amp; Recs'!Print_Area</vt:lpstr>
      <vt:lpstr>BS!Print_Area</vt:lpstr>
      <vt:lpstr>CF!Print_Area</vt:lpstr>
      <vt:lpstr>Geos!Print_Area</vt:lpstr>
      <vt:lpstr>IS!Print_Area</vt:lpstr>
      <vt:lpstr>Metrics!Print_Area</vt:lpstr>
      <vt:lpstr>'OLD Data'!Print_Area</vt:lpstr>
      <vt:lpstr>Preview!Print_Area</vt:lpstr>
      <vt:lpstr>Variance!Print_Area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Buchalter, Joshua</dc:creator>
  <cp:lastModifiedBy>Yuuji Anderson</cp:lastModifiedBy>
  <cp:lastPrinted>2026-02-11T01:55:23Z</cp:lastPrinted>
  <dcterms:created xsi:type="dcterms:W3CDTF">2015-07-08T14:10:50Z</dcterms:created>
  <dcterms:modified xsi:type="dcterms:W3CDTF">2026-03-12T22:42:34Z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Id">
    <vt:lpwstr>5a71e78b-0f87-43e2-bc8a-3f6645ec7785</vt:lpwstr>
  </property>
</Properties>
</file>